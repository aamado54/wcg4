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4"/>
    <sheet state="visible" name="Altman" sheetId="2" r:id="rId5"/>
    <sheet state="hidden" name="Caratula_V2" sheetId="3" r:id="rId6"/>
    <sheet state="visible" name="Balance" sheetId="4" r:id="rId7"/>
    <sheet state="hidden" name="Balance_V2" sheetId="5" r:id="rId8"/>
    <sheet state="visible" name="Resultados" sheetId="6" r:id="rId9"/>
    <sheet state="hidden" name="Resultados_V2" sheetId="7" r:id="rId10"/>
    <sheet state="visible" name="Integraciones" sheetId="8" r:id="rId11"/>
    <sheet state="hidden" name="Integraciones_V2" sheetId="9" r:id="rId12"/>
    <sheet state="visible" name="Alertas" sheetId="10" r:id="rId13"/>
  </sheets>
  <definedNames>
    <definedName name="ReservaLegal">Caratula!$24:$24</definedName>
    <definedName name="Capital">Caratula!$22:$22</definedName>
    <definedName name="PasivoNoCorr">Caratula!$19:$19</definedName>
    <definedName name="high">Altman!$D$4:$D$11</definedName>
    <definedName name="zeta4">Caratula!$59:$59</definedName>
    <definedName name="OtrosPatrimonio">Caratula!$23:$23</definedName>
    <definedName name="ROA">Caratula!$44:$44</definedName>
    <definedName name="CTrabajo">Caratula!$30:$30</definedName>
    <definedName name="RotaInventarios">Caratula!$33:$33</definedName>
    <definedName name="ApalancaBca">Caratula!$40:$40</definedName>
    <definedName name="altman2">Altman!$I$4:$I$11</definedName>
    <definedName name="ROE">Caratula!$43:$43</definedName>
    <definedName name="CrecVentas">Caratula!$42:$42</definedName>
    <definedName name="izsel">Caratula!$C$62:$C$69</definedName>
    <definedName name="Acida">Caratula!$29:$29</definedName>
    <definedName name="Cajaendias">Caratula!$36:$36</definedName>
    <definedName name="altman4">Altman!$K$4:$K$11</definedName>
    <definedName name="PasivoTotal">Caratula!$20:$20</definedName>
    <definedName name="PasivoCorr">Caratula!$18:$18</definedName>
    <definedName name="Liquidez">Caratula!$28:$28</definedName>
    <definedName name="zeta3">Caratula!$58:$58</definedName>
    <definedName name="ApalancaCom">Caratula!$41:$41</definedName>
    <definedName name="UtilidadRetenida">Caratula!$25:$25</definedName>
    <definedName name="Cobrodias">Caratula!$32:$32</definedName>
    <definedName name="low">Altman!$C$4:$C$11</definedName>
    <definedName name="zeta5">Caratula!$60:$60</definedName>
    <definedName name="ActivoCorr">Caratula!$13:$13</definedName>
    <definedName name="altman3">Altman!$J$4:$J$11</definedName>
    <definedName name="altman1">Altman!$H$4:$H$11</definedName>
    <definedName name="UtilidadNeta">Caratula!$11:$11</definedName>
    <definedName name="Inventarios">Balance!$18:$18</definedName>
    <definedName name="Patrimonio">Caratula!$26:$26</definedName>
    <definedName name="Ventas">Caratula!$10:$10</definedName>
    <definedName name="altman5">Altman!$L$4:$L$11</definedName>
    <definedName name="Apalancamiento">Caratula!$39:$39</definedName>
    <definedName name="ActivoTotal">Caratula!$16:$16</definedName>
    <definedName name="EBITDA">Caratula!$37:$37</definedName>
    <definedName name="zeta2">Caratula!$57:$57</definedName>
    <definedName name="sel">Caratula!$B$71</definedName>
    <definedName name="ActivoNoCorr">Caratula!$14:$14</definedName>
    <definedName name="ActDiferido">Caratula!$15:$15</definedName>
    <definedName name="Pagoendias">Caratula!$34:$34</definedName>
    <definedName name="zeta1">Caratula!$56:$56</definedName>
  </definedNames>
  <calcPr/>
  <extLst>
    <ext uri="GoogleSheetsCustomDataVersion2">
      <go:sheetsCustomData xmlns:go="http://customooxmlschemas.google.com/" r:id="rId14" roundtripDataChecksum="Id4S/WdlD9kKUsozM6j0pbKglUEie9Aje3uMS/HclJ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2">
      <text>
        <t xml:space="preserve">Empresas Manufactureras Públicas
======</t>
      </text>
    </comment>
    <comment authorId="0" ref="A63">
      <text>
        <t xml:space="preserve">Manufactureras Privadas.
======</t>
      </text>
    </comment>
  </commentList>
</comments>
</file>

<file path=xl/sharedStrings.xml><?xml version="1.0" encoding="utf-8"?>
<sst xmlns="http://schemas.openxmlformats.org/spreadsheetml/2006/main" count="6698" uniqueCount="1167">
  <si>
    <t>LU3-American Medical Enterprises</t>
  </si>
  <si>
    <t>LU4-Novoswiss PFJuridica</t>
  </si>
  <si>
    <t>LU2-Luminova PFJuridica</t>
  </si>
  <si>
    <t>LU1-Helvetia PFJuridica</t>
  </si>
  <si>
    <t>ETI-Corp Etisa 2025 vf</t>
  </si>
  <si>
    <t>Bahía Colorada</t>
  </si>
  <si>
    <t>Soluciones Carnicas</t>
  </si>
  <si>
    <t>Servicios y Perecederos</t>
  </si>
  <si>
    <t>Quimica Total</t>
  </si>
  <si>
    <t>Logistica Nave</t>
  </si>
  <si>
    <t>Inversiones Iginia</t>
  </si>
  <si>
    <t>Ing_Palo_Gordo</t>
  </si>
  <si>
    <t>Distribuidora Me Llega</t>
  </si>
  <si>
    <t>Corinco</t>
  </si>
  <si>
    <t>Inversiones Mapakhan, S.A.</t>
  </si>
  <si>
    <t xml:space="preserve"> </t>
  </si>
  <si>
    <t>Corporación Mogori</t>
  </si>
  <si>
    <t>2020</t>
  </si>
  <si>
    <t>2021</t>
  </si>
  <si>
    <t>2022</t>
  </si>
  <si>
    <t>2023</t>
  </si>
  <si>
    <t>2024</t>
  </si>
  <si>
    <t>Auditado</t>
  </si>
  <si>
    <t>Admin.</t>
  </si>
  <si>
    <t>Pendiente</t>
  </si>
  <si>
    <t>Administrativo</t>
  </si>
  <si>
    <t>NOMBRE DEL CLIENTE:</t>
  </si>
  <si>
    <t>Bahía Colorada, S.A.</t>
  </si>
  <si>
    <t>Soluciones Carnicas de Guatemala, S.A.</t>
  </si>
  <si>
    <t>QUIMICA TOTAL, S.A.</t>
  </si>
  <si>
    <t>LOGISTICA NAVE, S.A.</t>
  </si>
  <si>
    <t>INVERSIONES IGINLA, S.A.</t>
  </si>
  <si>
    <t>Ingenio Palo Gordo, S.A.</t>
  </si>
  <si>
    <t>Distribuidora Me Llega, S.A.</t>
  </si>
  <si>
    <t>Corinco, S.A.</t>
  </si>
  <si>
    <t>GIRO DEL NEGOCIO:</t>
  </si>
  <si>
    <t xml:space="preserve"> Importación, exportación, fabricación y distribución de toda clase de medicamentos</t>
  </si>
  <si>
    <t>Venta de medicamentos</t>
  </si>
  <si>
    <t xml:space="preserve"> Importación, fabricación y distribución de medicamentos y productos dietéticos</t>
  </si>
  <si>
    <t xml:space="preserve"> Impresión de etiquetas, viñetas o cualquier clase de impresión </t>
  </si>
  <si>
    <t xml:space="preserve">Planificación, desarrollo, ejecución y promoción de urbanizaciones, lotificaciones </t>
  </si>
  <si>
    <t>Venta de productos carnicos</t>
  </si>
  <si>
    <t>INDUSTRIA DE QUIMICOS</t>
  </si>
  <si>
    <t>Prestación de servicios de importación, bodegas, maquila y logistica de todo tipo de productos.</t>
  </si>
  <si>
    <t>Compra, venta y distibución e importación de accesorios, respuestos y máquinaria para industria automotriz.</t>
  </si>
  <si>
    <t>Tiene como actividad principal la fabricación y venta loca y del exterior de acucar, melaza y alcohol, los cuales son productos del proceso de la caña de azucar. Así como la cogeneración y venta de energía electríca.</t>
  </si>
  <si>
    <t>Compra, venta y comercialización de productos alimenticios, de belleza, de hogar.</t>
  </si>
  <si>
    <t>Producción de empaques plasticos de agroindustrua y comercio</t>
  </si>
  <si>
    <t>Importación, exportacion, maquila, comercializacion y venta de todo tipo de Juguetes y de juegos.</t>
  </si>
  <si>
    <t>EN MILES DE:</t>
  </si>
  <si>
    <t>Dólares</t>
  </si>
  <si>
    <t>QUETZALES</t>
  </si>
  <si>
    <t>FIRMA DE AUDITORIA (O CONTADOR):</t>
  </si>
  <si>
    <t>Axel Samuel Rosas</t>
  </si>
  <si>
    <t>Mynor Armando Alacan Morales</t>
  </si>
  <si>
    <t>Lic. Edwin R. Hernandez B.</t>
  </si>
  <si>
    <t>Hugo Waldermar Sutuj Chamale</t>
  </si>
  <si>
    <t>Jorge Eduardo Motta Morales</t>
  </si>
  <si>
    <t>Nexia</t>
  </si>
  <si>
    <t>Lic. Oscar Saul Rodríguez Lemus</t>
  </si>
  <si>
    <t>PKF</t>
  </si>
  <si>
    <t>Miguel Miculax Olcot</t>
  </si>
  <si>
    <t>Sergio Armando Mancilla López</t>
  </si>
  <si>
    <t>Ventas</t>
  </si>
  <si>
    <t>Utilidad Neta</t>
  </si>
  <si>
    <t>Activo Corriente</t>
  </si>
  <si>
    <t>Activo No Corriente</t>
  </si>
  <si>
    <t>Activo Diferido</t>
  </si>
  <si>
    <t>Total de Activo</t>
  </si>
  <si>
    <t>Pasivo Corriente</t>
  </si>
  <si>
    <t>Pasivo No Corriente</t>
  </si>
  <si>
    <t>Total Pasivo</t>
  </si>
  <si>
    <t>Capital</t>
  </si>
  <si>
    <t>Otros</t>
  </si>
  <si>
    <t>Reserva Legal</t>
  </si>
  <si>
    <t>Utilidades Retenidas</t>
  </si>
  <si>
    <t>Total Patrimonio</t>
  </si>
  <si>
    <t>Liquidez</t>
  </si>
  <si>
    <t>Prueba Acida</t>
  </si>
  <si>
    <t>Capital de Trabajo</t>
  </si>
  <si>
    <t>Período promedio de cobro (días)</t>
  </si>
  <si>
    <t>Rotación promedio de inventario (días)</t>
  </si>
  <si>
    <t>Período promedio de pago (días)</t>
  </si>
  <si>
    <t>Ciclo de Caja en Días</t>
  </si>
  <si>
    <t>EBITDA</t>
  </si>
  <si>
    <t>Apalancamiento</t>
  </si>
  <si>
    <t>Apalancamiento Bancario</t>
  </si>
  <si>
    <t>Apalancamiento Comercial</t>
  </si>
  <si>
    <t>Crecimiento Anual en Ventas</t>
  </si>
  <si>
    <t>ROE</t>
  </si>
  <si>
    <t>ROA</t>
  </si>
  <si>
    <t>CALIFICADOR Z</t>
  </si>
  <si>
    <t>Inventarios</t>
  </si>
  <si>
    <t>Liquidez Corriente</t>
  </si>
  <si>
    <t>Rotación de Activos</t>
  </si>
  <si>
    <t>Activo/Patrimonio</t>
  </si>
  <si>
    <r>
      <rPr>
        <rFont val="Calibri"/>
        <b/>
        <color theme="1"/>
      </rPr>
      <t xml:space="preserve">CALIFICADOR GRAL. - </t>
    </r>
    <r>
      <rPr>
        <rFont val="Calibri"/>
        <b/>
        <color theme="1"/>
        <u/>
      </rPr>
      <t>RIESGO Z</t>
    </r>
  </si>
  <si>
    <t>1. Capital de Trabajo / Activo</t>
  </si>
  <si>
    <t>2. Utilidades Retenidas / Activo</t>
  </si>
  <si>
    <t>3. EBITDA / Activo</t>
  </si>
  <si>
    <t>4. Patrimonio / Pasivo</t>
  </si>
  <si>
    <t>5. Ventas / Activo</t>
  </si>
  <si>
    <r>
      <rPr>
        <rFont val="Calibri"/>
        <b/>
        <color theme="1"/>
      </rPr>
      <t>1.</t>
    </r>
    <r>
      <rPr>
        <rFont val="Calibri"/>
        <color theme="1"/>
      </rPr>
      <t xml:space="preserve"> Altman Original (1968) – Manufactureras Públicas</t>
    </r>
  </si>
  <si>
    <r>
      <rPr>
        <rFont val="Calibri"/>
        <b/>
        <color theme="1"/>
      </rPr>
      <t>2.</t>
    </r>
    <r>
      <rPr>
        <rFont val="Calibri"/>
        <color theme="1"/>
      </rPr>
      <t xml:space="preserve"> Altman Revisado (1983) – Manufactureras Privadas</t>
    </r>
  </si>
  <si>
    <r>
      <rPr>
        <rFont val="Calibri"/>
        <b/>
        <color theme="1"/>
      </rPr>
      <t>3.</t>
    </r>
    <r>
      <rPr>
        <rFont val="Calibri"/>
        <color theme="1"/>
      </rPr>
      <t xml:space="preserve"> Z'' para No Manufactureras y Mercados Emergentes</t>
    </r>
  </si>
  <si>
    <r>
      <rPr>
        <rFont val="Calibri"/>
        <b/>
        <color theme="1"/>
      </rPr>
      <t>4.</t>
    </r>
    <r>
      <rPr>
        <rFont val="Calibri"/>
        <color theme="1"/>
      </rPr>
      <t xml:space="preserve"> Altman Modificado (Ventas Ajustadas)</t>
    </r>
  </si>
  <si>
    <r>
      <rPr>
        <rFont val="Calibri"/>
        <b/>
        <color theme="1"/>
      </rPr>
      <t>5.</t>
    </r>
    <r>
      <rPr>
        <rFont val="Calibri"/>
        <color theme="1"/>
      </rPr>
      <t xml:space="preserve"> Z’-Score Revisado para PYMES de Europa Central y Este</t>
    </r>
  </si>
  <si>
    <r>
      <rPr>
        <rFont val="Calibri"/>
        <b/>
        <color theme="1"/>
      </rPr>
      <t>6.</t>
    </r>
    <r>
      <rPr>
        <rFont val="Calibri"/>
        <color theme="1"/>
      </rPr>
      <t xml:space="preserve"> Z''-Score Mercados Emergentes (con constante)</t>
    </r>
  </si>
  <si>
    <r>
      <rPr>
        <rFont val="Calibri"/>
        <b/>
        <color theme="1"/>
      </rPr>
      <t xml:space="preserve">7. </t>
    </r>
    <r>
      <rPr>
        <rFont val="Calibri"/>
        <color theme="1"/>
      </rPr>
      <t>Pesos Iguales (Propuesta Experimental)</t>
    </r>
  </si>
  <si>
    <r>
      <rPr>
        <rFont val="Calibri"/>
        <b/>
        <color theme="1"/>
      </rPr>
      <t xml:space="preserve">8. </t>
    </r>
    <r>
      <rPr>
        <rFont val="Calibri"/>
        <color theme="1"/>
      </rPr>
      <t>Ajuste para Empresas Medianas Latinoamericanas</t>
    </r>
  </si>
  <si>
    <t>ESTRUCTURAS %</t>
  </si>
  <si>
    <t>CRECIMIENTOS %</t>
  </si>
  <si>
    <t>Tabla Resumida de Rangos de Interpretación</t>
  </si>
  <si>
    <t>Coeficientes</t>
  </si>
  <si>
    <t>Bajo Riesgo</t>
  </si>
  <si>
    <t>Riesgo Moderado</t>
  </si>
  <si>
    <t>Alto Riesgo</t>
  </si>
  <si>
    <t>a1</t>
  </si>
  <si>
    <t>a2</t>
  </si>
  <si>
    <t>a3</t>
  </si>
  <si>
    <t>a4</t>
  </si>
  <si>
    <t>a5</t>
  </si>
  <si>
    <t>Altman Original (1968) – Manufactureras Públicas</t>
  </si>
  <si>
    <t>Z ≥ 2.99</t>
  </si>
  <si>
    <t>1.81 ≤ Z &lt; 2.99</t>
  </si>
  <si>
    <t>Z &lt; 1.81</t>
  </si>
  <si>
    <t>Altman original (1968), empresas manufactureras públicas</t>
  </si>
  <si>
    <t>Altman Revisado (1983) – Manufactureras Privadas</t>
  </si>
  <si>
    <t>Z ≥ 2.90</t>
  </si>
  <si>
    <t>1.23 ≤ Z &lt; 2.90</t>
  </si>
  <si>
    <t>Z &lt; 1.23</t>
  </si>
  <si>
    <t>Altman revisado (1983), empresas manufactureras privadas</t>
  </si>
  <si>
    <t>Z'' para No Manufactureras y Mercados Emergentes</t>
  </si>
  <si>
    <t>Altman Z'' para no manufactureras y mercados emergentes (sin ventas/activos)</t>
  </si>
  <si>
    <t>Altman Modificado (Ventas Ajustadas)</t>
  </si>
  <si>
    <t>Altman modificado, empresas públicas (coeficiente de ventas ajustado)</t>
  </si>
  <si>
    <t>Z’-Score Revisado para PYMES de Europa Central y Este</t>
  </si>
  <si>
    <t>Z’-Score revisado, probado en pymes de Europa Central y del Este</t>
  </si>
  <si>
    <t>Z''-Score Mercados Emergentes (con constante)</t>
  </si>
  <si>
    <t>Z ≥ 2.60</t>
  </si>
  <si>
    <t>1.10 ≤ Z &lt; 2.60</t>
  </si>
  <si>
    <t>Z &lt; 1.10</t>
  </si>
  <si>
    <t>Z''-Score para mercados emergentes, con constante +3.25</t>
  </si>
  <si>
    <t>Pesos Iguales (Propuesta Experimental)</t>
  </si>
  <si>
    <t>Propuesta experimental: pesos iguales para análisis exploratorio</t>
  </si>
  <si>
    <t>Ajuste para Empresas Medianas Latinoamericanas</t>
  </si>
  <si>
    <t>Experiencia práctica: ajuste para empresas medianas latinoamericanas (literatura y consultoría)</t>
  </si>
  <si>
    <t>1. Altman Original (1968) – Empresas Manufactureras Públicas</t>
  </si>
  <si>
    <t>Z &lt; 1.81: Zona de peligro (alto riesgo de quiebra)</t>
  </si>
  <si>
    <t>1.81 ≤ Z &lt; 2.99: Zona gris (riesgo moderado)</t>
  </si>
  <si>
    <t>Z ≥ 2.99: Zona segura (bajo riesgo de quiebra)</t>
  </si>
  <si>
    <t>2. Altman Revisado (1983) – Manufactureras Privadas</t>
  </si>
  <si>
    <t>Z &lt; 1.23: Zona de peligro (alto riesgo)</t>
  </si>
  <si>
    <t>1.23 ≤ Z &lt; 2.90: Zona gris (riesgo moderado)</t>
  </si>
  <si>
    <t>Z ≥ 2.90: Zona segura (bajo riesgo)</t>
  </si>
  <si>
    <t>3. Z'' para No Manufactureras y Mercados Emergentes</t>
  </si>
  <si>
    <t>4. Altman Modificado (Ventas Ajustadas)</t>
  </si>
  <si>
    <t>Z &lt; 1.81: Alto riesgo</t>
  </si>
  <si>
    <t>1.81 ≤ Z &lt; 2.99: Riesgo moderado</t>
  </si>
  <si>
    <t>Z ≥ 2.99: Bajo riesgo</t>
  </si>
  <si>
    <t>5. Z’-Score Revisado para PYMES de Europa Central y del Este</t>
  </si>
  <si>
    <t>Z &lt; 1.23: Alto riesgo</t>
  </si>
  <si>
    <t>1.23 ≤ Z &lt; 2.90: Riesgo moderado</t>
  </si>
  <si>
    <t>Z ≥ 2.90: Bajo riesgo</t>
  </si>
  <si>
    <t>6. Z''-Score para Mercados Emergentes (con constante)</t>
  </si>
  <si>
    <t>Z &lt; 1.10: Zona de peligro (alto riesgo)</t>
  </si>
  <si>
    <t>1.10 ≤ Z &lt; 2.60: Zona gris (riesgo moderado)</t>
  </si>
  <si>
    <t>Z ≥ 2.60: Zona segura (bajo riesgo)</t>
  </si>
  <si>
    <t>7. Pesos Iguales (Propuesta Experimental)</t>
  </si>
  <si>
    <t>Coeficientes: 1.0, 1.0, 1.0, 1.0, 1.0</t>
  </si>
  <si>
    <t>8. Ajuste para Empresas Medianas Latinoamericanas</t>
  </si>
  <si>
    <t>LU3-American Medical Enterprises v3.xlsx</t>
  </si>
  <si>
    <t>LU4-Novoswiss PFJuridica v3.xlsx</t>
  </si>
  <si>
    <t>LU2-Luminova PFJuridica v3.xlsx</t>
  </si>
  <si>
    <t>LU1-Helvetia PFJuridica v3.xlsx</t>
  </si>
  <si>
    <t>ETI-Corp Etisa 2025 vf.xlsx</t>
  </si>
  <si>
    <t>NOMBRE DEL CLIENTE:  American Medical Enterprises, Inc.</t>
  </si>
  <si>
    <t xml:space="preserve">GIRO DEL NEGOCIO:  </t>
  </si>
  <si>
    <t>EN MILES DE:  DÓLARES</t>
  </si>
  <si>
    <t>AUDITOR O CONTADOR ACTIVO:  Axel Samuel Rosas</t>
  </si>
  <si>
    <t xml:space="preserve">    Liquidez</t>
  </si>
  <si>
    <t xml:space="preserve">    Prueba Acida</t>
  </si>
  <si>
    <t xml:space="preserve">    Capital de Trabajo</t>
  </si>
  <si>
    <t xml:space="preserve">    Ciclo de Caja en Días</t>
  </si>
  <si>
    <t xml:space="preserve">    Apalancamiento</t>
  </si>
  <si>
    <t xml:space="preserve">    Apalancamiento Bancario</t>
  </si>
  <si>
    <t xml:space="preserve">    Apalancamiento Comercial</t>
  </si>
  <si>
    <t xml:space="preserve">    Crecimiento Anual en Ventas</t>
  </si>
  <si>
    <t xml:space="preserve">    ROE</t>
  </si>
  <si>
    <t xml:space="preserve">    ROA</t>
  </si>
  <si>
    <t xml:space="preserve">    EBITDA</t>
  </si>
  <si>
    <t>LU4-Novoswiss PFJuridica v3</t>
  </si>
  <si>
    <t>LU2-Luminova PFJuridica v3</t>
  </si>
  <si>
    <t>Soluciones Carnicas.xlsm</t>
  </si>
  <si>
    <t>Servicios y Percederos.xlsm</t>
  </si>
  <si>
    <t>Quimica Total.xlsm</t>
  </si>
  <si>
    <t>Logistica Nave.xlsm</t>
  </si>
  <si>
    <t>Inv_Iginla</t>
  </si>
  <si>
    <t>Distrib_Me_Llega</t>
  </si>
  <si>
    <t>CorpMogori</t>
  </si>
  <si>
    <t>Bahía Colorada.xlsx</t>
  </si>
  <si>
    <t>Inv_Iginla.xlsm</t>
  </si>
  <si>
    <t>Ing_Palo_Gordo.xlsx</t>
  </si>
  <si>
    <t>Distrib_Me_Llega.xlsx</t>
  </si>
  <si>
    <t>Corinco.xlsx</t>
  </si>
  <si>
    <t>InvM.xlsx</t>
  </si>
  <si>
    <t>CorpMogori.xlsx</t>
  </si>
  <si>
    <t>Meses considerados</t>
  </si>
  <si>
    <t>Deloitte</t>
  </si>
  <si>
    <t>Miguel Angel Imul Gracia</t>
  </si>
  <si>
    <t>Axel Rosas y Edgar Locón S.</t>
  </si>
  <si>
    <t>PWR</t>
  </si>
  <si>
    <t>Axel Rosas (cpa) y Michael Erichsen R (rep)</t>
  </si>
  <si>
    <t>Axel S. Rosas S. (cpa) y Humberto Gonzalez (rep)</t>
  </si>
  <si>
    <t xml:space="preserve">Nuñez Bubón y Asociados </t>
  </si>
  <si>
    <t>Maria Eliza Rodas Morales</t>
  </si>
  <si>
    <t>Jorge Eduardo Granillo Díaz</t>
  </si>
  <si>
    <t>Lesly Mariela de León Ruiz</t>
  </si>
  <si>
    <t>Edgar Culajay</t>
  </si>
  <si>
    <t>MARVIN ROBERTO CANO TEPEU</t>
  </si>
  <si>
    <t>Edgar Estuardo Culajay Pirir</t>
  </si>
  <si>
    <t>NIA</t>
  </si>
  <si>
    <t>NIIF</t>
  </si>
  <si>
    <t>NIA, NIIF</t>
  </si>
  <si>
    <t>ISR</t>
  </si>
  <si>
    <t>INTEGRACIONES</t>
  </si>
  <si>
    <t>NIIF PARA PYMES</t>
  </si>
  <si>
    <t>NIIF para PYMES</t>
  </si>
  <si>
    <t>Internos</t>
  </si>
  <si>
    <t>ACTIVO CORRIENTE</t>
  </si>
  <si>
    <t>Caja y Bancos</t>
  </si>
  <si>
    <t>Inversiones  (Certificados/ Títulos/Pagarés/Instrumentos)</t>
  </si>
  <si>
    <t>Cuentas por Cobrar Clientes</t>
  </si>
  <si>
    <t>Cuentas por Cobrar Relacionadas</t>
  </si>
  <si>
    <t>Inversiones (Certificados/Títulos/Pagarés/Instrumentos)</t>
  </si>
  <si>
    <t xml:space="preserve">Otras Cuentas por Cobrar </t>
  </si>
  <si>
    <t>Impuestos</t>
  </si>
  <si>
    <t>IVA Crédito Fiscal</t>
  </si>
  <si>
    <t>Activos Biológicos de CP</t>
  </si>
  <si>
    <t>Gobierno de Guatemala</t>
  </si>
  <si>
    <t>Impuestos por cobrar</t>
  </si>
  <si>
    <t>Maquinaria, Equipo y Herramienta</t>
  </si>
  <si>
    <t>Vehículos</t>
  </si>
  <si>
    <t>Mobiliario y Equipo</t>
  </si>
  <si>
    <t>Equipo de Cómputo</t>
  </si>
  <si>
    <t>Inventario de Materias Primas y Repuestos</t>
  </si>
  <si>
    <t>Otros activos financieros a costo amortizado</t>
  </si>
  <si>
    <t>Terrenos y Edificios</t>
  </si>
  <si>
    <t>Otros Activos Fijos</t>
  </si>
  <si>
    <t>Gastos Anticipados</t>
  </si>
  <si>
    <t>TOTAL ACTIVO CORRIENTE</t>
  </si>
  <si>
    <t>Propiedad, Planta y Equipo</t>
  </si>
  <si>
    <t>Instalaciones y obras civiles</t>
  </si>
  <si>
    <t>Gastos precosecha</t>
  </si>
  <si>
    <t>Construcciones en Proceso</t>
  </si>
  <si>
    <t>Mejoras a Instalaciones</t>
  </si>
  <si>
    <t>Funcionarios y Empleados</t>
  </si>
  <si>
    <t>Otros activos corrientes</t>
  </si>
  <si>
    <t>ACTIVOS FIJOS: PROPIEDAD, PLANTA Y EQUIPO</t>
  </si>
  <si>
    <t>PROPIEDAD, PLANTA Y EQUIPO (neto)</t>
  </si>
  <si>
    <t>Depreciación Acumulada (-)</t>
  </si>
  <si>
    <t>Anticipo a Proveedores</t>
  </si>
  <si>
    <t>TOTAL OTROS ACTIVOS</t>
  </si>
  <si>
    <t>Créditos Fiscales</t>
  </si>
  <si>
    <t>TOTAL ACTIVO</t>
  </si>
  <si>
    <t>Subtotal Activos Fijos: Propiedad, Planta y Equipo</t>
  </si>
  <si>
    <t>Gastos de Organización</t>
  </si>
  <si>
    <t>PASIVO CORRIENTE</t>
  </si>
  <si>
    <t>Cuentas por Pagar LP</t>
  </si>
  <si>
    <t>Edificios e Instalaciones</t>
  </si>
  <si>
    <t>Cuentas por Cobrar a Relacionadas de L.P.</t>
  </si>
  <si>
    <t>PASIVO NO CORRIENTE</t>
  </si>
  <si>
    <t>Plantaciones de Caña</t>
  </si>
  <si>
    <t xml:space="preserve">TOTAL PASIVO </t>
  </si>
  <si>
    <t>Porción Corriente No Bancarias</t>
  </si>
  <si>
    <t>Marcas y Patentes</t>
  </si>
  <si>
    <t>Capital Pagado</t>
  </si>
  <si>
    <t>Impuestos por Pagar</t>
  </si>
  <si>
    <t>Cuentas por Cobrar a Relacionadas de Largo Plazo</t>
  </si>
  <si>
    <t>Materiales y repuestos</t>
  </si>
  <si>
    <t>Aportaciones por Capitalizar</t>
  </si>
  <si>
    <t>Otras cuentas por pagar</t>
  </si>
  <si>
    <t>Activos intangibles</t>
  </si>
  <si>
    <t xml:space="preserve">Reservas </t>
  </si>
  <si>
    <t>Proveedores</t>
  </si>
  <si>
    <t>Préstamos no Bancarios</t>
  </si>
  <si>
    <t>Utilidades Acumuladas</t>
  </si>
  <si>
    <t>Activos de derecho de uso</t>
  </si>
  <si>
    <t>Utilidad del Ejercicio</t>
  </si>
  <si>
    <t>Porción Corriente de la D.B. de L.P.</t>
  </si>
  <si>
    <t>activo biologico a largo plazo</t>
  </si>
  <si>
    <t>Impuesto sobre la renta diferido, L.P.</t>
  </si>
  <si>
    <t>TOTAL PATRIMONIO</t>
  </si>
  <si>
    <t>Cuentas por Pagar</t>
  </si>
  <si>
    <t>Deuda Bancaria Largo Plazo</t>
  </si>
  <si>
    <t>Impuestos por cobrar, L.P.</t>
  </si>
  <si>
    <t>TOTAL PASIVO CORRIENTE</t>
  </si>
  <si>
    <t>TOTAL PASIVO + PATRIMONIO</t>
  </si>
  <si>
    <t>Prestamos a corto plazo</t>
  </si>
  <si>
    <t>Otros Activos LP: activos financieros, inversiones</t>
  </si>
  <si>
    <t>Cuentas por Pagar a Relacionadas</t>
  </si>
  <si>
    <t>Crédito mercantil</t>
  </si>
  <si>
    <t>Arrendamiento financiero CP</t>
  </si>
  <si>
    <t>Impuestos por cobrar (ISR diferido, otros)</t>
  </si>
  <si>
    <t>Prestamos no Bancarios</t>
  </si>
  <si>
    <t>Inversiones en acciones</t>
  </si>
  <si>
    <t>TOTAL PASIVO NO CORRIENTE</t>
  </si>
  <si>
    <t>Cuentas por Pagar Relacionadas</t>
  </si>
  <si>
    <t>Impuesto sobre la renta diferido</t>
  </si>
  <si>
    <t>Activo por derecho de uso</t>
  </si>
  <si>
    <t>Otros Activos LP</t>
  </si>
  <si>
    <t>Arrendamiento financiero lP</t>
  </si>
  <si>
    <t>Préstamos Bancarios</t>
  </si>
  <si>
    <t>Superavit de revaluacion</t>
  </si>
  <si>
    <t>Doc. por Pagar</t>
  </si>
  <si>
    <t>Proveedores del Exterior</t>
  </si>
  <si>
    <t>Acreedores</t>
  </si>
  <si>
    <t>Deuda por pagar a Socios</t>
  </si>
  <si>
    <t>Deuda Bancaria Corto Plazo</t>
  </si>
  <si>
    <t>Porción Corriente No Bancaria</t>
  </si>
  <si>
    <t>Provisión Prestaciones Laborales</t>
  </si>
  <si>
    <t>Comisiones por Pagar</t>
  </si>
  <si>
    <t xml:space="preserve">Impuesto sobre la renta diferido </t>
  </si>
  <si>
    <t>Anticipos sobre ventas</t>
  </si>
  <si>
    <t>Otras cuentas por pagar (otros Pasivos + Dividendos por pagar)</t>
  </si>
  <si>
    <t>Indemnizaciones por Pagar</t>
  </si>
  <si>
    <t>Provisión para indemnizaciones</t>
  </si>
  <si>
    <t>Reinversión de Utilidades</t>
  </si>
  <si>
    <t>Otras Reservas de Capital</t>
  </si>
  <si>
    <t>Pasivos por arrendamientos</t>
  </si>
  <si>
    <t>Resultados por Adopcion NIFF</t>
  </si>
  <si>
    <t>PATRIMONIO</t>
  </si>
  <si>
    <t>Capital pagado</t>
  </si>
  <si>
    <t>Aportaciones por capitalizar</t>
  </si>
  <si>
    <t>Reserva legal</t>
  </si>
  <si>
    <t>Otras Reservas</t>
  </si>
  <si>
    <t>Participacion no Controladora</t>
  </si>
  <si>
    <t>Utilidades retenidas</t>
  </si>
  <si>
    <t>Superavit por revaluación</t>
  </si>
  <si>
    <t>Conversión moneda extranjera</t>
  </si>
  <si>
    <t>ACTIVIDAD:</t>
  </si>
  <si>
    <t>BALANCE GENERAL COMPARATIVO</t>
  </si>
  <si>
    <t xml:space="preserve">Cifras en:       </t>
  </si>
  <si>
    <t>Moneda:</t>
  </si>
  <si>
    <t>Servicios y Percederos, S.A.</t>
  </si>
  <si>
    <t>Producció, fabricación, comercialización, importación y exportación relacionado con la indiustria alimenticia en general.</t>
  </si>
  <si>
    <t>Lic. Edwin R. Hérnandez Boche</t>
  </si>
  <si>
    <t xml:space="preserve">Ventas </t>
  </si>
  <si>
    <t>Valor</t>
  </si>
  <si>
    <t>TOTAL INGRESOS</t>
  </si>
  <si>
    <t>Otras ventas</t>
  </si>
  <si>
    <t>Costo de Ventas (-)</t>
  </si>
  <si>
    <t xml:space="preserve">Costo de Ventas (-) </t>
  </si>
  <si>
    <t>RESULTADO BRUTO</t>
  </si>
  <si>
    <t>Costo de Ventas</t>
  </si>
  <si>
    <t>Costo de Distribución (-)</t>
  </si>
  <si>
    <t>Gastos Administrativos (-)</t>
  </si>
  <si>
    <t>Gasto de Ventas (-)</t>
  </si>
  <si>
    <t>Total Gastos Operativos</t>
  </si>
  <si>
    <t>GANANCIA/PERDIDA OPERATIVA</t>
  </si>
  <si>
    <t>Depreciaciones (-)</t>
  </si>
  <si>
    <t xml:space="preserve">Gastos de Administración (-) </t>
  </si>
  <si>
    <t>Otros Gastos (-)</t>
  </si>
  <si>
    <t>Gastos Varios (-)</t>
  </si>
  <si>
    <t xml:space="preserve">Gastos Varios (-) </t>
  </si>
  <si>
    <t>Total Ing. y Gtos. no Operativos</t>
  </si>
  <si>
    <t>Otros Ingresos</t>
  </si>
  <si>
    <t>Publicidad (-)</t>
  </si>
  <si>
    <t>Cuentas y valores incobrables (-)</t>
  </si>
  <si>
    <t>GANANCIA ANTES DE IMP.</t>
  </si>
  <si>
    <t>Gastos Financieros (-)</t>
  </si>
  <si>
    <t>Amortizaciones (-)</t>
  </si>
  <si>
    <t>Arrendamientos (-)</t>
  </si>
  <si>
    <t>Otros ingresos - gastos, neto</t>
  </si>
  <si>
    <t>Reserva Legal (-)</t>
  </si>
  <si>
    <t>Gastos Personales (-)</t>
  </si>
  <si>
    <t>UTILIDAD DEL EJERCICIO</t>
  </si>
  <si>
    <t>Total Ing. y Gtos. no Operativos, neto</t>
  </si>
  <si>
    <t>Otros Ingresos-Gastos Financieros netos</t>
  </si>
  <si>
    <t>Provisión Impuesto Renta (-)</t>
  </si>
  <si>
    <t>Castigos,Multas. (-)</t>
  </si>
  <si>
    <t>Util.(Perd.) Cambiaria</t>
  </si>
  <si>
    <t xml:space="preserve">Otros Ingresos (-) </t>
  </si>
  <si>
    <t>BENEFICIO NETO</t>
  </si>
  <si>
    <t>Ingresos Financieros</t>
  </si>
  <si>
    <t>Compras del período</t>
  </si>
  <si>
    <t>Productos Financieros</t>
  </si>
  <si>
    <t>TOTAL RESULTADOS INTEGRALES DEL AÑO</t>
  </si>
  <si>
    <t>Gastos Bancarios (-)</t>
  </si>
  <si>
    <t>Util.(Perd.) Inversion en Participacion</t>
  </si>
  <si>
    <t xml:space="preserve">  Corriente</t>
  </si>
  <si>
    <t xml:space="preserve">  Diferido</t>
  </si>
  <si>
    <t>Remedición de obligación de beneficios post-empleo</t>
  </si>
  <si>
    <t>ANÁLISIS FINANCIERO POR: BANCO S.A. - GUATEMALA</t>
  </si>
  <si>
    <t>ESTADO DE RESULTADOS</t>
  </si>
  <si>
    <t>MILES</t>
  </si>
  <si>
    <t>DÓLARES</t>
  </si>
  <si>
    <t xml:space="preserve">En Miles de Q. </t>
  </si>
  <si>
    <t>DENOMINACION EN US$</t>
  </si>
  <si>
    <t>Denominados en Quetzales</t>
  </si>
  <si>
    <t>DENOMINACION EN GTQ</t>
  </si>
  <si>
    <t>Caja Chica  GTQ</t>
  </si>
  <si>
    <t>Moneda local</t>
  </si>
  <si>
    <t>Banco moneda Local</t>
  </si>
  <si>
    <t>Bancos</t>
  </si>
  <si>
    <t>EFECTIVO</t>
  </si>
  <si>
    <t>Total Caja y Bancos</t>
  </si>
  <si>
    <t>Denominados en Dolares</t>
  </si>
  <si>
    <t xml:space="preserve">Fondo Anticipo Salarial </t>
  </si>
  <si>
    <t>Moneda extrajera</t>
  </si>
  <si>
    <t>Banco moneda de exterior</t>
  </si>
  <si>
    <t>Total</t>
  </si>
  <si>
    <t>FONDOS EN EL INGENIO</t>
  </si>
  <si>
    <t>Caja Chica</t>
  </si>
  <si>
    <t>Caja General</t>
  </si>
  <si>
    <t>Caja general</t>
  </si>
  <si>
    <t>Denominados en Cordobas</t>
  </si>
  <si>
    <t>Caja chica</t>
  </si>
  <si>
    <t>CAJA CHICA LOGISTICA</t>
  </si>
  <si>
    <t>Tarjeta de crédito</t>
  </si>
  <si>
    <t>Fondo Anticipo Salarial</t>
  </si>
  <si>
    <t>Cuentas por cobrar</t>
  </si>
  <si>
    <t>Denominados en Lempiras</t>
  </si>
  <si>
    <t>Banco G&amp;T Continental</t>
  </si>
  <si>
    <t>BI 027-001643-9</t>
  </si>
  <si>
    <t>OFICINA CENTRAL</t>
  </si>
  <si>
    <t>Banco moneda del exterior</t>
  </si>
  <si>
    <t>Banco G&amp;T</t>
  </si>
  <si>
    <t>Bancos:</t>
  </si>
  <si>
    <t>Clientes, Cuentas por cobrar</t>
  </si>
  <si>
    <t>Denominados en Pesos dominicanos</t>
  </si>
  <si>
    <t>Total Inversiones (Certificados/Títulos/Pagarés/Instrumentos)</t>
  </si>
  <si>
    <t>BAM</t>
  </si>
  <si>
    <t>Heffix International, LLC (EEUU)</t>
  </si>
  <si>
    <t>CAJA CHICA GENERAL</t>
  </si>
  <si>
    <t>Banrural</t>
  </si>
  <si>
    <t>Banco de America Central</t>
  </si>
  <si>
    <t>Total Cuentas por cobrar</t>
  </si>
  <si>
    <t>Denominados en Colon costarricense</t>
  </si>
  <si>
    <t>PROMERICA</t>
  </si>
  <si>
    <t>Distribuidora me Llega, S.A.</t>
  </si>
  <si>
    <t>Heffix, S.A. de C.V. (El Salvador)</t>
  </si>
  <si>
    <t>BANCOS NACIONAL</t>
  </si>
  <si>
    <t>CHN</t>
  </si>
  <si>
    <t>Banco de America Central 4827</t>
  </si>
  <si>
    <t>LABORATORIOS UNIPHARM COLOMBIA, S.A.</t>
  </si>
  <si>
    <t>Denominados en Pesos colombianos</t>
  </si>
  <si>
    <t>BANCO INDUSTRIAL, S.A.</t>
  </si>
  <si>
    <t>G&amp;T</t>
  </si>
  <si>
    <t>Inversion en acción</t>
  </si>
  <si>
    <t>Inversiones La Conia, S.A.</t>
  </si>
  <si>
    <t>Inversiones permanentes</t>
  </si>
  <si>
    <t>BANCOS INDUSTRIAL</t>
  </si>
  <si>
    <t>Banco de America Central 0284</t>
  </si>
  <si>
    <t>Banco de Desarrollo Rural</t>
  </si>
  <si>
    <t>Cuentas por cobrar Relacionadas C.P.</t>
  </si>
  <si>
    <t>NOVUM, S.A.</t>
  </si>
  <si>
    <t>Denominados en Soles</t>
  </si>
  <si>
    <t>Umbra Distribución Guatemala, S.A.</t>
  </si>
  <si>
    <t>Banco Industrial 1</t>
  </si>
  <si>
    <t>Banco Promerica 8354</t>
  </si>
  <si>
    <t>Banco Agromercantil</t>
  </si>
  <si>
    <t>Denominado en Bolivianos</t>
  </si>
  <si>
    <t>Inversiones en acciones Cinco Saltos, S.A.</t>
  </si>
  <si>
    <t>BANRURAL</t>
  </si>
  <si>
    <t>BAC</t>
  </si>
  <si>
    <t>Inversiones en Valores (Certificado de deposito BAC)</t>
  </si>
  <si>
    <t>Bancos Industrial 2</t>
  </si>
  <si>
    <t>Banco Promerica 8875</t>
  </si>
  <si>
    <t>Total Cuentas por cobrar Relacionadas C.P.</t>
  </si>
  <si>
    <t>ALIMENTROS NUTRACEUTICOS 3 CORONAS, S.A.</t>
  </si>
  <si>
    <t>Denominado en Guaraní</t>
  </si>
  <si>
    <t>Antigüedad de cuentas por cobrar</t>
  </si>
  <si>
    <t>Inversiones en acciones Servicios y Perecederos, S.A.</t>
  </si>
  <si>
    <t>BAM AHORRRO</t>
  </si>
  <si>
    <t>Banco Industrial US$</t>
  </si>
  <si>
    <t>Banco Promerica US$ 6151</t>
  </si>
  <si>
    <t>UNIPHARM DE NICARAGUA, S.A.</t>
  </si>
  <si>
    <t>Denominados en Pesos Chilenos</t>
  </si>
  <si>
    <t>Total Antigüedad de cuentas por cobrar</t>
  </si>
  <si>
    <t>CLIENTES COMERCIALES</t>
  </si>
  <si>
    <t>BAM AHORRO USD</t>
  </si>
  <si>
    <t>Clientes</t>
  </si>
  <si>
    <t>Cuentas por cobrar locales</t>
  </si>
  <si>
    <t>Deudores comerciales</t>
  </si>
  <si>
    <t>FICHOSA</t>
  </si>
  <si>
    <t>Otras cuentas por cobrar</t>
  </si>
  <si>
    <t>(-) ESTIMACION DE CUENTAS INCOBRABLES</t>
  </si>
  <si>
    <t>PROMERICA 7323</t>
  </si>
  <si>
    <t>Prestamos funcionarios</t>
  </si>
  <si>
    <t>G&amp;T CONTINENTAL</t>
  </si>
  <si>
    <t>PROMERIA 4127</t>
  </si>
  <si>
    <t>Deudores empleados</t>
  </si>
  <si>
    <t>Anticipos sobre compras</t>
  </si>
  <si>
    <t>BANCOS DEL EXTRAJERO</t>
  </si>
  <si>
    <t>Cuentas por cobrar a terceros</t>
  </si>
  <si>
    <t>Total Otras cuentas por cobrar</t>
  </si>
  <si>
    <t>Cinco Saltos, S.A.</t>
  </si>
  <si>
    <t>CAJA CHICA</t>
  </si>
  <si>
    <t>Otras cuentas por cobrar diversas</t>
  </si>
  <si>
    <t>BANCO INDUSTRIAL</t>
  </si>
  <si>
    <t>Gente Pilas, S.A.</t>
  </si>
  <si>
    <t>Aportes pendientes de capitalizar</t>
  </si>
  <si>
    <t>Luz María Montenegro</t>
  </si>
  <si>
    <t>Logistica Nave, S.A.</t>
  </si>
  <si>
    <t>DEUDORES VARIOS</t>
  </si>
  <si>
    <t>Novum</t>
  </si>
  <si>
    <t>PORCION CORRIENTE DE C.C. L.P.</t>
  </si>
  <si>
    <t>Al dia</t>
  </si>
  <si>
    <t>FICHOSA US$</t>
  </si>
  <si>
    <t>BANCO SANTANDER</t>
  </si>
  <si>
    <t>Gastos anticipados</t>
  </si>
  <si>
    <t>OTROS</t>
  </si>
  <si>
    <t>Empresa Centroamericana de seguridad, S.A.</t>
  </si>
  <si>
    <t>0-30 dias</t>
  </si>
  <si>
    <t>FICHOSA GTQ</t>
  </si>
  <si>
    <t>BANCO GENERAÑ</t>
  </si>
  <si>
    <t>Cero Uno, S.A.</t>
  </si>
  <si>
    <t>Frutera del Pacifico</t>
  </si>
  <si>
    <t>Total Gastos Anticipados</t>
  </si>
  <si>
    <t>Banco Industrial</t>
  </si>
  <si>
    <t>31-60 dias</t>
  </si>
  <si>
    <t>JP MORGAN CHANCE BANK</t>
  </si>
  <si>
    <t>Absortex, S.A.</t>
  </si>
  <si>
    <t>Nutricion experimental</t>
  </si>
  <si>
    <t>61-90 dias</t>
  </si>
  <si>
    <t>Emusa</t>
  </si>
  <si>
    <t>91-120 dias</t>
  </si>
  <si>
    <t>Industrias de Aceites Suprema, S.A.</t>
  </si>
  <si>
    <t>Total IVA Crédito Fiscal</t>
  </si>
  <si>
    <t>A mas de 120 dias</t>
  </si>
  <si>
    <t>PATAGONIA, S.A.</t>
  </si>
  <si>
    <t>Grupo Solid</t>
  </si>
  <si>
    <t>BANCO INTERNQACIONAL</t>
  </si>
  <si>
    <t>Poliproductos de Guatemala, S.A.</t>
  </si>
  <si>
    <t>Total Otros activos corrientes</t>
  </si>
  <si>
    <t>Clientes: Total</t>
  </si>
  <si>
    <t>Suministros Comerciales de CA</t>
  </si>
  <si>
    <t>Clientes: Leterago del Ecuador s.a.</t>
  </si>
  <si>
    <t xml:space="preserve">Impuestos por cobrar </t>
  </si>
  <si>
    <t>IMPUESTOS AL VALOR AGREGADO - LOCAL</t>
  </si>
  <si>
    <t>OPERACIONES DE CONFIANZA IPG</t>
  </si>
  <si>
    <t>Alimentos Maravilla, S.A.</t>
  </si>
  <si>
    <t>Clientes: Quimifar, s.a.</t>
  </si>
  <si>
    <t>Total Impuestos por cobrar</t>
  </si>
  <si>
    <t>IMPUESTO DE SOLIDARIDAD</t>
  </si>
  <si>
    <t>Cuentas por cobrar Relacionadas</t>
  </si>
  <si>
    <t>CLIENTES</t>
  </si>
  <si>
    <t>DISPONIBILIDADES</t>
  </si>
  <si>
    <t>Industrua Chiquibul, S.A.</t>
  </si>
  <si>
    <t>Clientes: International Research Brands Corp.</t>
  </si>
  <si>
    <t>ISR EN EXCESO</t>
  </si>
  <si>
    <t>CUENTAS POR COBRAR JURIDICO</t>
  </si>
  <si>
    <t>Corporación Arium, S.A.</t>
  </si>
  <si>
    <t>Especialista en empaques, S.A:</t>
  </si>
  <si>
    <t>Total Cuentas por Cobrar a Relacionadas de L.P.</t>
  </si>
  <si>
    <t>Clientes: Droguería Intermed. s.a.</t>
  </si>
  <si>
    <t>Las Aguas, S.A.</t>
  </si>
  <si>
    <t>Deninmville, S.A.</t>
  </si>
  <si>
    <t>IMPUESTOS AL VALOR AGREGADO -EXPORTACIONES</t>
  </si>
  <si>
    <t>Clientes: Compaía Farmacéutica Lanquetín</t>
  </si>
  <si>
    <t>PRODUCTO TERMINADO</t>
  </si>
  <si>
    <t>Azul Profundo, S:A.</t>
  </si>
  <si>
    <t>Otros Activos L.P.</t>
  </si>
  <si>
    <t>Clientes: Bimeda de México s.a. de c.v.</t>
  </si>
  <si>
    <t>Cuentas por cobrar partes relacionadas</t>
  </si>
  <si>
    <t>CARGILL INC. CORP</t>
  </si>
  <si>
    <t>Olmeca, S.A.</t>
  </si>
  <si>
    <t>Cuenta po cobrar Luda</t>
  </si>
  <si>
    <t>RETENCION DEL IMPUESTO AL VALOR AGREGADO</t>
  </si>
  <si>
    <t>Clientes: Otros</t>
  </si>
  <si>
    <t>Total Inventarios</t>
  </si>
  <si>
    <t>Mercaderia en transito y Anticipo a Proveedores</t>
  </si>
  <si>
    <t>AGRICOLA MANACALES</t>
  </si>
  <si>
    <t>Bananera Nacional, S.A.</t>
  </si>
  <si>
    <t>Total Otros Activos L.P.</t>
  </si>
  <si>
    <t>(-) PORCION CORRIENTE</t>
  </si>
  <si>
    <t>OTRAS EXISTENCIAS</t>
  </si>
  <si>
    <t>Deposito por arrendamiento</t>
  </si>
  <si>
    <t>SIGMA ALLIANCE INC</t>
  </si>
  <si>
    <t>Hoosier Manufactoring, Compañía Limitada</t>
  </si>
  <si>
    <t>Anticipo a proveedores</t>
  </si>
  <si>
    <t>MIRANDILLA, S.A.</t>
  </si>
  <si>
    <t>Ganaderia Rio Seco, S.A.</t>
  </si>
  <si>
    <t>Total Activos Biológicos de CP</t>
  </si>
  <si>
    <t>Anticipos a proveedores del exterior</t>
  </si>
  <si>
    <t>Gastos por anticipado</t>
  </si>
  <si>
    <t>ROSALBA, S.A.</t>
  </si>
  <si>
    <t>Termodinamica, S.A.</t>
  </si>
  <si>
    <t>RETENCIONES PROV. DEV. SAT</t>
  </si>
  <si>
    <t>Inmobilia MA, S.A.</t>
  </si>
  <si>
    <t>IVA por cobrar</t>
  </si>
  <si>
    <t>Anticipo varios</t>
  </si>
  <si>
    <t>Prestamos empleados</t>
  </si>
  <si>
    <t>PULSE GLOBAL INC</t>
  </si>
  <si>
    <t>Agroindustrias Albay, S.A.</t>
  </si>
  <si>
    <t>Cuentas por liquidar</t>
  </si>
  <si>
    <t>Total Proveedores</t>
  </si>
  <si>
    <t>Unipharm American Inc</t>
  </si>
  <si>
    <t>Impuestos y contribuciones</t>
  </si>
  <si>
    <t>Otras cuentas por liquidar</t>
  </si>
  <si>
    <t>AFROPECUARIA PANORAMA, S.A.</t>
  </si>
  <si>
    <t>Bioska, S.A.</t>
  </si>
  <si>
    <t>Unipharm Trading LLC</t>
  </si>
  <si>
    <t>Materia Prima</t>
  </si>
  <si>
    <t>Depostos en garantía</t>
  </si>
  <si>
    <t>ARRENDADORA CENTROAMERICANA</t>
  </si>
  <si>
    <t>Documentos por cobrar</t>
  </si>
  <si>
    <t>Naturaceites, S.A.</t>
  </si>
  <si>
    <t>Alquileres pagados por Anticipado</t>
  </si>
  <si>
    <t>Cuentas por pagar relacionadas C.P.</t>
  </si>
  <si>
    <t>Unipharm US Operations LLC</t>
  </si>
  <si>
    <t>Total Inventario de Materias Primas y Repuestos</t>
  </si>
  <si>
    <t>ISR por cobrar</t>
  </si>
  <si>
    <t>Deposito por energia electrica</t>
  </si>
  <si>
    <t>ASOCIACIÓN AVIA</t>
  </si>
  <si>
    <t>Tropilight, S.A.</t>
  </si>
  <si>
    <t>Depositos en garantia</t>
  </si>
  <si>
    <t>Cuentas por cobrar a partes relacionadas</t>
  </si>
  <si>
    <t>Impuesto por cobrar</t>
  </si>
  <si>
    <t>Anticipo a activos fijos</t>
  </si>
  <si>
    <t>EZPOGRANEL, S.A.</t>
  </si>
  <si>
    <t>Inmobiliaria la Fotuna, S.A.</t>
  </si>
  <si>
    <t>Cuentas y documentos por cobrar</t>
  </si>
  <si>
    <t>Total Cuentas por pagar relacionadas C.P.</t>
  </si>
  <si>
    <t>Propiedad, planta y equipo</t>
  </si>
  <si>
    <t>IVA retenciones</t>
  </si>
  <si>
    <t>BI CAPITAL CORPORATION</t>
  </si>
  <si>
    <t>Gastos pagados por anticipado</t>
  </si>
  <si>
    <t>Lorenesi y Compañía Limitada</t>
  </si>
  <si>
    <t>Anticipo empleados</t>
  </si>
  <si>
    <t>ISO</t>
  </si>
  <si>
    <t>TERMINALES LIQUIDOS, S.A.</t>
  </si>
  <si>
    <t>Poly Fibras, S.A:</t>
  </si>
  <si>
    <t>ANTICIPO HONORARIOS GERENCIA</t>
  </si>
  <si>
    <t>GRANELSA</t>
  </si>
  <si>
    <t>Otras activos</t>
  </si>
  <si>
    <t>Aparel &amp; textiles Sourcing, S.A.</t>
  </si>
  <si>
    <t>Anticipo sobre sueldos</t>
  </si>
  <si>
    <t>Cuentas por pagar C.P.</t>
  </si>
  <si>
    <t>Beneficios empleados</t>
  </si>
  <si>
    <t>PRESTAMO A ASOCIOS</t>
  </si>
  <si>
    <t>Creditos fiscales</t>
  </si>
  <si>
    <t>PRODUCTOS ALIMENTICIOS PARA LA INDUSTRIA, S.A.</t>
  </si>
  <si>
    <t>Accesorios Globales</t>
  </si>
  <si>
    <t>31/12/2023</t>
  </si>
  <si>
    <t>PRODUCTOS SEMI-TERMINADOS</t>
  </si>
  <si>
    <t>AFORO FACTORING POR LIQUIDAR</t>
  </si>
  <si>
    <t>EVERSEAS DE GUATEMALA</t>
  </si>
  <si>
    <t>Universal Quimica, S.A.</t>
  </si>
  <si>
    <t>Impuestos por Solidaridad</t>
  </si>
  <si>
    <t>Total Otras cuentas por pagar</t>
  </si>
  <si>
    <t>PRODUCTOS EN PROCESO</t>
  </si>
  <si>
    <t>Gastos de organización</t>
  </si>
  <si>
    <t>ANTICIPO GASTOS MEDICOS</t>
  </si>
  <si>
    <t>CLUB INDUSTRIAL</t>
  </si>
  <si>
    <t>La gran Montala, S.A.</t>
  </si>
  <si>
    <t>Impuestos al Valor agregado</t>
  </si>
  <si>
    <t>Total Créditos Fiscales</t>
  </si>
  <si>
    <t>Inventario en mercaderia</t>
  </si>
  <si>
    <t>MIELES DEL PACIFICO</t>
  </si>
  <si>
    <t>Aves Reproductoras de C.A.</t>
  </si>
  <si>
    <t>ISR trimestral</t>
  </si>
  <si>
    <t>Cuentas por pagar L.P.</t>
  </si>
  <si>
    <t>(-) PRODUCTOS OBSOLETOS</t>
  </si>
  <si>
    <t>Escritura de constitución</t>
  </si>
  <si>
    <t>LITORAL</t>
  </si>
  <si>
    <t>Impuestos al tabaco</t>
  </si>
  <si>
    <t>Polindustrias</t>
  </si>
  <si>
    <t>Retencion IVA</t>
  </si>
  <si>
    <t>MERCADERIA EN TRANSITO</t>
  </si>
  <si>
    <t>Total Propiedad, planta y equipo</t>
  </si>
  <si>
    <t>Bodega general</t>
  </si>
  <si>
    <t>ADMINISTRADORA DE LOGISTICA, MANEJO Y ARRENDAMIENTO GUATEMALTECA</t>
  </si>
  <si>
    <t>IVA retenciones por compensar</t>
  </si>
  <si>
    <t>Mt Textiles, S.A.</t>
  </si>
  <si>
    <t>Iva por cobrar</t>
  </si>
  <si>
    <t>Total Cuentas por pagar L.P.</t>
  </si>
  <si>
    <t>Bodega fiscal</t>
  </si>
  <si>
    <t>DISTRIBUIDORA DE ALCOHOLES DE GUATEMALA</t>
  </si>
  <si>
    <t>ISR Trimestral</t>
  </si>
  <si>
    <t>Importadora Nebla, S.A.</t>
  </si>
  <si>
    <t>ISR en exceso</t>
  </si>
  <si>
    <t>OTRAS CUENTAS POR COBRAR</t>
  </si>
  <si>
    <t>Mascarillas KN95</t>
  </si>
  <si>
    <t>INMOBILIAIRA PAJOCA</t>
  </si>
  <si>
    <t>Impuestos por cobrar a CP</t>
  </si>
  <si>
    <t>Cuentas por pagar relacionadas L.P.</t>
  </si>
  <si>
    <t>Producto terminado</t>
  </si>
  <si>
    <t>ANTICIPO A IMPORTACIONES</t>
  </si>
  <si>
    <t>Bodega General</t>
  </si>
  <si>
    <t>INVERSIONES FAURE</t>
  </si>
  <si>
    <t>ISO trimestrales</t>
  </si>
  <si>
    <t>ACTIVO FIJO</t>
  </si>
  <si>
    <t>OTROS ANTICIPOS</t>
  </si>
  <si>
    <t>INVERSIONES OTRAS EMPRESAS</t>
  </si>
  <si>
    <t>Total Cuentas por pagar relacionadas L.P.</t>
  </si>
  <si>
    <t>GASTOS POR APLICAR</t>
  </si>
  <si>
    <t>OTROS ACTIVOS FINANCIEROS</t>
  </si>
  <si>
    <t>Insumos y repuestos</t>
  </si>
  <si>
    <t>COMISIONES E INTERESE PAG POR ANT FACTORAJE</t>
  </si>
  <si>
    <t>Inventario Final</t>
  </si>
  <si>
    <t>GASTOS POR PRORRATEAR</t>
  </si>
  <si>
    <t>Productos terminados</t>
  </si>
  <si>
    <t>Transito en mercaderia</t>
  </si>
  <si>
    <t>PERESTAMOS AL PERSONAL</t>
  </si>
  <si>
    <t>Total Provisión para indemnizaciones</t>
  </si>
  <si>
    <t xml:space="preserve">APARTAMENTO R 1064, F 64 L 43E TORRE 1 </t>
  </si>
  <si>
    <t>CUENTAS POR COBRAR ESPECIALES</t>
  </si>
  <si>
    <t xml:space="preserve">del exterior </t>
  </si>
  <si>
    <t>ANTICIPO A PROVEEDORES</t>
  </si>
  <si>
    <t>Otros activos C.P.</t>
  </si>
  <si>
    <t>CUENTAS POR COBRAR JURIDICO O CONVENIO</t>
  </si>
  <si>
    <t>Mejora a propiedades arrendadas</t>
  </si>
  <si>
    <t>locales</t>
  </si>
  <si>
    <t>Capital y Resultados</t>
  </si>
  <si>
    <t>SEGUROS</t>
  </si>
  <si>
    <t>PROVEEDORES LOCALES</t>
  </si>
  <si>
    <t>LEASING PAGADO POR ANTICIPADO</t>
  </si>
  <si>
    <t>MAQUINAS EXACTAS</t>
  </si>
  <si>
    <t>Inventario de mercaderia</t>
  </si>
  <si>
    <t>Total Otros activos C.P.</t>
  </si>
  <si>
    <t>PROVEEDORES DEL EXTERIOR</t>
  </si>
  <si>
    <t>ANTICIPOS POR SERVICIOS ADQUIRIDOS</t>
  </si>
  <si>
    <t>Inmuebles</t>
  </si>
  <si>
    <t>Terrenos</t>
  </si>
  <si>
    <t>(-) provisión para cientas incobrables</t>
  </si>
  <si>
    <t>DEPOSITO A TERCEROS</t>
  </si>
  <si>
    <t>Utilidad del ejercicio</t>
  </si>
  <si>
    <t>Total Marcas y Patentes</t>
  </si>
  <si>
    <t>ACTIVO DIFERIDO</t>
  </si>
  <si>
    <t>Equipo de computación</t>
  </si>
  <si>
    <t>Maquinaria</t>
  </si>
  <si>
    <t>Total Capital y Resultados</t>
  </si>
  <si>
    <t>GASTOS PAGADOS POR ANTICIPADO</t>
  </si>
  <si>
    <t>Vehiculos</t>
  </si>
  <si>
    <t>(Elimino la depreciación del total: ya está cargada a c/concepto)</t>
  </si>
  <si>
    <t>ANTICIPO DE CLIENTES</t>
  </si>
  <si>
    <t>OTROS ACTIVOS</t>
  </si>
  <si>
    <t>Maquinaria y Equipo</t>
  </si>
  <si>
    <t>Equipo de computo</t>
  </si>
  <si>
    <t>OTRAS</t>
  </si>
  <si>
    <t>Mejora a Inmuebles Arrendados</t>
  </si>
  <si>
    <t>Herramientas</t>
  </si>
  <si>
    <t>Terreno y edificios</t>
  </si>
  <si>
    <t>SUELDOS Y PRESTACIONES POR PAGAR</t>
  </si>
  <si>
    <t>Equipo de Laboratorio</t>
  </si>
  <si>
    <t>Obras en proceso</t>
  </si>
  <si>
    <t>Venta de marcas</t>
  </si>
  <si>
    <t>Otros activos L.P.</t>
  </si>
  <si>
    <t>DESCUENTOS EMPLEADOS</t>
  </si>
  <si>
    <t>Activos por derecho de uso</t>
  </si>
  <si>
    <t>Anticipos a Socios</t>
  </si>
  <si>
    <t xml:space="preserve">Total Ventas </t>
  </si>
  <si>
    <t>IVA POR COBRAR</t>
  </si>
  <si>
    <t>Depreciación acumulada</t>
  </si>
  <si>
    <t>Depositos en garantía</t>
  </si>
  <si>
    <t>Activos Intangibles</t>
  </si>
  <si>
    <t>Total Impuestos por cobrar (ISR diferido, otros)</t>
  </si>
  <si>
    <t>ISR POR COBRAR</t>
  </si>
  <si>
    <t>Mobiliario y equipo</t>
  </si>
  <si>
    <t>Deposito parque Global</t>
  </si>
  <si>
    <t>PROPIEDAD, PLANTA Y EQUIPO</t>
  </si>
  <si>
    <t>IMPUESTO POR APLICAR COBROS A TERCEROS</t>
  </si>
  <si>
    <t xml:space="preserve">Programas y licencias </t>
  </si>
  <si>
    <t>Software</t>
  </si>
  <si>
    <t>Mejoras a propiedad arrendada</t>
  </si>
  <si>
    <t>Anticipo de compras en el exterior</t>
  </si>
  <si>
    <t>Maquinaria y equipo</t>
  </si>
  <si>
    <t>IMPUESTOS Y CONTRIBUCIONES POR PAGAR</t>
  </si>
  <si>
    <t>Moldes</t>
  </si>
  <si>
    <t>vehculos</t>
  </si>
  <si>
    <t>Gastos de Administración (-)</t>
  </si>
  <si>
    <t>Total Impuestos por Pagar</t>
  </si>
  <si>
    <t>Amortizacion acumulada</t>
  </si>
  <si>
    <t>Antigüedad de cuentas por pagar</t>
  </si>
  <si>
    <t>Marcas y patentes</t>
  </si>
  <si>
    <t>Equipo de Computo</t>
  </si>
  <si>
    <t>Total Gastos de Administración (-)</t>
  </si>
  <si>
    <t>Impuestos por acreditar</t>
  </si>
  <si>
    <t>Instalaciones</t>
  </si>
  <si>
    <t>INVENTARIO DE PRODUCTO CARNICO</t>
  </si>
  <si>
    <t>Retenciones IVA</t>
  </si>
  <si>
    <t>Otros Gastos Operativos (-)</t>
  </si>
  <si>
    <t>MATERIA PRIMA</t>
  </si>
  <si>
    <t>Depreciacion acumulada</t>
  </si>
  <si>
    <t>Credito Fiscal IVA</t>
  </si>
  <si>
    <t>Sofware</t>
  </si>
  <si>
    <t>MATERIALES DE EMPAQUE</t>
  </si>
  <si>
    <t>Total Otros Gastos Operativos (-)</t>
  </si>
  <si>
    <t>Porción de deuda bancaria L.P. a pagar a C.P.</t>
  </si>
  <si>
    <t>OTROS INVENTARIOS</t>
  </si>
  <si>
    <t>FUNCIONARIOS Y EMPLEADOS</t>
  </si>
  <si>
    <t>Amortización acumulada (-)</t>
  </si>
  <si>
    <t>Endeudamiento bancario L. P.</t>
  </si>
  <si>
    <t>Depreciacion acumulada (-)</t>
  </si>
  <si>
    <t>Ingresos y Gastos No Operativos</t>
  </si>
  <si>
    <t>COMPAÑIAS RELACIONADAS COMERCIALES</t>
  </si>
  <si>
    <t>PRESTAMOS A LARGO PLAZO</t>
  </si>
  <si>
    <t>CUENTAS POR COBRAR CAÑEROS</t>
  </si>
  <si>
    <t>COMPAÑIAS RELACIONADAS NO COMERCIALES</t>
  </si>
  <si>
    <t>Cuentas por pagar según antiguedad</t>
  </si>
  <si>
    <t xml:space="preserve">(-) PORCION CORRIENTE </t>
  </si>
  <si>
    <t>ANTICIPO MERCADO MAYORISTA</t>
  </si>
  <si>
    <t>Cuentas por pagar</t>
  </si>
  <si>
    <t>PRESTAMOS</t>
  </si>
  <si>
    <t>Total Cuentas por pagar según antiguedad</t>
  </si>
  <si>
    <t>Subtotal Endeudamiento bancario L. P.</t>
  </si>
  <si>
    <t>Proveedores Locales</t>
  </si>
  <si>
    <t>ANTICIPO SOBRE COMPRAS</t>
  </si>
  <si>
    <t>Total de endeudamiento bancario</t>
  </si>
  <si>
    <t>Cuenta por pagar</t>
  </si>
  <si>
    <t>DEPOSTOS EN GARANTÍA</t>
  </si>
  <si>
    <t>OTROS PASIVOS</t>
  </si>
  <si>
    <t>Depositos en Garantias de marcas</t>
  </si>
  <si>
    <t>Proyectos especiales</t>
  </si>
  <si>
    <t>CUENTAS POR COBRAR A LA ASOCIACIÓN DE TRABAJADORES</t>
  </si>
  <si>
    <t>Impuesto por cobrar (ISR diferido, otros)</t>
  </si>
  <si>
    <t>Pasivos por derecho de uso</t>
  </si>
  <si>
    <t>ANTICIPO A PROVEEDORES DEL EXTERIOR</t>
  </si>
  <si>
    <t xml:space="preserve">Menos porcion corriente </t>
  </si>
  <si>
    <t>COMISIONES PAGADAS POR ANTICIPADO</t>
  </si>
  <si>
    <t>Provisiones</t>
  </si>
  <si>
    <t>Total Prestamos no Bancarios</t>
  </si>
  <si>
    <t xml:space="preserve">Otras Cuentas por pagar </t>
  </si>
  <si>
    <t>Obligaciones por beneficios a los empleados</t>
  </si>
  <si>
    <t>Pasivos por arrendamiento</t>
  </si>
  <si>
    <t>Proveedores del exterior</t>
  </si>
  <si>
    <t>INMUEBLES, OBRAS Y MEJORAS A AL PROPIEDAD</t>
  </si>
  <si>
    <t>Locales</t>
  </si>
  <si>
    <t>MAQUINARIA Y EQUIPO</t>
  </si>
  <si>
    <t>Otras cuentas comerciales por pagar</t>
  </si>
  <si>
    <t>(-) PAGOS LA CUENTA ISR</t>
  </si>
  <si>
    <t>Del exterior</t>
  </si>
  <si>
    <t>Superavit por reevaluacion</t>
  </si>
  <si>
    <t>Impuestos por pagar</t>
  </si>
  <si>
    <t>CUASRTOS FRIOS</t>
  </si>
  <si>
    <t>Proveedores internacionales</t>
  </si>
  <si>
    <t>IVA POR PAGAR</t>
  </si>
  <si>
    <t>VEHICULOS</t>
  </si>
  <si>
    <t>Cuentas por pagar partes relacionadas</t>
  </si>
  <si>
    <t>(-) RESERVA NO ACREDITADA</t>
  </si>
  <si>
    <t>Mob y equipo de oficina</t>
  </si>
  <si>
    <t>EQUIPO DE COMPUTO</t>
  </si>
  <si>
    <t>IMPUESTO DE SOLIDARIDAD ACREDITADO</t>
  </si>
  <si>
    <t>ENDEUDAMIENTO BANCARIO</t>
  </si>
  <si>
    <t>MOBILIARIO Y EQUIPO DE OFICINAS</t>
  </si>
  <si>
    <t>IVA PENDIDIENTE DE LIQUIDACIÓN</t>
  </si>
  <si>
    <t>Herramientas y Enseres</t>
  </si>
  <si>
    <t xml:space="preserve">Total Impuesto sobre la renta diferido </t>
  </si>
  <si>
    <t>EQUIPO DE COMERCIALIZACIÓ</t>
  </si>
  <si>
    <t>IVA</t>
  </si>
  <si>
    <t>Endeudamiento bancario C. P.</t>
  </si>
  <si>
    <t>MOBILIARIO Y EQUIPO DE LABORATORIO</t>
  </si>
  <si>
    <t>Documentos por pagar</t>
  </si>
  <si>
    <t>Maquinaria de producción</t>
  </si>
  <si>
    <t>PROVISIONES PARA INDEMNIZACIONES</t>
  </si>
  <si>
    <t>Sub-total</t>
  </si>
  <si>
    <t>PANELES SOLARES</t>
  </si>
  <si>
    <t>Mejoras a Insalaciones</t>
  </si>
  <si>
    <t>HERRAMIENTAS</t>
  </si>
  <si>
    <t>Otras cuentas por pagar servicios</t>
  </si>
  <si>
    <t>Depreciaciones acum</t>
  </si>
  <si>
    <t>FACTORAJE</t>
  </si>
  <si>
    <t>MOLDES Y EMBUTIDOS</t>
  </si>
  <si>
    <t>Obligacioens por pagar</t>
  </si>
  <si>
    <t>Anticipo clientes</t>
  </si>
  <si>
    <t>AZUCAR CRUDO</t>
  </si>
  <si>
    <t>(-) PORCION NO CORRIENTE</t>
  </si>
  <si>
    <t>MATERIALES Y SUMINISTRO</t>
  </si>
  <si>
    <t>Pasivo en arrendamiento</t>
  </si>
  <si>
    <t>AZUCAR BLANCA A GRANEL</t>
  </si>
  <si>
    <t>Gastos de Ventas (-)</t>
  </si>
  <si>
    <t>AZUCAR MORENA SACO 50KG</t>
  </si>
  <si>
    <t>AZUCAR BLANCO</t>
  </si>
  <si>
    <t>Cuentas y documentos por pagar</t>
  </si>
  <si>
    <t>Total Gastos de Ventas (-)</t>
  </si>
  <si>
    <t>REPUESTOS DE TALLER</t>
  </si>
  <si>
    <t>Proveedor servicios</t>
  </si>
  <si>
    <t>Prestaciones laborales por pagar</t>
  </si>
  <si>
    <t>Total Pasivos por arrendamientos</t>
  </si>
  <si>
    <t>ALCOHOL</t>
  </si>
  <si>
    <t>Anticipo Clientes</t>
  </si>
  <si>
    <t>Cuentas por pagar a socios</t>
  </si>
  <si>
    <t>PASIVO TRANSITORIO</t>
  </si>
  <si>
    <t>Cuentas por pagar relacionadas</t>
  </si>
  <si>
    <t>Provisiones prestaciones laborales</t>
  </si>
  <si>
    <t>CONGENERACIÓN</t>
  </si>
  <si>
    <t>Pasivo laboral</t>
  </si>
  <si>
    <t>Cuotas padronales por pagar IGSS</t>
  </si>
  <si>
    <t>Impuesto sobre la renta diferido pasivo L.P.</t>
  </si>
  <si>
    <t>CARBOL MINERAL</t>
  </si>
  <si>
    <t>Obligaciones laborales</t>
  </si>
  <si>
    <t>Cuotas laborales por paga IGSS</t>
  </si>
  <si>
    <t xml:space="preserve">Total Otras Cuentas por pagar </t>
  </si>
  <si>
    <t>AZUCAR CRISTAL SACO 50 KG</t>
  </si>
  <si>
    <t>Cobro por cuenta ajena</t>
  </si>
  <si>
    <t>ACREEDORES EMPLEADOS</t>
  </si>
  <si>
    <t>Total Impuesto sobre la renta diferido pasivo L.P.</t>
  </si>
  <si>
    <t>AGRÍCOLA</t>
  </si>
  <si>
    <t>Capitolio, S.a.</t>
  </si>
  <si>
    <t>Cobro por cuneta ajena</t>
  </si>
  <si>
    <t>BONOS POR PAGAR</t>
  </si>
  <si>
    <t>COMBUSTIBLE</t>
  </si>
  <si>
    <t>Ronald Predroso</t>
  </si>
  <si>
    <t>Subtotal Endeudamiento bancario C. P.</t>
  </si>
  <si>
    <t>Cuentas por pagar Relacionadas</t>
  </si>
  <si>
    <t xml:space="preserve">FINCAS </t>
  </si>
  <si>
    <t>Facto Soluciones financieras, S.A.</t>
  </si>
  <si>
    <t>AF Fumigacion, S.A.</t>
  </si>
  <si>
    <t>Préstamos a corto plazo</t>
  </si>
  <si>
    <t>MELAZA</t>
  </si>
  <si>
    <t>Lime Corp, S.A.</t>
  </si>
  <si>
    <t>Grupo Industrial (Grupo Q)</t>
  </si>
  <si>
    <t>Banco promerica</t>
  </si>
  <si>
    <t>Rentas Seguroas</t>
  </si>
  <si>
    <t>Montacargas Universales, S.A:</t>
  </si>
  <si>
    <t>Reserva y Provisión</t>
  </si>
  <si>
    <t>Utilidades retenedias</t>
  </si>
  <si>
    <t>Banco GYT</t>
  </si>
  <si>
    <t xml:space="preserve">MODULOS </t>
  </si>
  <si>
    <t>Working Capital, S.A.</t>
  </si>
  <si>
    <t>Imporcomp, S.A.</t>
  </si>
  <si>
    <t>Impuestos de solidaridad</t>
  </si>
  <si>
    <t>OTROS MENORES</t>
  </si>
  <si>
    <t>Coinpro Leasing</t>
  </si>
  <si>
    <t>Fetilizante maya, S.A.</t>
  </si>
  <si>
    <t>Cuota laboral y Patronal</t>
  </si>
  <si>
    <t>Prestamos a largo plazo</t>
  </si>
  <si>
    <t>BI</t>
  </si>
  <si>
    <t>IVA por pagar</t>
  </si>
  <si>
    <t>ISR por pagasr por utilidades</t>
  </si>
  <si>
    <t>Negocios Versatiles</t>
  </si>
  <si>
    <t>Oreplast</t>
  </si>
  <si>
    <t>ISO anual</t>
  </si>
  <si>
    <t>ISR Retenciones proveedores locales</t>
  </si>
  <si>
    <t>Impuesto por pargar</t>
  </si>
  <si>
    <t>Estela Gándara</t>
  </si>
  <si>
    <t>Construcciones Modernas</t>
  </si>
  <si>
    <t>Retencion de IVA</t>
  </si>
  <si>
    <t>WC</t>
  </si>
  <si>
    <t>IVA retenciones por pagar</t>
  </si>
  <si>
    <t>Quimicos y Materiales</t>
  </si>
  <si>
    <t>Retenciones de ISR por pagar</t>
  </si>
  <si>
    <t>ISR Retenciones proveedores exterior</t>
  </si>
  <si>
    <t>Mega Soluciones</t>
  </si>
  <si>
    <t>ISR Anual por pagar</t>
  </si>
  <si>
    <t>Documentos por Pagar</t>
  </si>
  <si>
    <t>ISR diferido</t>
  </si>
  <si>
    <t>activo biologico a corto plazo</t>
  </si>
  <si>
    <t>Agexport</t>
  </si>
  <si>
    <t>IVA facturas especiales</t>
  </si>
  <si>
    <t>Total Documentos por Pagar</t>
  </si>
  <si>
    <t>Servicios Prestados</t>
  </si>
  <si>
    <t>Financiera Progreso</t>
  </si>
  <si>
    <t>Energia Inmediata</t>
  </si>
  <si>
    <t>ISR Proveedores</t>
  </si>
  <si>
    <t>Financiera MVA</t>
  </si>
  <si>
    <t>Cuentas por cobrar relacionadas</t>
  </si>
  <si>
    <t>Garcia &amp; Asociados</t>
  </si>
  <si>
    <t>ISR facturas especiales</t>
  </si>
  <si>
    <t>Grupo Alvika, S.A.</t>
  </si>
  <si>
    <t>Debito fiscal</t>
  </si>
  <si>
    <t>Ventas netas</t>
  </si>
  <si>
    <t>GASTOS DIFERIDOS</t>
  </si>
  <si>
    <t>Luis Gustavo Garcia</t>
  </si>
  <si>
    <t>ISR no residentes</t>
  </si>
  <si>
    <t>ISR rentas de trabajo</t>
  </si>
  <si>
    <t>cuentas por pagar</t>
  </si>
  <si>
    <t>GASTOS DE PRECOSECHA</t>
  </si>
  <si>
    <t>Megabyte Guatemala</t>
  </si>
  <si>
    <t>Impueso por pagar</t>
  </si>
  <si>
    <t>ISR a proveedores</t>
  </si>
  <si>
    <t>CUENTAS POR PAGAR</t>
  </si>
  <si>
    <t>Banco Industrial, S.A.</t>
  </si>
  <si>
    <t>Miguel Miculax</t>
  </si>
  <si>
    <t>Banco Agromercantil, S.A.</t>
  </si>
  <si>
    <t>Convenio IGSS</t>
  </si>
  <si>
    <t>Bam</t>
  </si>
  <si>
    <t>Banco CHN, S.A.</t>
  </si>
  <si>
    <t>Parque Global, S.A.</t>
  </si>
  <si>
    <t>Otros resultados integrales</t>
  </si>
  <si>
    <t>Gastos de administración</t>
  </si>
  <si>
    <t>SM Factor</t>
  </si>
  <si>
    <t>PORCION NO CORRIENTE</t>
  </si>
  <si>
    <t>gastos de administración y ventas</t>
  </si>
  <si>
    <t>Valens</t>
  </si>
  <si>
    <t>MAQUINARIA E INSTALACIONES</t>
  </si>
  <si>
    <t>Plasticos San Jose</t>
  </si>
  <si>
    <t xml:space="preserve">CUOTA LABORAL IGSS </t>
  </si>
  <si>
    <t>INSTALACIONES DE COGENERACIÓN</t>
  </si>
  <si>
    <t>Gastos de ventas</t>
  </si>
  <si>
    <t>gastos de operación</t>
  </si>
  <si>
    <t>CUOTA PATRONAL IGSS</t>
  </si>
  <si>
    <t>INSTALACIONES INDUSTRIALES</t>
  </si>
  <si>
    <t>Edwin Rivera</t>
  </si>
  <si>
    <t>Prestamos Bancarios</t>
  </si>
  <si>
    <t>gastos de operación y logistica</t>
  </si>
  <si>
    <t>NOTA DE CRÉDITO POR APLICAR</t>
  </si>
  <si>
    <t>EQUIPO</t>
  </si>
  <si>
    <t>Alquemi</t>
  </si>
  <si>
    <t>PROVISIONE LABORALES</t>
  </si>
  <si>
    <t>Varios Proveedores</t>
  </si>
  <si>
    <t>Depreciaciones</t>
  </si>
  <si>
    <t>EDIFICIOS Y CONSTRUCCIONES</t>
  </si>
  <si>
    <t>Credomatic TC</t>
  </si>
  <si>
    <t>Ingresos por venta de marcas</t>
  </si>
  <si>
    <t>gastos de comercialización</t>
  </si>
  <si>
    <t>MOBILIARIO Y EQUIPO</t>
  </si>
  <si>
    <t>BAM TC</t>
  </si>
  <si>
    <t>PRESTAMOS A CORTO PLAZO</t>
  </si>
  <si>
    <t>Prestación de servicios</t>
  </si>
  <si>
    <t>Amortizaciones</t>
  </si>
  <si>
    <t>TERRENOS</t>
  </si>
  <si>
    <t>2019</t>
  </si>
  <si>
    <t>WC leasing por pagar</t>
  </si>
  <si>
    <t>Otros ingresos, neto</t>
  </si>
  <si>
    <t>RETENCION IVA PROVEEDOR</t>
  </si>
  <si>
    <t>OBRAS EN PROCESO</t>
  </si>
  <si>
    <t>Int. Por pagar WC leasing</t>
  </si>
  <si>
    <t>RETENCIONES ISR</t>
  </si>
  <si>
    <t>REVALUACION DE MAQUINARIA Y EQUIPO</t>
  </si>
  <si>
    <t>Gastos financieros</t>
  </si>
  <si>
    <t>RETENCIONES ISR FACTURAS ESPECIALES</t>
  </si>
  <si>
    <t>REVALUACION DE TERRENOS</t>
  </si>
  <si>
    <t>Manejo de cuenta</t>
  </si>
  <si>
    <t>IVA FACTURA ESPECIALES</t>
  </si>
  <si>
    <t>(-) DEPRECIACION ACUMULADA</t>
  </si>
  <si>
    <t>Intereses bancarios percibidos</t>
  </si>
  <si>
    <t>RETENCIONES ISR EMPLEADOS</t>
  </si>
  <si>
    <t xml:space="preserve">REVALUACION DE MAQUINARIA Y EQUIPO </t>
  </si>
  <si>
    <t>Intereses ganados</t>
  </si>
  <si>
    <t>IVA DEBITO FISCAL</t>
  </si>
  <si>
    <t>AJUSTE EN DEPRECIACIÓN ACUMULADAS DE ACTIVOS REVALUADOS</t>
  </si>
  <si>
    <t>Prestamos por pagar particulares</t>
  </si>
  <si>
    <t>Prestamos por pagar a socios</t>
  </si>
  <si>
    <t>ISR anual</t>
  </si>
  <si>
    <t>Prestamos por factoraje</t>
  </si>
  <si>
    <t>Total Otros resultados integrales</t>
  </si>
  <si>
    <t>LINEA DE CRÉDIRO HIP Y FIDUCIARIA BANCRURAL</t>
  </si>
  <si>
    <t>AGROPECUARIOA LA SEPARACIÓN</t>
  </si>
  <si>
    <t>Ventas a relacionadas</t>
  </si>
  <si>
    <t>ORIDUSTOS ALIMENTICIOS PARA LA INDUSTRIA</t>
  </si>
  <si>
    <t>Ventas de servicios comerciales</t>
  </si>
  <si>
    <t>Ventas por intermediación</t>
  </si>
  <si>
    <t>TC PROMERICA</t>
  </si>
  <si>
    <t>Devolución y rebajas sobre ventas</t>
  </si>
  <si>
    <t>DISTRIBUIDOA DE ALCOHOLES DE GUATEMALA, S.A.</t>
  </si>
  <si>
    <t>Pérdidas retenedias</t>
  </si>
  <si>
    <t>CR-BANRURAL</t>
  </si>
  <si>
    <t>Gastos de operaciónes en general</t>
  </si>
  <si>
    <t>PAJOCA, S.A.</t>
  </si>
  <si>
    <t>Pérdidas del ejercicio</t>
  </si>
  <si>
    <t>Ingresos y Gastos No Operativos, neto</t>
  </si>
  <si>
    <t>BAM LINEA CREDITO EXTERIOR</t>
  </si>
  <si>
    <t>PROVESE GUATEMALA, S.A.</t>
  </si>
  <si>
    <t>BAM CONFIRMING</t>
  </si>
  <si>
    <t>CHULAMAR.,S .A.</t>
  </si>
  <si>
    <t>TAHUEXCO, S.A.</t>
  </si>
  <si>
    <t>Ventas de D/TO/DO</t>
  </si>
  <si>
    <t>Inventario inicial</t>
  </si>
  <si>
    <t>CUENTAS POR COBRAR RELACIONADAS</t>
  </si>
  <si>
    <t>Ventas Punto Dulce</t>
  </si>
  <si>
    <t>CCREDITO DECRECIENTE BANCRURAL</t>
  </si>
  <si>
    <t>Importación para intermediación</t>
  </si>
  <si>
    <t>Compras</t>
  </si>
  <si>
    <t>Inventario final</t>
  </si>
  <si>
    <t>ARRENDADORA AGROMERCANTIL</t>
  </si>
  <si>
    <t>FINANCIERA SUMMA</t>
  </si>
  <si>
    <t>BANRURAL COMERCIO EXTERIOR</t>
  </si>
  <si>
    <t>FICHOSA FIDUCIA</t>
  </si>
  <si>
    <t>Ventas Mega Store</t>
  </si>
  <si>
    <t>Sueldos y salarios</t>
  </si>
  <si>
    <t>Ventas Majadas</t>
  </si>
  <si>
    <t>cuotas patronales IGSS</t>
  </si>
  <si>
    <t>Gastos de operación</t>
  </si>
  <si>
    <t>Venta de servicios plaza chiviri4ta</t>
  </si>
  <si>
    <t>Energía eléctrica</t>
  </si>
  <si>
    <t>Ventas el Naranjo</t>
  </si>
  <si>
    <t>Depreciacion de activos por derecho de uso</t>
  </si>
  <si>
    <t>Combustibles y lubricantes</t>
  </si>
  <si>
    <t>PROVEEDOR DE CAÑA DE AZUCAR</t>
  </si>
  <si>
    <t>Ventas kiosko americas</t>
  </si>
  <si>
    <t>Reparación y mantenimiento</t>
  </si>
  <si>
    <t>Ventas Oakland</t>
  </si>
  <si>
    <t xml:space="preserve">Indemnización </t>
  </si>
  <si>
    <t>Atención al cliente</t>
  </si>
  <si>
    <t>Venta de Bienes</t>
  </si>
  <si>
    <t>Bono 14</t>
  </si>
  <si>
    <t>Publicidad y propaganda</t>
  </si>
  <si>
    <t>Venta de Servicios</t>
  </si>
  <si>
    <t>Aguinaldo</t>
  </si>
  <si>
    <t>Comisiones pagadas</t>
  </si>
  <si>
    <t>Vacaciones</t>
  </si>
  <si>
    <t>Bonificación incentivo</t>
  </si>
  <si>
    <t>Intereses sobre préstamos</t>
  </si>
  <si>
    <t>Intereses sobre pasivo por arrendamiento</t>
  </si>
  <si>
    <t>Comisiones financieros</t>
  </si>
  <si>
    <t>Equipo de cómputo</t>
  </si>
  <si>
    <t>Alquileres</t>
  </si>
  <si>
    <t>Viajes internacionales</t>
  </si>
  <si>
    <t>Estimacion de cuentas incobrables</t>
  </si>
  <si>
    <t>Comisiones financieras</t>
  </si>
  <si>
    <t>Indemnizaciones</t>
  </si>
  <si>
    <t>ANTICIPO SOBRE CLIENTES</t>
  </si>
  <si>
    <t>Gastos bancarios</t>
  </si>
  <si>
    <t>ACREEDORES DIVERSOS</t>
  </si>
  <si>
    <t>PRESTACIONES LABORALES</t>
  </si>
  <si>
    <t>Otros gastos</t>
  </si>
  <si>
    <t>PROVISIÓN PARA INDEMNIZACIONES</t>
  </si>
  <si>
    <t>Diferencial cambiario</t>
  </si>
  <si>
    <t>Atención al personal</t>
  </si>
  <si>
    <t xml:space="preserve">Maquilas </t>
  </si>
  <si>
    <t>TRANSPORTES Y SERVICIOS DE SUCHITEPQUEZ</t>
  </si>
  <si>
    <t>Ventas excentas</t>
  </si>
  <si>
    <t>MANACALES</t>
  </si>
  <si>
    <t>MIRANDILLA</t>
  </si>
  <si>
    <t>PALMARA</t>
  </si>
  <si>
    <t>GASTOS DE ADMON</t>
  </si>
  <si>
    <t>ROSALBA</t>
  </si>
  <si>
    <t>PANORAMA</t>
  </si>
  <si>
    <t>TAHUEXCO</t>
  </si>
  <si>
    <t>Gastos de organización e instalación</t>
  </si>
  <si>
    <t>PROALSA</t>
  </si>
  <si>
    <t>GASTOS DE VENTAS</t>
  </si>
  <si>
    <t>A SOCIOS</t>
  </si>
  <si>
    <t>Sueldos Administrativos</t>
  </si>
  <si>
    <t>Inrereses bancarios</t>
  </si>
  <si>
    <t>Gastos financieros, interes y otros</t>
  </si>
  <si>
    <t>Intereses bancarios gasto</t>
  </si>
  <si>
    <t>ARRENDAMIENTO FINANCIERO</t>
  </si>
  <si>
    <t>PRESTAMOS SINDICADOS</t>
  </si>
  <si>
    <t>BANCOS INDUSTRIAL, S.A.</t>
  </si>
  <si>
    <t>WESTRUST BANK INTL</t>
  </si>
  <si>
    <t>PRESTAMOS NO BANCARIOS</t>
  </si>
  <si>
    <t>OTROS PRESTAMOS</t>
  </si>
  <si>
    <t>JP MORGAM CHANSE BANK</t>
  </si>
  <si>
    <t>INTERNACIONAL</t>
  </si>
  <si>
    <t>SANTANDER</t>
  </si>
  <si>
    <t>INDUSTRIAL</t>
  </si>
  <si>
    <t>GENERAL</t>
  </si>
  <si>
    <t>ARRENADAMIENTO FINANCIERO LP</t>
  </si>
  <si>
    <t>Perdidas retenedias</t>
  </si>
  <si>
    <t>AZUCAR</t>
  </si>
  <si>
    <t>ENERGIA ELECTRICA</t>
  </si>
  <si>
    <t>OTROS PRODUCTOS</t>
  </si>
  <si>
    <t>(-) llamados de margen de exportación de azucar</t>
  </si>
  <si>
    <t>AENEREGIA ELECTRICA</t>
  </si>
  <si>
    <t xml:space="preserve">MELAZA </t>
  </si>
  <si>
    <t>SEGUROS Y FIANZAS</t>
  </si>
  <si>
    <t>HONORARIOS</t>
  </si>
  <si>
    <t>SERVICIOS</t>
  </si>
  <si>
    <t>SUELDOS</t>
  </si>
  <si>
    <t>VIATICOS Y TRANSPORTES</t>
  </si>
  <si>
    <t>GASTOS GENERALES</t>
  </si>
  <si>
    <t>IMPUESTOS Y CONTRIBUCIONES</t>
  </si>
  <si>
    <t>DEPRECIACIONES</t>
  </si>
  <si>
    <t>ALQUILERES DE OFICINAS</t>
  </si>
  <si>
    <t>GASTOS DE PERSONAL</t>
  </si>
  <si>
    <t>REPARACIÓN Y MANTENIMIENTO</t>
  </si>
  <si>
    <t>COMERCIALIZACCIÓN Y PROMOCION</t>
  </si>
  <si>
    <t>FLETES</t>
  </si>
  <si>
    <t>ALQUILERES DE BODEGAS</t>
  </si>
  <si>
    <t>ASASGUA</t>
  </si>
  <si>
    <t>ARRENDAMIENTO DE TANQUES DE ALCOHOL</t>
  </si>
  <si>
    <t>GASTOS DE EMBARQUE</t>
  </si>
  <si>
    <t>MERMAS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</si>
</sst>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"/>
    <numFmt numFmtId="165" formatCode="#,##0.0"/>
    <numFmt numFmtId="166" formatCode="0.0%"/>
    <numFmt numFmtId="167" formatCode="###0"/>
  </numFmts>
  <fonts count="15">
    <font>
      <sz val="11.0"/>
      <color theme="1"/>
      <name val="Calibri"/>
      <scheme val="minor"/>
    </font>
    <font>
      <b/>
      <sz val="13.0"/>
      <color theme="1"/>
      <name val="Arial Narrow"/>
    </font>
    <font>
      <sz val="11.0"/>
      <color theme="1"/>
      <name val="Calibri"/>
    </font>
    <font>
      <b/>
      <sz val="11.0"/>
      <color theme="1"/>
      <name val="Calibri"/>
    </font>
    <font>
      <i/>
      <sz val="8.0"/>
      <color theme="1"/>
      <name val="Calibri"/>
    </font>
    <font>
      <color theme="1"/>
      <name val="Calibri"/>
    </font>
    <font>
      <b/>
      <color theme="1"/>
      <name val="Calibri"/>
    </font>
    <font>
      <i/>
      <sz val="9.0"/>
      <color theme="1"/>
      <name val="Calibri"/>
    </font>
    <font>
      <color rgb="FFFFFFFF"/>
      <name val="Calibri"/>
    </font>
    <font>
      <sz val="9.0"/>
      <color rgb="FFFFFFFF"/>
      <name val="Calibri"/>
    </font>
    <font>
      <sz val="10.0"/>
      <color theme="1"/>
      <name val="Arial Narrow"/>
    </font>
    <font>
      <b/>
      <sz val="17.0"/>
      <color theme="1"/>
      <name val="Calibri"/>
    </font>
    <font>
      <sz val="8.0"/>
      <color rgb="FF666666"/>
      <name val="Calibri"/>
    </font>
    <font>
      <b/>
      <sz val="8.0"/>
      <color rgb="FF666666"/>
      <name val="Calibri"/>
    </font>
    <font>
      <sz val="13.0"/>
      <color theme="1"/>
      <name val="Arial Narrow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horizontal="center"/>
    </xf>
    <xf borderId="1" fillId="0" fontId="3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0" fontId="3" numFmtId="0" xfId="0" applyAlignment="1" applyFont="1">
      <alignment vertical="bottom"/>
    </xf>
    <xf borderId="0" fillId="0" fontId="7" numFmtId="0" xfId="0" applyFont="1"/>
    <xf borderId="0" fillId="0" fontId="5" numFmtId="165" xfId="0" applyFont="1" applyNumberFormat="1"/>
    <xf borderId="0" fillId="0" fontId="5" numFmtId="166" xfId="0" applyFont="1" applyNumberFormat="1"/>
    <xf borderId="2" fillId="2" fontId="6" numFmtId="0" xfId="0" applyBorder="1" applyFill="1" applyFont="1"/>
    <xf borderId="0" fillId="0" fontId="5" numFmtId="4" xfId="0" applyFont="1" applyNumberFormat="1"/>
    <xf borderId="0" fillId="0" fontId="5" numFmtId="4" xfId="0" applyAlignment="1" applyFont="1" applyNumberFormat="1">
      <alignment horizontal="center"/>
    </xf>
    <xf borderId="0" fillId="0" fontId="8" numFmtId="0" xfId="0" applyFont="1"/>
    <xf borderId="0" fillId="0" fontId="9" numFmtId="4" xfId="0" applyAlignment="1" applyFont="1" applyNumberFormat="1">
      <alignment horizontal="center" vertical="bottom"/>
    </xf>
    <xf borderId="0" fillId="0" fontId="8" numFmtId="166" xfId="0" applyFont="1" applyNumberFormat="1"/>
    <xf borderId="0" fillId="0" fontId="10" numFmtId="0" xfId="0" applyFont="1"/>
    <xf borderId="0" fillId="0" fontId="11" numFmtId="0" xfId="0" applyAlignment="1" applyFont="1">
      <alignment horizontal="center" vertical="center"/>
    </xf>
    <xf borderId="0" fillId="0" fontId="2" numFmtId="0" xfId="0" applyAlignment="1" applyFont="1">
      <alignment horizontal="center" vertical="bottom"/>
    </xf>
    <xf borderId="0" fillId="0" fontId="5" numFmtId="10" xfId="0" applyFont="1" applyNumberFormat="1"/>
    <xf borderId="0" fillId="0" fontId="12" numFmtId="0" xfId="0" applyFont="1"/>
    <xf borderId="0" fillId="0" fontId="13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3" fontId="6" numFmtId="0" xfId="0" applyFill="1" applyFont="1"/>
    <xf borderId="0" fillId="0" fontId="2" numFmtId="164" xfId="0" applyFont="1" applyNumberFormat="1"/>
    <xf borderId="0" fillId="0" fontId="1" numFmtId="3" xfId="0" applyFont="1" applyNumberFormat="1"/>
    <xf borderId="0" fillId="0" fontId="1" numFmtId="165" xfId="0" applyFont="1" applyNumberFormat="1"/>
    <xf borderId="0" fillId="0" fontId="1" numFmtId="167" xfId="0" applyFont="1" applyNumberFormat="1"/>
    <xf borderId="0" fillId="0" fontId="14" numFmtId="165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6" numFmtId="3" xfId="0" applyFont="1" applyNumberFormat="1"/>
    <xf borderId="0" fillId="0" fontId="6" numFmtId="167" xfId="0" applyFont="1" applyNumberFormat="1"/>
    <xf borderId="0" fillId="0" fontId="3" numFmtId="167" xfId="0" applyFont="1" applyNumberFormat="1"/>
    <xf borderId="1" fillId="0" fontId="3" numFmtId="164" xfId="0" applyAlignment="1" applyBorder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0" fillId="0" fontId="5" numFmtId="3" xfId="0" applyFont="1" applyNumberFormat="1"/>
    <xf borderId="0" fillId="0" fontId="2" numFmtId="3" xfId="0" applyAlignment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7" xfId="0" applyFont="1" applyNumberFormat="1"/>
    <xf borderId="0" fillId="0" fontId="2" numFmtId="164" xfId="0" applyAlignment="1" applyFont="1" applyNumberForma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6" numFmtId="167" xfId="0" applyAlignment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3" numFmtId="167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0" fontId="2" numFmtId="165" xfId="0" applyFont="1" applyNumberFormat="1"/>
  </cellXfs>
  <cellStyles count="1">
    <cellStyle xfId="0" name="Normal" builtinId="0"/>
  </cellStyles>
  <dxfs count="4"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660000"/>
      </font>
      <fill>
        <patternFill patternType="solid">
          <fgColor rgb="FFFCE5CD"/>
          <bgColor rgb="FFFCE5CD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31.0"/>
    <col customWidth="1" min="2" max="2" width="9.29"/>
    <col customWidth="1" hidden="1" min="3" max="3" width="4.14"/>
    <col customWidth="1" min="4" max="8" width="10.43"/>
    <col customWidth="1" min="9" max="9" width="4.43"/>
    <col customWidth="1" min="10" max="14" width="10.43"/>
    <col customWidth="1" min="15" max="15" width="4.43"/>
    <col customWidth="1" min="16" max="20" width="10.43"/>
    <col customWidth="1" min="21" max="21" width="4.43"/>
    <col customWidth="1" min="22" max="25" width="10.43"/>
    <col customWidth="1" min="26" max="26" width="4.43"/>
    <col customWidth="1" min="27" max="30" width="10.43"/>
    <col customWidth="1" min="31" max="31" width="4.43"/>
    <col customWidth="1" min="32" max="34" width="10.43"/>
    <col customWidth="1" min="35" max="35" width="4.43"/>
    <col customWidth="1" min="36" max="37" width="10.43"/>
    <col customWidth="1" min="38" max="38" width="4.43"/>
    <col customWidth="1" min="39" max="41" width="10.43"/>
    <col customWidth="1" min="42" max="42" width="4.43"/>
    <col customWidth="1" min="43" max="45" width="10.43"/>
    <col customWidth="1" min="46" max="46" width="4.43"/>
    <col customWidth="1" min="47" max="49" width="10.43"/>
    <col customWidth="1" min="50" max="50" width="4.43"/>
    <col customWidth="1" min="51" max="54" width="10.43"/>
    <col customWidth="1" min="55" max="55" width="4.43"/>
    <col customWidth="1" min="56" max="59" width="11.0"/>
    <col customWidth="1" min="60" max="60" width="4.43"/>
    <col customWidth="1" min="61" max="61" width="11.57"/>
    <col customWidth="1" min="62" max="62" width="12.0"/>
    <col customWidth="1" min="63" max="63" width="11.43"/>
    <col customWidth="1" min="64" max="64" width="4.43"/>
    <col customWidth="1" min="65" max="67" width="10.43"/>
    <col customWidth="1" min="68" max="68" width="4.43"/>
    <col customWidth="1" min="69" max="70" width="10.43"/>
    <col customWidth="1" min="71" max="71" width="4.43"/>
    <col customWidth="1" min="72" max="74" width="10.43"/>
  </cols>
  <sheetData>
    <row r="1">
      <c r="D1" s="1" t="s">
        <v>0</v>
      </c>
      <c r="E1" s="1"/>
      <c r="F1" s="1"/>
      <c r="G1" s="1"/>
      <c r="H1" s="1"/>
      <c r="I1" s="1"/>
      <c r="J1" s="1"/>
      <c r="K1" s="1" t="s">
        <v>1</v>
      </c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 t="s">
        <v>3</v>
      </c>
      <c r="W1" s="1"/>
      <c r="X1" s="1"/>
      <c r="Y1" s="1"/>
      <c r="Z1" s="1"/>
      <c r="AA1" s="1" t="s">
        <v>4</v>
      </c>
      <c r="AB1" s="1"/>
      <c r="AC1" s="1"/>
      <c r="AD1" s="1"/>
      <c r="AE1" s="1"/>
      <c r="AF1" s="1" t="s">
        <v>5</v>
      </c>
      <c r="AG1" s="1"/>
      <c r="AH1" s="1"/>
      <c r="AI1" s="1"/>
      <c r="AJ1" s="1" t="s">
        <v>6</v>
      </c>
      <c r="AK1" s="1"/>
      <c r="AL1" s="1"/>
      <c r="AM1" s="1" t="s">
        <v>7</v>
      </c>
      <c r="AN1" s="1"/>
      <c r="AO1" s="1"/>
      <c r="AP1" s="1"/>
      <c r="AQ1" s="1" t="s">
        <v>8</v>
      </c>
      <c r="AR1" s="1"/>
      <c r="AS1" s="1"/>
      <c r="AT1" s="1"/>
      <c r="AU1" s="1" t="s">
        <v>9</v>
      </c>
      <c r="AV1" s="1"/>
      <c r="AW1" s="1"/>
      <c r="AX1" s="1"/>
      <c r="AY1" s="1" t="s">
        <v>10</v>
      </c>
      <c r="AZ1" s="1"/>
      <c r="BA1" s="1"/>
      <c r="BB1" s="1"/>
      <c r="BC1" s="1"/>
      <c r="BD1" s="1" t="s">
        <v>11</v>
      </c>
      <c r="BE1" s="1"/>
      <c r="BF1" s="1"/>
      <c r="BG1" s="1"/>
      <c r="BH1" s="1"/>
      <c r="BI1" s="1" t="s">
        <v>12</v>
      </c>
      <c r="BJ1" s="1"/>
      <c r="BK1" s="1"/>
      <c r="BL1" s="1"/>
      <c r="BM1" s="1" t="s">
        <v>13</v>
      </c>
      <c r="BN1" s="1"/>
      <c r="BO1" s="1"/>
      <c r="BP1" s="1"/>
      <c r="BQ1" s="2" t="s">
        <v>14</v>
      </c>
      <c r="BR1" s="2"/>
      <c r="BS1" s="1" t="s">
        <v>15</v>
      </c>
      <c r="BT1" s="2" t="s">
        <v>16</v>
      </c>
      <c r="BU1" s="3"/>
      <c r="BV1" s="3"/>
    </row>
    <row r="2">
      <c r="B2" s="4"/>
      <c r="C2" s="4"/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/>
      <c r="J2" s="5" t="s">
        <v>17</v>
      </c>
      <c r="K2" s="5" t="s">
        <v>18</v>
      </c>
      <c r="L2" s="5" t="s">
        <v>19</v>
      </c>
      <c r="M2" s="5" t="s">
        <v>20</v>
      </c>
      <c r="N2" s="5" t="s">
        <v>21</v>
      </c>
      <c r="O2" s="5"/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/>
      <c r="V2" s="5" t="s">
        <v>18</v>
      </c>
      <c r="W2" s="5" t="s">
        <v>19</v>
      </c>
      <c r="X2" s="5" t="s">
        <v>20</v>
      </c>
      <c r="Y2" s="5" t="s">
        <v>21</v>
      </c>
      <c r="Z2" s="5"/>
      <c r="AA2" s="5" t="s">
        <v>18</v>
      </c>
      <c r="AB2" s="5" t="s">
        <v>19</v>
      </c>
      <c r="AC2" s="5" t="s">
        <v>20</v>
      </c>
      <c r="AD2" s="5" t="s">
        <v>21</v>
      </c>
      <c r="AE2" s="5"/>
      <c r="AF2" s="5" t="s">
        <v>18</v>
      </c>
      <c r="AG2" s="5" t="s">
        <v>19</v>
      </c>
      <c r="AH2" s="5" t="s">
        <v>20</v>
      </c>
      <c r="AI2" s="5"/>
      <c r="AJ2" s="5" t="s">
        <v>19</v>
      </c>
      <c r="AK2" s="5" t="s">
        <v>20</v>
      </c>
      <c r="AL2" s="5"/>
      <c r="AM2" s="5" t="s">
        <v>18</v>
      </c>
      <c r="AN2" s="5" t="s">
        <v>19</v>
      </c>
      <c r="AO2" s="5" t="s">
        <v>20</v>
      </c>
      <c r="AP2" s="5"/>
      <c r="AQ2" s="5" t="s">
        <v>19</v>
      </c>
      <c r="AR2" s="5" t="s">
        <v>20</v>
      </c>
      <c r="AS2" s="5" t="s">
        <v>21</v>
      </c>
      <c r="AT2" s="5"/>
      <c r="AU2" s="5" t="s">
        <v>19</v>
      </c>
      <c r="AV2" s="5" t="s">
        <v>20</v>
      </c>
      <c r="AW2" s="5" t="s">
        <v>21</v>
      </c>
      <c r="AX2" s="5"/>
      <c r="AY2" s="5" t="s">
        <v>17</v>
      </c>
      <c r="AZ2" s="5" t="s">
        <v>18</v>
      </c>
      <c r="BA2" s="5" t="s">
        <v>19</v>
      </c>
      <c r="BB2" s="5" t="s">
        <v>20</v>
      </c>
      <c r="BC2" s="5"/>
      <c r="BD2" s="5" t="s">
        <v>18</v>
      </c>
      <c r="BE2" s="5" t="s">
        <v>19</v>
      </c>
      <c r="BF2" s="5" t="s">
        <v>20</v>
      </c>
      <c r="BG2" s="5" t="s">
        <v>21</v>
      </c>
      <c r="BH2" s="5"/>
      <c r="BI2" s="5" t="s">
        <v>19</v>
      </c>
      <c r="BJ2" s="5" t="s">
        <v>20</v>
      </c>
      <c r="BK2" s="5" t="s">
        <v>21</v>
      </c>
      <c r="BL2" s="5"/>
      <c r="BM2" s="5" t="s">
        <v>18</v>
      </c>
      <c r="BN2" s="5" t="s">
        <v>19</v>
      </c>
      <c r="BO2" s="5" t="s">
        <v>20</v>
      </c>
      <c r="BP2" s="5"/>
      <c r="BQ2" s="5" t="s">
        <v>18</v>
      </c>
      <c r="BR2" s="5" t="s">
        <v>19</v>
      </c>
      <c r="BS2" s="5"/>
      <c r="BT2" s="5" t="s">
        <v>18</v>
      </c>
      <c r="BU2" s="5" t="s">
        <v>19</v>
      </c>
      <c r="BV2" s="5" t="s">
        <v>20</v>
      </c>
    </row>
    <row r="3">
      <c r="A3" s="6"/>
      <c r="B3" s="6"/>
      <c r="C3" s="6"/>
      <c r="D3" s="6" t="s">
        <v>22</v>
      </c>
      <c r="E3" s="6" t="s">
        <v>22</v>
      </c>
      <c r="F3" s="6" t="s">
        <v>22</v>
      </c>
      <c r="G3" s="6" t="s">
        <v>22</v>
      </c>
      <c r="H3" s="6" t="s">
        <v>23</v>
      </c>
      <c r="I3" s="6"/>
      <c r="J3" s="6" t="s">
        <v>22</v>
      </c>
      <c r="K3" s="6" t="s">
        <v>22</v>
      </c>
      <c r="L3" s="6" t="s">
        <v>22</v>
      </c>
      <c r="M3" s="6" t="s">
        <v>22</v>
      </c>
      <c r="N3" s="6" t="s">
        <v>23</v>
      </c>
      <c r="O3" s="6"/>
      <c r="P3" s="6" t="s">
        <v>22</v>
      </c>
      <c r="Q3" s="6" t="s">
        <v>22</v>
      </c>
      <c r="R3" s="6" t="s">
        <v>22</v>
      </c>
      <c r="S3" s="6" t="s">
        <v>23</v>
      </c>
      <c r="T3" s="6" t="s">
        <v>23</v>
      </c>
      <c r="U3" s="6"/>
      <c r="V3" s="6" t="s">
        <v>22</v>
      </c>
      <c r="W3" s="6" t="s">
        <v>22</v>
      </c>
      <c r="X3" s="6" t="s">
        <v>22</v>
      </c>
      <c r="Y3" s="6" t="s">
        <v>23</v>
      </c>
      <c r="Z3" s="6"/>
      <c r="AA3" s="6" t="s">
        <v>24</v>
      </c>
      <c r="AB3" s="6" t="s">
        <v>22</v>
      </c>
      <c r="AC3" s="6" t="s">
        <v>22</v>
      </c>
      <c r="AD3" s="6" t="s">
        <v>23</v>
      </c>
      <c r="AE3" s="6"/>
      <c r="AF3" s="6" t="s">
        <v>22</v>
      </c>
      <c r="AG3" s="6" t="s">
        <v>22</v>
      </c>
      <c r="AH3" s="6" t="s">
        <v>25</v>
      </c>
      <c r="AI3" s="6"/>
      <c r="AJ3" s="6" t="s">
        <v>25</v>
      </c>
      <c r="AK3" s="6" t="s">
        <v>25</v>
      </c>
      <c r="AL3" s="6"/>
      <c r="AM3" s="6" t="s">
        <v>22</v>
      </c>
      <c r="AN3" s="6" t="s">
        <v>22</v>
      </c>
      <c r="AO3" s="6" t="s">
        <v>25</v>
      </c>
      <c r="AP3" s="6"/>
      <c r="AQ3" s="6" t="s">
        <v>25</v>
      </c>
      <c r="AR3" s="6" t="s">
        <v>25</v>
      </c>
      <c r="AS3" s="6" t="s">
        <v>25</v>
      </c>
      <c r="AT3" s="6"/>
      <c r="AU3" s="6" t="s">
        <v>22</v>
      </c>
      <c r="AV3" s="6" t="s">
        <v>22</v>
      </c>
      <c r="AW3" s="6" t="s">
        <v>25</v>
      </c>
      <c r="AX3" s="6"/>
      <c r="AY3" s="6" t="s">
        <v>22</v>
      </c>
      <c r="AZ3" s="6" t="s">
        <v>22</v>
      </c>
      <c r="BA3" s="6" t="s">
        <v>22</v>
      </c>
      <c r="BB3" s="6" t="s">
        <v>22</v>
      </c>
      <c r="BC3" s="6"/>
      <c r="BD3" s="6" t="s">
        <v>22</v>
      </c>
      <c r="BE3" s="6" t="s">
        <v>22</v>
      </c>
      <c r="BF3" s="6" t="s">
        <v>22</v>
      </c>
      <c r="BG3" s="6" t="s">
        <v>25</v>
      </c>
      <c r="BH3" s="6"/>
      <c r="BI3" s="6" t="s">
        <v>22</v>
      </c>
      <c r="BJ3" s="6" t="s">
        <v>22</v>
      </c>
      <c r="BK3" s="6" t="s">
        <v>25</v>
      </c>
      <c r="BL3" s="6"/>
      <c r="BM3" s="6" t="s">
        <v>25</v>
      </c>
      <c r="BN3" s="6" t="s">
        <v>25</v>
      </c>
      <c r="BO3" s="6" t="s">
        <v>25</v>
      </c>
      <c r="BP3" s="6"/>
      <c r="BQ3" s="6" t="s">
        <v>25</v>
      </c>
      <c r="BR3" s="6" t="s">
        <v>25</v>
      </c>
      <c r="BS3" s="6"/>
      <c r="BT3" s="6" t="s">
        <v>25</v>
      </c>
      <c r="BU3" s="6" t="s">
        <v>25</v>
      </c>
      <c r="BV3" s="6" t="s">
        <v>25</v>
      </c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</row>
    <row r="4">
      <c r="BQ4" s="3"/>
      <c r="BR4" s="3"/>
      <c r="BT4" s="3"/>
      <c r="BU4" s="3"/>
      <c r="BV4" s="3"/>
    </row>
    <row r="5">
      <c r="A5" s="7" t="s">
        <v>26</v>
      </c>
      <c r="B5" s="8"/>
      <c r="C5" s="8"/>
      <c r="D5" s="8" t="s">
        <v>0</v>
      </c>
      <c r="E5" s="8"/>
      <c r="F5" s="8"/>
      <c r="G5" s="8"/>
      <c r="H5" s="8"/>
      <c r="I5" s="8"/>
      <c r="J5" s="8"/>
      <c r="K5" s="8" t="s">
        <v>1</v>
      </c>
      <c r="L5" s="8"/>
      <c r="M5" s="8"/>
      <c r="N5" s="8"/>
      <c r="O5" s="8"/>
      <c r="P5" s="8"/>
      <c r="Q5" s="8" t="s">
        <v>2</v>
      </c>
      <c r="R5" s="8"/>
      <c r="S5" s="8"/>
      <c r="T5" s="8"/>
      <c r="U5" s="8"/>
      <c r="V5" s="8" t="s">
        <v>3</v>
      </c>
      <c r="W5" s="8"/>
      <c r="X5" s="8"/>
      <c r="Y5" s="8"/>
      <c r="Z5" s="8"/>
      <c r="AA5" s="8" t="s">
        <v>4</v>
      </c>
      <c r="AB5" s="8"/>
      <c r="AC5" s="8"/>
      <c r="AD5" s="8"/>
      <c r="AE5" s="8"/>
      <c r="AF5" s="8" t="s">
        <v>27</v>
      </c>
      <c r="AG5" s="8"/>
      <c r="AH5" s="8"/>
      <c r="AJ5" s="8" t="s">
        <v>28</v>
      </c>
      <c r="AK5" s="8"/>
      <c r="AM5" s="8" t="s">
        <v>7</v>
      </c>
      <c r="AN5" s="8"/>
      <c r="AO5" s="8"/>
      <c r="AQ5" s="8" t="s">
        <v>29</v>
      </c>
      <c r="AR5" s="8"/>
      <c r="AS5" s="8"/>
      <c r="AU5" s="8" t="s">
        <v>30</v>
      </c>
      <c r="AV5" s="8"/>
      <c r="AW5" s="8"/>
      <c r="AY5" s="8" t="s">
        <v>31</v>
      </c>
      <c r="AZ5" s="8"/>
      <c r="BA5" s="8"/>
      <c r="BB5" s="8"/>
      <c r="BD5" s="8" t="s">
        <v>32</v>
      </c>
      <c r="BE5" s="8"/>
      <c r="BF5" s="8"/>
      <c r="BG5" s="8"/>
      <c r="BI5" s="8" t="s">
        <v>33</v>
      </c>
      <c r="BJ5" s="8"/>
      <c r="BK5" s="8"/>
      <c r="BM5" s="8" t="s">
        <v>34</v>
      </c>
      <c r="BQ5" s="9" t="s">
        <v>14</v>
      </c>
      <c r="BR5" s="3"/>
      <c r="BT5" s="3"/>
      <c r="BU5" s="3"/>
      <c r="BV5" s="3"/>
    </row>
    <row r="6">
      <c r="A6" s="7" t="s">
        <v>35</v>
      </c>
      <c r="B6" s="10"/>
      <c r="C6" s="10"/>
      <c r="D6" s="10"/>
      <c r="E6" s="10"/>
      <c r="F6" s="10"/>
      <c r="G6" s="10"/>
      <c r="H6" s="10"/>
      <c r="I6" s="10"/>
      <c r="J6" s="10" t="s">
        <v>36</v>
      </c>
      <c r="K6" s="10"/>
      <c r="L6" s="10"/>
      <c r="M6" s="10"/>
      <c r="N6" s="10"/>
      <c r="O6" s="10"/>
      <c r="P6" s="10" t="s">
        <v>37</v>
      </c>
      <c r="Q6" s="10"/>
      <c r="R6" s="10"/>
      <c r="S6" s="10"/>
      <c r="T6" s="10"/>
      <c r="U6" s="10"/>
      <c r="V6" s="10" t="s">
        <v>38</v>
      </c>
      <c r="W6" s="10"/>
      <c r="X6" s="10"/>
      <c r="Y6" s="10"/>
      <c r="Z6" s="10"/>
      <c r="AA6" s="10" t="s">
        <v>39</v>
      </c>
      <c r="AB6" s="10"/>
      <c r="AC6" s="10"/>
      <c r="AD6" s="10"/>
      <c r="AE6" s="10"/>
      <c r="AF6" s="10" t="s">
        <v>40</v>
      </c>
      <c r="AG6" s="10"/>
      <c r="AH6" s="10"/>
      <c r="AJ6" s="10" t="s">
        <v>41</v>
      </c>
      <c r="AK6" s="10"/>
      <c r="AM6" s="10"/>
      <c r="AN6" s="10"/>
      <c r="AO6" s="10"/>
      <c r="AQ6" s="10" t="s">
        <v>42</v>
      </c>
      <c r="AR6" s="10"/>
      <c r="AS6" s="10"/>
      <c r="AU6" s="10" t="s">
        <v>43</v>
      </c>
      <c r="AV6" s="10"/>
      <c r="AW6" s="10"/>
      <c r="AY6" s="10" t="s">
        <v>44</v>
      </c>
      <c r="AZ6" s="10"/>
      <c r="BA6" s="10"/>
      <c r="BB6" s="10"/>
      <c r="BD6" s="10" t="s">
        <v>45</v>
      </c>
      <c r="BE6" s="10"/>
      <c r="BF6" s="10"/>
      <c r="BG6" s="10"/>
      <c r="BI6" s="10" t="s">
        <v>46</v>
      </c>
      <c r="BJ6" s="10"/>
      <c r="BK6" s="10"/>
      <c r="BM6" s="10" t="s">
        <v>47</v>
      </c>
      <c r="BQ6" s="3" t="s">
        <v>48</v>
      </c>
      <c r="BR6" s="3"/>
      <c r="BT6" s="3"/>
      <c r="BU6" s="3"/>
      <c r="BV6" s="3"/>
    </row>
    <row r="7">
      <c r="A7" s="7" t="s">
        <v>49</v>
      </c>
      <c r="B7" s="10"/>
      <c r="C7" s="10"/>
      <c r="D7" s="10" t="s">
        <v>50</v>
      </c>
      <c r="E7" s="10"/>
      <c r="F7" s="10"/>
      <c r="G7" s="10"/>
      <c r="H7" s="10"/>
      <c r="I7" s="10"/>
      <c r="J7" s="10" t="s">
        <v>51</v>
      </c>
      <c r="K7" s="10"/>
      <c r="L7" s="10"/>
      <c r="M7" s="10"/>
      <c r="N7" s="10"/>
      <c r="O7" s="10"/>
      <c r="P7" s="10" t="s">
        <v>51</v>
      </c>
      <c r="Q7" s="10"/>
      <c r="R7" s="10"/>
      <c r="S7" s="10"/>
      <c r="T7" s="10"/>
      <c r="U7" s="10"/>
      <c r="V7" s="10" t="s">
        <v>51</v>
      </c>
      <c r="W7" s="10"/>
      <c r="X7" s="10"/>
      <c r="Y7" s="10"/>
      <c r="Z7" s="10"/>
      <c r="AA7" s="10" t="s">
        <v>51</v>
      </c>
      <c r="AB7" s="10"/>
      <c r="AC7" s="10"/>
      <c r="AD7" s="10"/>
      <c r="AE7" s="10"/>
      <c r="AF7" s="10" t="s">
        <v>51</v>
      </c>
      <c r="AG7" s="10"/>
      <c r="AH7" s="10"/>
      <c r="AJ7" s="10" t="s">
        <v>51</v>
      </c>
      <c r="AK7" s="10"/>
      <c r="AM7" s="10"/>
      <c r="AN7" s="10"/>
      <c r="AO7" s="10"/>
      <c r="AQ7" s="10" t="s">
        <v>51</v>
      </c>
      <c r="AR7" s="10"/>
      <c r="AS7" s="10"/>
      <c r="AU7" s="10" t="s">
        <v>51</v>
      </c>
      <c r="AV7" s="10"/>
      <c r="AW7" s="10"/>
      <c r="AY7" s="10" t="s">
        <v>51</v>
      </c>
      <c r="AZ7" s="10"/>
      <c r="BA7" s="10"/>
      <c r="BB7" s="10"/>
      <c r="BD7" s="10" t="s">
        <v>51</v>
      </c>
      <c r="BE7" s="10"/>
      <c r="BF7" s="10"/>
      <c r="BG7" s="10"/>
      <c r="BI7" s="10" t="s">
        <v>51</v>
      </c>
      <c r="BJ7" s="10"/>
      <c r="BK7" s="10"/>
      <c r="BM7" s="10" t="s">
        <v>51</v>
      </c>
      <c r="BQ7" s="10" t="s">
        <v>51</v>
      </c>
      <c r="BR7" s="3"/>
      <c r="BT7" s="3"/>
      <c r="BU7" s="3"/>
      <c r="BV7" s="3"/>
    </row>
    <row r="8">
      <c r="A8" s="7" t="s">
        <v>52</v>
      </c>
      <c r="B8" s="10"/>
      <c r="C8" s="10"/>
      <c r="D8" s="10" t="s">
        <v>53</v>
      </c>
      <c r="E8" s="10"/>
      <c r="F8" s="10"/>
      <c r="G8" s="10"/>
      <c r="H8" s="10"/>
      <c r="I8" s="10"/>
      <c r="J8" s="10" t="s">
        <v>53</v>
      </c>
      <c r="K8" s="10"/>
      <c r="L8" s="10"/>
      <c r="M8" s="10"/>
      <c r="N8" s="10"/>
      <c r="O8" s="10"/>
      <c r="P8" s="10" t="s">
        <v>53</v>
      </c>
      <c r="Q8" s="10"/>
      <c r="R8" s="10"/>
      <c r="S8" s="10"/>
      <c r="T8" s="10"/>
      <c r="U8" s="10"/>
      <c r="V8" s="10" t="s">
        <v>53</v>
      </c>
      <c r="W8" s="10"/>
      <c r="X8" s="10"/>
      <c r="Y8" s="10"/>
      <c r="Z8" s="10"/>
      <c r="AA8" s="10" t="s">
        <v>54</v>
      </c>
      <c r="AB8" s="10"/>
      <c r="AC8" s="10"/>
      <c r="AD8" s="10"/>
      <c r="AE8" s="10"/>
      <c r="AF8" s="10" t="s">
        <v>55</v>
      </c>
      <c r="AG8" s="10"/>
      <c r="AH8" s="10"/>
      <c r="AJ8" s="10" t="s">
        <v>56</v>
      </c>
      <c r="AK8" s="10"/>
      <c r="AM8" s="10"/>
      <c r="AN8" s="10"/>
      <c r="AO8" s="10"/>
      <c r="AQ8" s="10" t="s">
        <v>57</v>
      </c>
      <c r="AR8" s="10"/>
      <c r="AS8" s="10"/>
      <c r="AU8" s="10" t="s">
        <v>58</v>
      </c>
      <c r="AV8" s="10"/>
      <c r="AW8" s="10"/>
      <c r="AY8" s="10" t="s">
        <v>59</v>
      </c>
      <c r="AZ8" s="10"/>
      <c r="BA8" s="10"/>
      <c r="BB8" s="10"/>
      <c r="BD8" s="10" t="s">
        <v>60</v>
      </c>
      <c r="BE8" s="10"/>
      <c r="BF8" s="10"/>
      <c r="BG8" s="10"/>
      <c r="BI8" s="10" t="s">
        <v>58</v>
      </c>
      <c r="BJ8" s="10"/>
      <c r="BK8" s="10"/>
      <c r="BM8" s="10" t="s">
        <v>61</v>
      </c>
      <c r="BQ8" s="3" t="s">
        <v>62</v>
      </c>
      <c r="BR8" s="3"/>
      <c r="BT8" s="3"/>
      <c r="BU8" s="3"/>
      <c r="BV8" s="3"/>
    </row>
    <row r="9">
      <c r="BQ9" s="3"/>
      <c r="BR9" s="3"/>
      <c r="BT9" s="3"/>
      <c r="BU9" s="3"/>
      <c r="BV9" s="3"/>
    </row>
    <row r="10" ht="15.75" customHeight="1">
      <c r="A10" s="7" t="s">
        <v>63</v>
      </c>
      <c r="B10" s="11"/>
      <c r="C10" s="11"/>
      <c r="D10" s="11">
        <v>23930.151</v>
      </c>
      <c r="E10" s="11">
        <v>23578.78</v>
      </c>
      <c r="F10" s="11">
        <v>29792.243</v>
      </c>
      <c r="G10" s="11">
        <v>32768.103</v>
      </c>
      <c r="H10" s="11">
        <v>24145.584</v>
      </c>
      <c r="I10" s="11"/>
      <c r="J10" s="11">
        <v>337466.0</v>
      </c>
      <c r="K10" s="11">
        <v>330048.0</v>
      </c>
      <c r="L10" s="11">
        <v>360978.116</v>
      </c>
      <c r="M10" s="11">
        <v>419772.195</v>
      </c>
      <c r="N10" s="11">
        <v>312105.949</v>
      </c>
      <c r="O10" s="11"/>
      <c r="P10" s="11">
        <v>4317.0</v>
      </c>
      <c r="Q10" s="11">
        <v>70441.169</v>
      </c>
      <c r="R10" s="11">
        <v>103822.194</v>
      </c>
      <c r="S10" s="11">
        <v>109585.884</v>
      </c>
      <c r="T10" s="11">
        <v>75793.97600000001</v>
      </c>
      <c r="U10" s="11"/>
      <c r="V10" s="11">
        <v>20425.762</v>
      </c>
      <c r="W10" s="11">
        <v>33740.045</v>
      </c>
      <c r="X10" s="11">
        <v>42955.437</v>
      </c>
      <c r="Y10" s="11">
        <v>33868.198</v>
      </c>
      <c r="Z10" s="11"/>
      <c r="AA10" s="11">
        <v>0.0</v>
      </c>
      <c r="AB10" s="11">
        <v>39281.699</v>
      </c>
      <c r="AC10" s="11">
        <v>52097.658</v>
      </c>
      <c r="AD10" s="11">
        <v>54416.681</v>
      </c>
      <c r="AE10" s="11"/>
      <c r="AF10" s="11">
        <v>0.0</v>
      </c>
      <c r="AG10" s="11">
        <v>84.33</v>
      </c>
      <c r="AH10" s="11">
        <v>41.09</v>
      </c>
      <c r="AI10" s="11"/>
      <c r="AJ10" s="11">
        <v>0.0</v>
      </c>
      <c r="AK10" s="11">
        <v>7801.08524</v>
      </c>
      <c r="AL10" s="11"/>
      <c r="AM10" s="11">
        <v>78485.19463</v>
      </c>
      <c r="AN10" s="11">
        <v>87117.63414</v>
      </c>
      <c r="AO10" s="11">
        <v>44163.71813</v>
      </c>
      <c r="AP10" s="11"/>
      <c r="AQ10" s="11">
        <v>82237.533</v>
      </c>
      <c r="AR10" s="11">
        <v>68840.543</v>
      </c>
      <c r="AS10" s="11">
        <v>19674.964</v>
      </c>
      <c r="AT10" s="11"/>
      <c r="AU10" s="11">
        <v>121315.382</v>
      </c>
      <c r="AV10" s="11">
        <v>202588.232</v>
      </c>
      <c r="AW10" s="11">
        <v>261570.887</v>
      </c>
      <c r="AX10" s="11"/>
      <c r="AY10" s="11">
        <v>5447.26547</v>
      </c>
      <c r="AZ10" s="11">
        <v>2139.07664</v>
      </c>
      <c r="BA10" s="11">
        <v>11106.37213</v>
      </c>
      <c r="BB10" s="11">
        <v>24713.03006</v>
      </c>
      <c r="BC10" s="11"/>
      <c r="BD10" s="11">
        <v>866642.6220000001</v>
      </c>
      <c r="BE10" s="11">
        <v>1060188.403</v>
      </c>
      <c r="BF10" s="11">
        <v>1102452.657</v>
      </c>
      <c r="BG10" s="11">
        <v>965922.809</v>
      </c>
      <c r="BH10" s="11"/>
      <c r="BI10" s="11">
        <v>1222964.796</v>
      </c>
      <c r="BJ10" s="11">
        <v>1675859.329</v>
      </c>
      <c r="BK10" s="11">
        <v>2072384.508</v>
      </c>
      <c r="BL10" s="11"/>
      <c r="BM10" s="11">
        <v>15793.65702</v>
      </c>
      <c r="BN10" s="11">
        <v>20165.22792</v>
      </c>
      <c r="BO10" s="11">
        <v>24153.54173</v>
      </c>
      <c r="BP10" s="11"/>
      <c r="BQ10" s="11">
        <v>2842.924</v>
      </c>
      <c r="BR10" s="11">
        <v>4509.46493</v>
      </c>
      <c r="BS10" s="11"/>
      <c r="BT10" s="11">
        <v>14171.65</v>
      </c>
      <c r="BU10" s="11">
        <v>22085.89693</v>
      </c>
      <c r="BV10" s="11">
        <v>25741.04766</v>
      </c>
    </row>
    <row r="11" ht="15.75" customHeight="1">
      <c r="A11" s="7" t="s">
        <v>64</v>
      </c>
      <c r="B11" s="11"/>
      <c r="C11" s="11"/>
      <c r="D11" s="11">
        <v>14418.686</v>
      </c>
      <c r="E11" s="11">
        <v>2893.883</v>
      </c>
      <c r="F11" s="11">
        <v>5234.476</v>
      </c>
      <c r="G11" s="11">
        <v>6219.504</v>
      </c>
      <c r="H11" s="11">
        <v>3790.438</v>
      </c>
      <c r="I11" s="11"/>
      <c r="J11" s="11">
        <v>19435.0</v>
      </c>
      <c r="K11" s="11">
        <v>21414.0</v>
      </c>
      <c r="L11" s="11">
        <v>16122.96999999996</v>
      </c>
      <c r="M11" s="11">
        <v>7214.950999999997</v>
      </c>
      <c r="N11" s="11">
        <v>2151.953000000023</v>
      </c>
      <c r="O11" s="11"/>
      <c r="P11" s="11">
        <v>-2996.0</v>
      </c>
      <c r="Q11" s="11">
        <v>1275.955999999994</v>
      </c>
      <c r="R11" s="11">
        <v>2586.204000000006</v>
      </c>
      <c r="S11" s="11">
        <v>4571.311</v>
      </c>
      <c r="T11" s="11">
        <v>-2835.861999999992</v>
      </c>
      <c r="U11" s="11"/>
      <c r="V11" s="11">
        <v>-35.504</v>
      </c>
      <c r="W11" s="11">
        <v>-2708.358</v>
      </c>
      <c r="X11" s="11">
        <v>711.661</v>
      </c>
      <c r="Y11" s="11">
        <v>1111.626</v>
      </c>
      <c r="Z11" s="11"/>
      <c r="AA11" s="11">
        <v>0.0</v>
      </c>
      <c r="AB11" s="11">
        <v>1160.271999999998</v>
      </c>
      <c r="AC11" s="11">
        <v>887.237999999996</v>
      </c>
      <c r="AD11" s="11">
        <v>2968.519999999999</v>
      </c>
      <c r="AE11" s="11"/>
      <c r="AF11" s="11">
        <v>-0.28</v>
      </c>
      <c r="AG11" s="11">
        <v>5.53129</v>
      </c>
      <c r="AH11" s="11">
        <v>1.85184</v>
      </c>
      <c r="AI11" s="11"/>
      <c r="AJ11" s="11">
        <v>-519.13544</v>
      </c>
      <c r="AK11" s="11">
        <v>1232.15151</v>
      </c>
      <c r="AL11" s="11"/>
      <c r="AM11" s="11">
        <v>4380.6467</v>
      </c>
      <c r="AN11" s="11">
        <v>4565.609199999994</v>
      </c>
      <c r="AO11" s="11">
        <v>2065.92904</v>
      </c>
      <c r="AP11" s="11"/>
      <c r="AQ11" s="11">
        <v>7054.375999999998</v>
      </c>
      <c r="AR11" s="11">
        <v>4141.618000000005</v>
      </c>
      <c r="AS11" s="11">
        <v>1335.7</v>
      </c>
      <c r="AT11" s="11"/>
      <c r="AU11" s="11">
        <v>12848.28699999999</v>
      </c>
      <c r="AV11" s="11">
        <v>23613.10000000003</v>
      </c>
      <c r="AW11" s="11">
        <v>33959.98299999999</v>
      </c>
      <c r="AX11" s="11"/>
      <c r="AY11" s="11">
        <v>20.59491400000029</v>
      </c>
      <c r="AZ11" s="11">
        <v>609.10853</v>
      </c>
      <c r="BA11" s="11">
        <v>2768.890959999999</v>
      </c>
      <c r="BB11" s="11">
        <v>5028.274789999999</v>
      </c>
      <c r="BC11" s="11"/>
      <c r="BD11" s="11">
        <v>7083.422999999944</v>
      </c>
      <c r="BE11" s="11">
        <v>17602.67600000029</v>
      </c>
      <c r="BF11" s="11">
        <v>44943.41</v>
      </c>
      <c r="BG11" s="11">
        <v>3219.130400000089</v>
      </c>
      <c r="BH11" s="11"/>
      <c r="BI11" s="11">
        <v>-10822.81099999996</v>
      </c>
      <c r="BJ11" s="11">
        <v>-37184.82900000004</v>
      </c>
      <c r="BK11" s="11">
        <v>11939.5409999999</v>
      </c>
      <c r="BL11" s="11"/>
      <c r="BM11" s="11">
        <v>1764.43444</v>
      </c>
      <c r="BN11" s="11">
        <v>2457.769990000001</v>
      </c>
      <c r="BO11" s="11">
        <v>3680.823650000001</v>
      </c>
      <c r="BP11" s="11"/>
      <c r="BQ11" s="11">
        <v>64.31099999999991</v>
      </c>
      <c r="BR11" s="11">
        <v>269.0143499999999</v>
      </c>
      <c r="BS11" s="11"/>
      <c r="BT11" s="11">
        <v>371.7629999999993</v>
      </c>
      <c r="BU11" s="11">
        <v>2177.142299999999</v>
      </c>
      <c r="BV11" s="11">
        <v>2076.611659999999</v>
      </c>
    </row>
    <row r="12" ht="15.75" customHeight="1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</row>
    <row r="13" ht="15.75" customHeight="1">
      <c r="A13" s="7" t="s">
        <v>65</v>
      </c>
      <c r="B13" s="11"/>
      <c r="C13" s="11"/>
      <c r="D13" s="11">
        <v>21443.876</v>
      </c>
      <c r="E13" s="11">
        <v>16147.77</v>
      </c>
      <c r="F13" s="11">
        <v>27257.998</v>
      </c>
      <c r="G13" s="11">
        <v>30188.632</v>
      </c>
      <c r="H13" s="11">
        <v>28923.839</v>
      </c>
      <c r="I13" s="11"/>
      <c r="J13" s="11">
        <v>489171.0</v>
      </c>
      <c r="K13" s="11">
        <v>559173.0</v>
      </c>
      <c r="L13" s="11">
        <v>658388.6570000001</v>
      </c>
      <c r="M13" s="11">
        <v>747714.175</v>
      </c>
      <c r="N13" s="11">
        <v>731542.0810000001</v>
      </c>
      <c r="O13" s="11"/>
      <c r="P13" s="11">
        <v>156739.98</v>
      </c>
      <c r="Q13" s="11">
        <v>50343.569</v>
      </c>
      <c r="R13" s="11">
        <v>69251.92700000001</v>
      </c>
      <c r="S13" s="11">
        <v>80296.96200000001</v>
      </c>
      <c r="T13" s="11">
        <v>89011.252</v>
      </c>
      <c r="U13" s="11"/>
      <c r="V13" s="11">
        <v>17118.68</v>
      </c>
      <c r="W13" s="11">
        <v>22603.33</v>
      </c>
      <c r="X13" s="11">
        <v>41829.318</v>
      </c>
      <c r="Y13" s="11">
        <v>22008.315</v>
      </c>
      <c r="Z13" s="11"/>
      <c r="AA13" s="11">
        <v>4149.0</v>
      </c>
      <c r="AB13" s="11">
        <v>55862.54599999999</v>
      </c>
      <c r="AC13" s="11">
        <v>47567.44</v>
      </c>
      <c r="AD13" s="11">
        <v>53771.717</v>
      </c>
      <c r="AE13" s="11"/>
      <c r="AF13" s="11">
        <v>16158.42781</v>
      </c>
      <c r="AG13" s="11">
        <v>16137.41635</v>
      </c>
      <c r="AH13" s="11">
        <v>16139.21819</v>
      </c>
      <c r="AI13" s="11"/>
      <c r="AJ13" s="11">
        <v>5.0</v>
      </c>
      <c r="AK13" s="11">
        <v>18025.53485</v>
      </c>
      <c r="AL13" s="11"/>
      <c r="AM13" s="11">
        <v>49728.76854999999</v>
      </c>
      <c r="AN13" s="11">
        <v>62872.60714000001</v>
      </c>
      <c r="AO13" s="11">
        <v>56280.63406</v>
      </c>
      <c r="AP13" s="11"/>
      <c r="AQ13" s="11">
        <v>59812.929</v>
      </c>
      <c r="AR13" s="11">
        <v>77391.04500000001</v>
      </c>
      <c r="AS13" s="11">
        <v>74316.734</v>
      </c>
      <c r="AT13" s="11"/>
      <c r="AU13" s="11">
        <v>489257.8360000001</v>
      </c>
      <c r="AV13" s="11">
        <v>495285.081</v>
      </c>
      <c r="AW13" s="11">
        <v>460780.217</v>
      </c>
      <c r="AX13" s="11"/>
      <c r="AY13" s="11">
        <v>20834.2994</v>
      </c>
      <c r="AZ13" s="11">
        <v>37591.15066</v>
      </c>
      <c r="BA13" s="11">
        <v>57469.93758</v>
      </c>
      <c r="BB13" s="11">
        <v>68526.19098</v>
      </c>
      <c r="BC13" s="11"/>
      <c r="BD13" s="11">
        <v>1207333.411</v>
      </c>
      <c r="BE13" s="11">
        <v>1247545.081</v>
      </c>
      <c r="BF13" s="11">
        <v>1252652.059</v>
      </c>
      <c r="BG13" s="11">
        <v>1294259.38944</v>
      </c>
      <c r="BH13" s="11"/>
      <c r="BI13" s="11">
        <v>403277.949</v>
      </c>
      <c r="BJ13" s="11">
        <v>537700.313</v>
      </c>
      <c r="BK13" s="11">
        <v>710962.5700000002</v>
      </c>
      <c r="BL13" s="11"/>
      <c r="BM13" s="11">
        <v>10197.616059</v>
      </c>
      <c r="BN13" s="11">
        <v>12016.52444</v>
      </c>
      <c r="BO13" s="11">
        <v>16407.73959</v>
      </c>
      <c r="BP13" s="11"/>
      <c r="BQ13" s="11">
        <v>407.668</v>
      </c>
      <c r="BR13" s="11">
        <v>2554.78346</v>
      </c>
      <c r="BS13" s="11"/>
      <c r="BT13" s="11">
        <v>6856.8995</v>
      </c>
      <c r="BU13" s="11">
        <v>11124.90779</v>
      </c>
      <c r="BV13" s="11">
        <v>15295.21844</v>
      </c>
    </row>
    <row r="14" ht="15.75" customHeight="1">
      <c r="A14" s="7" t="s">
        <v>66</v>
      </c>
      <c r="B14" s="11"/>
      <c r="C14" s="11"/>
      <c r="D14" s="11">
        <v>0.0</v>
      </c>
      <c r="E14" s="11">
        <v>0.0</v>
      </c>
      <c r="F14" s="11">
        <v>0.0</v>
      </c>
      <c r="G14" s="11">
        <v>0.0</v>
      </c>
      <c r="H14" s="11">
        <v>0.0</v>
      </c>
      <c r="I14" s="11"/>
      <c r="J14" s="11">
        <v>117278.282</v>
      </c>
      <c r="K14" s="11">
        <v>105337.0</v>
      </c>
      <c r="L14" s="11">
        <v>183901.697</v>
      </c>
      <c r="M14" s="11">
        <v>221052.018</v>
      </c>
      <c r="N14" s="11">
        <v>95615.30599999963</v>
      </c>
      <c r="O14" s="11"/>
      <c r="P14" s="11">
        <v>25948.0</v>
      </c>
      <c r="Q14" s="11">
        <v>26300.778</v>
      </c>
      <c r="R14" s="11">
        <v>23715.271</v>
      </c>
      <c r="S14" s="11">
        <v>28567.047</v>
      </c>
      <c r="T14" s="11">
        <v>29221.778</v>
      </c>
      <c r="U14" s="11"/>
      <c r="V14" s="11">
        <v>45079.636</v>
      </c>
      <c r="W14" s="11">
        <v>2661.033</v>
      </c>
      <c r="X14" s="11">
        <v>3208.322</v>
      </c>
      <c r="Y14" s="11">
        <v>5083.783</v>
      </c>
      <c r="Z14" s="11"/>
      <c r="AA14" s="11">
        <v>0.0</v>
      </c>
      <c r="AB14" s="11">
        <v>11951.704</v>
      </c>
      <c r="AC14" s="11">
        <v>10657.175</v>
      </c>
      <c r="AD14" s="11">
        <v>10971.355</v>
      </c>
      <c r="AE14" s="11"/>
      <c r="AF14" s="11">
        <v>1937.5</v>
      </c>
      <c r="AG14" s="11">
        <v>1937.5</v>
      </c>
      <c r="AH14" s="11">
        <v>1937.5</v>
      </c>
      <c r="AI14" s="11"/>
      <c r="AJ14" s="11">
        <v>0.0</v>
      </c>
      <c r="AK14" s="11">
        <v>129.08187</v>
      </c>
      <c r="AL14" s="11"/>
      <c r="AM14" s="11">
        <v>16347.70812</v>
      </c>
      <c r="AN14" s="11">
        <v>18501.09217</v>
      </c>
      <c r="AO14" s="11">
        <v>20780.62865</v>
      </c>
      <c r="AP14" s="11"/>
      <c r="AQ14" s="11">
        <v>1807.104999999999</v>
      </c>
      <c r="AR14" s="11">
        <v>1742.831</v>
      </c>
      <c r="AS14" s="11">
        <v>1813.014</v>
      </c>
      <c r="AT14" s="11"/>
      <c r="AU14" s="11">
        <v>71490.305</v>
      </c>
      <c r="AV14" s="11">
        <v>102640.33</v>
      </c>
      <c r="AW14" s="11">
        <v>116100.157</v>
      </c>
      <c r="AX14" s="11"/>
      <c r="AY14" s="11">
        <v>495.5699699999966</v>
      </c>
      <c r="AZ14" s="11">
        <v>195.31259</v>
      </c>
      <c r="BA14" s="11">
        <v>1469.11878</v>
      </c>
      <c r="BB14" s="11">
        <v>2981.486700000004</v>
      </c>
      <c r="BC14" s="11"/>
      <c r="BD14" s="11">
        <v>1074320.722</v>
      </c>
      <c r="BE14" s="11">
        <v>988756.8260000001</v>
      </c>
      <c r="BF14" s="11">
        <v>991524.4829999997</v>
      </c>
      <c r="BG14" s="11">
        <v>1035248.76979</v>
      </c>
      <c r="BH14" s="11"/>
      <c r="BI14" s="11">
        <v>2157.849999999999</v>
      </c>
      <c r="BJ14" s="11">
        <v>6069.277000000002</v>
      </c>
      <c r="BK14" s="11">
        <v>19132.291</v>
      </c>
      <c r="BL14" s="11"/>
      <c r="BM14" s="11">
        <v>3591.461659999999</v>
      </c>
      <c r="BN14" s="11">
        <v>3841.634869999999</v>
      </c>
      <c r="BO14" s="11">
        <v>6142.722380000001</v>
      </c>
      <c r="BP14" s="11"/>
      <c r="BQ14" s="11">
        <v>3.33248</v>
      </c>
      <c r="BR14" s="11">
        <v>27.64633</v>
      </c>
      <c r="BS14" s="11"/>
      <c r="BT14" s="11">
        <v>44.108</v>
      </c>
      <c r="BU14" s="11">
        <v>47.24313000000001</v>
      </c>
      <c r="BV14" s="11">
        <v>121.70389</v>
      </c>
    </row>
    <row r="15" ht="15.75" customHeight="1">
      <c r="A15" s="7" t="s">
        <v>67</v>
      </c>
      <c r="B15" s="11"/>
      <c r="C15" s="11"/>
      <c r="D15" s="11">
        <v>43854.634</v>
      </c>
      <c r="E15" s="11">
        <v>47511.01</v>
      </c>
      <c r="F15" s="11">
        <v>43317.688</v>
      </c>
      <c r="G15" s="11">
        <v>51328.915</v>
      </c>
      <c r="H15" s="11">
        <v>73222.413</v>
      </c>
      <c r="I15" s="11"/>
      <c r="J15" s="11">
        <v>316380.0</v>
      </c>
      <c r="K15" s="11">
        <v>332106.0</v>
      </c>
      <c r="L15" s="11">
        <v>269491.189</v>
      </c>
      <c r="M15" s="11">
        <v>282184.366</v>
      </c>
      <c r="N15" s="11">
        <v>442297.1090000001</v>
      </c>
      <c r="O15" s="11"/>
      <c r="P15" s="11">
        <v>34413.0</v>
      </c>
      <c r="Q15" s="11">
        <v>162778.797</v>
      </c>
      <c r="R15" s="11">
        <v>148720.903</v>
      </c>
      <c r="S15" s="11">
        <v>154873.229</v>
      </c>
      <c r="T15" s="11">
        <v>168630.215</v>
      </c>
      <c r="U15" s="11"/>
      <c r="V15" s="11">
        <v>0.0</v>
      </c>
      <c r="W15" s="11">
        <v>0.0</v>
      </c>
      <c r="X15" s="11">
        <v>0.0</v>
      </c>
      <c r="Y15" s="11">
        <v>31265.551</v>
      </c>
      <c r="Z15" s="11"/>
      <c r="AA15" s="11">
        <v>0.0</v>
      </c>
      <c r="AB15" s="11">
        <v>11319.385</v>
      </c>
      <c r="AC15" s="11">
        <v>20216.327</v>
      </c>
      <c r="AD15" s="11">
        <v>14995.304</v>
      </c>
      <c r="AE15" s="11"/>
      <c r="AF15" s="11">
        <v>0.0</v>
      </c>
      <c r="AG15" s="11">
        <v>0.0</v>
      </c>
      <c r="AH15" s="11">
        <v>0.0</v>
      </c>
      <c r="AI15" s="11"/>
      <c r="AJ15" s="11">
        <v>7.5</v>
      </c>
      <c r="AK15" s="11">
        <v>7.5</v>
      </c>
      <c r="AL15" s="11"/>
      <c r="AM15" s="11">
        <v>4372.55885</v>
      </c>
      <c r="AN15" s="11">
        <v>2125.383500000002</v>
      </c>
      <c r="AO15" s="11">
        <v>2125.38487</v>
      </c>
      <c r="AP15" s="11"/>
      <c r="AQ15" s="11">
        <v>12.81100000000004</v>
      </c>
      <c r="AR15" s="11">
        <v>250.039</v>
      </c>
      <c r="AS15" s="11">
        <v>235.9150000000001</v>
      </c>
      <c r="AT15" s="11"/>
      <c r="AU15" s="11">
        <v>3297.461</v>
      </c>
      <c r="AV15" s="11">
        <v>4455.227</v>
      </c>
      <c r="AW15" s="11">
        <v>5384.058</v>
      </c>
      <c r="AX15" s="11"/>
      <c r="AY15" s="11">
        <v>2141.24157</v>
      </c>
      <c r="AZ15" s="11">
        <v>1956.09598</v>
      </c>
      <c r="BA15" s="11">
        <v>1770.95038</v>
      </c>
      <c r="BB15" s="11">
        <v>1585.80478</v>
      </c>
      <c r="BC15" s="11"/>
      <c r="BD15" s="11">
        <v>132202.716</v>
      </c>
      <c r="BE15" s="11">
        <v>135392.103</v>
      </c>
      <c r="BF15" s="11">
        <v>119134.506</v>
      </c>
      <c r="BG15" s="11">
        <v>98694.95577</v>
      </c>
      <c r="BH15" s="11"/>
      <c r="BI15" s="11">
        <v>5951.627</v>
      </c>
      <c r="BJ15" s="11">
        <v>5951.627</v>
      </c>
      <c r="BK15" s="11">
        <v>5951.627</v>
      </c>
      <c r="BL15" s="11"/>
      <c r="BM15" s="11">
        <v>0.0</v>
      </c>
      <c r="BN15" s="11">
        <v>0.0</v>
      </c>
      <c r="BO15" s="11">
        <v>0.0</v>
      </c>
      <c r="BP15" s="11"/>
      <c r="BQ15" s="11">
        <v>0.0</v>
      </c>
      <c r="BR15" s="11">
        <v>0.0</v>
      </c>
      <c r="BS15" s="11"/>
      <c r="BT15" s="11">
        <v>0.0</v>
      </c>
      <c r="BU15" s="11">
        <v>0.0</v>
      </c>
      <c r="BV15" s="11">
        <v>0.0</v>
      </c>
    </row>
    <row r="16" ht="15.75" customHeight="1">
      <c r="A16" s="7" t="s">
        <v>68</v>
      </c>
      <c r="B16" s="11"/>
      <c r="C16" s="11"/>
      <c r="D16" s="11">
        <v>65298.51</v>
      </c>
      <c r="E16" s="11">
        <v>63658.78</v>
      </c>
      <c r="F16" s="11">
        <v>70575.686</v>
      </c>
      <c r="G16" s="11">
        <v>81517.547</v>
      </c>
      <c r="H16" s="11">
        <v>102146.252</v>
      </c>
      <c r="I16" s="11"/>
      <c r="J16" s="11">
        <v>922829.282</v>
      </c>
      <c r="K16" s="11">
        <v>996616.0</v>
      </c>
      <c r="L16" s="11">
        <v>1111781.543</v>
      </c>
      <c r="M16" s="11">
        <v>1250950.559</v>
      </c>
      <c r="N16" s="11">
        <v>1269454.496</v>
      </c>
      <c r="O16" s="11"/>
      <c r="P16" s="11">
        <v>217100.98</v>
      </c>
      <c r="Q16" s="11">
        <v>239423.1440000001</v>
      </c>
      <c r="R16" s="11">
        <v>241688.101</v>
      </c>
      <c r="S16" s="11">
        <v>263737.238</v>
      </c>
      <c r="T16" s="11">
        <v>286863.245</v>
      </c>
      <c r="U16" s="11"/>
      <c r="V16" s="11">
        <v>62198.316</v>
      </c>
      <c r="W16" s="11">
        <v>25264.363</v>
      </c>
      <c r="X16" s="11">
        <v>45037.64</v>
      </c>
      <c r="Y16" s="11">
        <v>58357.649</v>
      </c>
      <c r="Z16" s="11"/>
      <c r="AA16" s="11">
        <v>4149.0</v>
      </c>
      <c r="AB16" s="11">
        <v>79133.63500000001</v>
      </c>
      <c r="AC16" s="11">
        <v>78440.942</v>
      </c>
      <c r="AD16" s="11">
        <v>79738.37599999999</v>
      </c>
      <c r="AE16" s="11"/>
      <c r="AF16" s="11">
        <v>18095.92781</v>
      </c>
      <c r="AG16" s="11">
        <v>18074.91635</v>
      </c>
      <c r="AH16" s="11">
        <v>18076.71819</v>
      </c>
      <c r="AI16" s="11"/>
      <c r="AJ16" s="11">
        <v>12.5</v>
      </c>
      <c r="AK16" s="11">
        <v>18162.11672</v>
      </c>
      <c r="AL16" s="11"/>
      <c r="AM16" s="11">
        <v>70449.03551999999</v>
      </c>
      <c r="AN16" s="11">
        <v>83499.08281</v>
      </c>
      <c r="AO16" s="11">
        <v>79186.64757999999</v>
      </c>
      <c r="AP16" s="11"/>
      <c r="AQ16" s="11">
        <v>61632.845</v>
      </c>
      <c r="AR16" s="11">
        <v>79383.91500000002</v>
      </c>
      <c r="AS16" s="11">
        <v>76365.66299999999</v>
      </c>
      <c r="AT16" s="11"/>
      <c r="AU16" s="11">
        <v>564045.6020000001</v>
      </c>
      <c r="AV16" s="11">
        <v>602380.6379999999</v>
      </c>
      <c r="AW16" s="11">
        <v>582264.4319999999</v>
      </c>
      <c r="AX16" s="11"/>
      <c r="AY16" s="11">
        <v>23471.11094</v>
      </c>
      <c r="AZ16" s="11">
        <v>39742.55923</v>
      </c>
      <c r="BA16" s="11">
        <v>60710.00674</v>
      </c>
      <c r="BB16" s="11">
        <v>73093.48246000001</v>
      </c>
      <c r="BC16" s="11"/>
      <c r="BD16" s="11">
        <v>2413856.849</v>
      </c>
      <c r="BE16" s="11">
        <v>2371694.01</v>
      </c>
      <c r="BF16" s="11">
        <v>2363311.047999999</v>
      </c>
      <c r="BG16" s="11">
        <v>2428203.115</v>
      </c>
      <c r="BH16" s="11"/>
      <c r="BI16" s="11">
        <v>411387.426</v>
      </c>
      <c r="BJ16" s="11">
        <v>549721.217</v>
      </c>
      <c r="BK16" s="11">
        <v>736046.4880000001</v>
      </c>
      <c r="BL16" s="11"/>
      <c r="BM16" s="11">
        <v>13789.077719</v>
      </c>
      <c r="BN16" s="11">
        <v>15858.15931</v>
      </c>
      <c r="BO16" s="11">
        <v>22550.46197</v>
      </c>
      <c r="BP16" s="11"/>
      <c r="BQ16" s="11">
        <v>411.00048</v>
      </c>
      <c r="BR16" s="11">
        <v>2582.42979</v>
      </c>
      <c r="BS16" s="11"/>
      <c r="BT16" s="11">
        <v>6901.0075</v>
      </c>
      <c r="BU16" s="11">
        <v>11172.15092</v>
      </c>
      <c r="BV16" s="11">
        <v>15416.92233</v>
      </c>
    </row>
    <row r="17" ht="15.75" customHeight="1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</row>
    <row r="18" ht="15.75" customHeight="1">
      <c r="A18" s="7" t="s">
        <v>69</v>
      </c>
      <c r="B18" s="11"/>
      <c r="C18" s="11"/>
      <c r="D18" s="11">
        <v>40792.936</v>
      </c>
      <c r="E18" s="11">
        <v>30309.361</v>
      </c>
      <c r="F18" s="11">
        <v>38072.359</v>
      </c>
      <c r="G18" s="11">
        <v>30532.448</v>
      </c>
      <c r="H18" s="11">
        <v>41502.354</v>
      </c>
      <c r="I18" s="11"/>
      <c r="J18" s="11">
        <v>162415.0</v>
      </c>
      <c r="K18" s="11">
        <v>268455.0</v>
      </c>
      <c r="L18" s="11">
        <v>234795.169</v>
      </c>
      <c r="M18" s="11">
        <v>277370.831</v>
      </c>
      <c r="N18" s="11">
        <v>442676.4459999999</v>
      </c>
      <c r="O18" s="11"/>
      <c r="P18" s="11">
        <v>35006.0</v>
      </c>
      <c r="Q18" s="11">
        <v>42593.636</v>
      </c>
      <c r="R18" s="11">
        <v>53598.854</v>
      </c>
      <c r="S18" s="11">
        <v>61927.29600000002</v>
      </c>
      <c r="T18" s="11">
        <v>86036.563</v>
      </c>
      <c r="U18" s="11"/>
      <c r="V18" s="11">
        <v>40572.929</v>
      </c>
      <c r="W18" s="11">
        <v>6092.298</v>
      </c>
      <c r="X18" s="11">
        <v>25287.61</v>
      </c>
      <c r="Y18" s="11">
        <v>21943.731</v>
      </c>
      <c r="Z18" s="11"/>
      <c r="AA18" s="11">
        <v>0.0</v>
      </c>
      <c r="AB18" s="11">
        <v>22040.14</v>
      </c>
      <c r="AC18" s="11">
        <v>20790.369</v>
      </c>
      <c r="AD18" s="11">
        <v>14654.413</v>
      </c>
      <c r="AE18" s="11"/>
      <c r="AF18" s="11">
        <v>0.0</v>
      </c>
      <c r="AG18" s="11">
        <v>0.0</v>
      </c>
      <c r="AH18" s="11">
        <v>0.0</v>
      </c>
      <c r="AI18" s="11"/>
      <c r="AJ18" s="11">
        <v>7.5</v>
      </c>
      <c r="AK18" s="11">
        <v>14330.18112</v>
      </c>
      <c r="AL18" s="11"/>
      <c r="AM18" s="11">
        <v>36686.45116999999</v>
      </c>
      <c r="AN18" s="11">
        <v>39334.01733</v>
      </c>
      <c r="AO18" s="11">
        <v>39432.83648999999</v>
      </c>
      <c r="AP18" s="11"/>
      <c r="AQ18" s="11">
        <v>7584.777</v>
      </c>
      <c r="AR18" s="11">
        <v>4763.187</v>
      </c>
      <c r="AS18" s="11">
        <v>602.0939999999894</v>
      </c>
      <c r="AT18" s="11"/>
      <c r="AU18" s="11">
        <v>43044.148</v>
      </c>
      <c r="AV18" s="11">
        <v>75189.951</v>
      </c>
      <c r="AW18" s="11">
        <v>70585.001</v>
      </c>
      <c r="AX18" s="11"/>
      <c r="AY18" s="11">
        <v>1697.32256</v>
      </c>
      <c r="AZ18" s="11">
        <v>7422.986039999996</v>
      </c>
      <c r="BA18" s="11">
        <v>19266.65542</v>
      </c>
      <c r="BB18" s="11">
        <v>22946.79519</v>
      </c>
      <c r="BC18" s="11"/>
      <c r="BD18" s="11">
        <v>351927.3</v>
      </c>
      <c r="BE18" s="11">
        <v>368985.002</v>
      </c>
      <c r="BF18" s="11">
        <v>404572.4056999994</v>
      </c>
      <c r="BG18" s="11">
        <v>687122.8156000001</v>
      </c>
      <c r="BH18" s="11"/>
      <c r="BI18" s="11">
        <v>269718.172</v>
      </c>
      <c r="BJ18" s="11">
        <v>451638.98</v>
      </c>
      <c r="BK18" s="11">
        <v>626024.7100000001</v>
      </c>
      <c r="BL18" s="11"/>
      <c r="BM18" s="11">
        <v>816.3589000000001</v>
      </c>
      <c r="BN18" s="11">
        <v>899.5229000000022</v>
      </c>
      <c r="BO18" s="11">
        <v>1267.172740000007</v>
      </c>
      <c r="BP18" s="11"/>
      <c r="BQ18" s="11">
        <v>341.97861</v>
      </c>
      <c r="BR18" s="11">
        <v>464.43575</v>
      </c>
      <c r="BS18" s="11"/>
      <c r="BT18" s="11">
        <v>2794.499499999999</v>
      </c>
      <c r="BU18" s="11">
        <v>8406.5064</v>
      </c>
      <c r="BV18" s="11">
        <v>2683.940420000006</v>
      </c>
    </row>
    <row r="19" ht="15.75" customHeight="1">
      <c r="A19" s="7" t="s">
        <v>70</v>
      </c>
      <c r="B19" s="11"/>
      <c r="C19" s="11"/>
      <c r="D19" s="11">
        <v>10181.019</v>
      </c>
      <c r="E19" s="11">
        <v>16130.981</v>
      </c>
      <c r="F19" s="11">
        <v>10050.413</v>
      </c>
      <c r="G19" s="11">
        <v>22312.681</v>
      </c>
      <c r="H19" s="11">
        <v>21738.022</v>
      </c>
      <c r="I19" s="11"/>
      <c r="J19" s="11">
        <v>310963.0</v>
      </c>
      <c r="K19" s="11">
        <v>257172.0</v>
      </c>
      <c r="L19" s="11">
        <v>351454.951</v>
      </c>
      <c r="M19" s="11">
        <v>411562.724</v>
      </c>
      <c r="N19" s="11">
        <v>315090.2069999999</v>
      </c>
      <c r="O19" s="11"/>
      <c r="P19" s="11">
        <v>45937.0</v>
      </c>
      <c r="Q19" s="11">
        <v>58943.81400000001</v>
      </c>
      <c r="R19" s="11">
        <v>48747.61899999999</v>
      </c>
      <c r="S19" s="11">
        <v>53904.63500000001</v>
      </c>
      <c r="T19" s="11">
        <v>55329.34099999999</v>
      </c>
      <c r="U19" s="11"/>
      <c r="V19" s="11">
        <v>77.481</v>
      </c>
      <c r="W19" s="11">
        <v>331.962</v>
      </c>
      <c r="X19" s="11">
        <v>198.82</v>
      </c>
      <c r="Y19" s="11">
        <v>15751.093</v>
      </c>
      <c r="Z19" s="11"/>
      <c r="AA19" s="11">
        <v>0.0</v>
      </c>
      <c r="AB19" s="11">
        <v>20186.765</v>
      </c>
      <c r="AC19" s="11">
        <v>19842.093</v>
      </c>
      <c r="AD19" s="11">
        <v>24459.709</v>
      </c>
      <c r="AE19" s="11"/>
      <c r="AF19" s="11">
        <v>5.89476</v>
      </c>
      <c r="AG19" s="11">
        <v>0.0</v>
      </c>
      <c r="AH19" s="11">
        <v>0.0</v>
      </c>
      <c r="AI19" s="11"/>
      <c r="AJ19" s="11">
        <v>0.0</v>
      </c>
      <c r="AK19" s="11">
        <v>0.0</v>
      </c>
      <c r="AL19" s="11"/>
      <c r="AM19" s="11">
        <v>7271.07142</v>
      </c>
      <c r="AN19" s="11">
        <v>14107.94335</v>
      </c>
      <c r="AO19" s="11">
        <v>10130.75993</v>
      </c>
      <c r="AP19" s="11"/>
      <c r="AQ19" s="11">
        <v>25322.054</v>
      </c>
      <c r="AR19" s="11">
        <v>44035.114</v>
      </c>
      <c r="AS19" s="11">
        <v>43842.25400000001</v>
      </c>
      <c r="AT19" s="11"/>
      <c r="AU19" s="11">
        <v>377116.73</v>
      </c>
      <c r="AV19" s="11">
        <v>359692.863</v>
      </c>
      <c r="AW19" s="11">
        <v>348368.479</v>
      </c>
      <c r="AX19" s="11"/>
      <c r="AY19" s="11">
        <v>8550.0</v>
      </c>
      <c r="AZ19" s="11">
        <v>20819.71197</v>
      </c>
      <c r="BA19" s="11">
        <v>22472.022</v>
      </c>
      <c r="BB19" s="11">
        <v>22106.502</v>
      </c>
      <c r="BC19" s="11"/>
      <c r="BD19" s="11">
        <v>1122074.319</v>
      </c>
      <c r="BE19" s="11">
        <v>1111928.187</v>
      </c>
      <c r="BF19" s="11">
        <v>1125454.377</v>
      </c>
      <c r="BG19" s="11">
        <v>1141114.8494</v>
      </c>
      <c r="BH19" s="11"/>
      <c r="BI19" s="11">
        <v>3542.761</v>
      </c>
      <c r="BJ19" s="11">
        <v>321.476</v>
      </c>
      <c r="BK19" s="11">
        <v>321.476</v>
      </c>
      <c r="BL19" s="11"/>
      <c r="BM19" s="11">
        <v>1291.956938999999</v>
      </c>
      <c r="BN19" s="11">
        <v>785.48835</v>
      </c>
      <c r="BO19" s="11">
        <v>3429.31752</v>
      </c>
      <c r="BP19" s="11"/>
      <c r="BQ19" s="11">
        <v>0.0</v>
      </c>
      <c r="BR19" s="11">
        <v>1761.42825</v>
      </c>
      <c r="BS19" s="11"/>
      <c r="BT19" s="11">
        <v>0.0</v>
      </c>
      <c r="BU19" s="11">
        <v>97.46402</v>
      </c>
      <c r="BV19" s="11">
        <v>8532.58613</v>
      </c>
    </row>
    <row r="20" ht="15.75" customHeight="1">
      <c r="A20" s="7" t="s">
        <v>71</v>
      </c>
      <c r="B20" s="11"/>
      <c r="C20" s="11"/>
      <c r="D20" s="11">
        <v>50973.955</v>
      </c>
      <c r="E20" s="11">
        <v>46440.342</v>
      </c>
      <c r="F20" s="11">
        <v>48122.772</v>
      </c>
      <c r="G20" s="11">
        <v>52845.129</v>
      </c>
      <c r="H20" s="11">
        <v>63240.376</v>
      </c>
      <c r="I20" s="11"/>
      <c r="J20" s="11">
        <v>473378.0</v>
      </c>
      <c r="K20" s="11">
        <v>525627.0</v>
      </c>
      <c r="L20" s="11">
        <v>586250.12</v>
      </c>
      <c r="M20" s="11">
        <v>688933.5549999999</v>
      </c>
      <c r="N20" s="11">
        <v>757766.6529999999</v>
      </c>
      <c r="O20" s="11"/>
      <c r="P20" s="11">
        <v>80943.0</v>
      </c>
      <c r="Q20" s="11">
        <v>101537.45</v>
      </c>
      <c r="R20" s="11">
        <v>102346.473</v>
      </c>
      <c r="S20" s="11">
        <v>115831.931</v>
      </c>
      <c r="T20" s="11">
        <v>141365.904</v>
      </c>
      <c r="U20" s="11"/>
      <c r="V20" s="11">
        <v>40650.41</v>
      </c>
      <c r="W20" s="11">
        <v>6424.26</v>
      </c>
      <c r="X20" s="11">
        <v>25486.43</v>
      </c>
      <c r="Y20" s="11">
        <v>37694.824</v>
      </c>
      <c r="Z20" s="11"/>
      <c r="AA20" s="11">
        <v>0.0</v>
      </c>
      <c r="AB20" s="11">
        <v>42226.905</v>
      </c>
      <c r="AC20" s="11">
        <v>40632.462</v>
      </c>
      <c r="AD20" s="11">
        <v>39114.122</v>
      </c>
      <c r="AE20" s="11"/>
      <c r="AF20" s="11">
        <v>5.89476</v>
      </c>
      <c r="AG20" s="11">
        <v>0.0</v>
      </c>
      <c r="AH20" s="11">
        <v>0.0</v>
      </c>
      <c r="AI20" s="11"/>
      <c r="AJ20" s="11">
        <v>7.5</v>
      </c>
      <c r="AK20" s="11">
        <v>14330.18112</v>
      </c>
      <c r="AL20" s="11"/>
      <c r="AM20" s="11">
        <v>43957.52258999999</v>
      </c>
      <c r="AN20" s="11">
        <v>53441.96068</v>
      </c>
      <c r="AO20" s="11">
        <v>49563.59641999999</v>
      </c>
      <c r="AP20" s="11"/>
      <c r="AQ20" s="11">
        <v>32906.83100000001</v>
      </c>
      <c r="AR20" s="11">
        <v>48798.301</v>
      </c>
      <c r="AS20" s="11">
        <v>44444.348</v>
      </c>
      <c r="AT20" s="11"/>
      <c r="AU20" s="11">
        <v>420160.878</v>
      </c>
      <c r="AV20" s="11">
        <v>434882.814</v>
      </c>
      <c r="AW20" s="11">
        <v>418953.48</v>
      </c>
      <c r="AX20" s="11"/>
      <c r="AY20" s="11">
        <v>10247.32256</v>
      </c>
      <c r="AZ20" s="11">
        <v>28242.69801</v>
      </c>
      <c r="BA20" s="11">
        <v>41738.67742</v>
      </c>
      <c r="BB20" s="11">
        <v>45053.29719</v>
      </c>
      <c r="BC20" s="11"/>
      <c r="BD20" s="11">
        <v>1474001.619</v>
      </c>
      <c r="BE20" s="11">
        <v>1480913.189</v>
      </c>
      <c r="BF20" s="11">
        <v>1530026.7827</v>
      </c>
      <c r="BG20" s="11">
        <v>1828237.665</v>
      </c>
      <c r="BH20" s="11"/>
      <c r="BI20" s="11">
        <v>273260.933</v>
      </c>
      <c r="BJ20" s="11">
        <v>451960.456</v>
      </c>
      <c r="BK20" s="11">
        <v>626346.1860000001</v>
      </c>
      <c r="BL20" s="11"/>
      <c r="BM20" s="11">
        <v>2108.315838999999</v>
      </c>
      <c r="BN20" s="11">
        <v>1685.011250000002</v>
      </c>
      <c r="BO20" s="11">
        <v>4696.490260000007</v>
      </c>
      <c r="BP20" s="11"/>
      <c r="BQ20" s="11">
        <v>341.97861</v>
      </c>
      <c r="BR20" s="11">
        <v>2225.864</v>
      </c>
      <c r="BS20" s="11"/>
      <c r="BT20" s="11">
        <v>2794.499499999999</v>
      </c>
      <c r="BU20" s="11">
        <v>8503.97042</v>
      </c>
      <c r="BV20" s="11">
        <v>11216.52655000001</v>
      </c>
    </row>
    <row r="21" ht="15.75" customHeight="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</row>
    <row r="22" ht="15.75" customHeight="1">
      <c r="A22" s="7" t="s">
        <v>72</v>
      </c>
      <c r="B22" s="11"/>
      <c r="C22" s="11"/>
      <c r="D22" s="11"/>
      <c r="E22" s="11"/>
      <c r="F22" s="11"/>
      <c r="G22" s="11"/>
      <c r="H22" s="11"/>
      <c r="I22" s="11"/>
      <c r="J22" s="11">
        <v>114975.0</v>
      </c>
      <c r="K22" s="11">
        <v>114995.0</v>
      </c>
      <c r="L22" s="11">
        <v>114995.0</v>
      </c>
      <c r="M22" s="11">
        <v>114995.0</v>
      </c>
      <c r="N22" s="11">
        <v>114995.0</v>
      </c>
      <c r="O22" s="11"/>
      <c r="P22" s="11">
        <v>128348.0</v>
      </c>
      <c r="Q22" s="11">
        <v>128370.973</v>
      </c>
      <c r="R22" s="11">
        <v>128397.925</v>
      </c>
      <c r="S22" s="11">
        <v>128397.925</v>
      </c>
      <c r="T22" s="11">
        <v>128414.005</v>
      </c>
      <c r="U22" s="11"/>
      <c r="V22" s="11">
        <v>21388.0</v>
      </c>
      <c r="W22" s="11">
        <v>21388.0</v>
      </c>
      <c r="X22" s="11">
        <v>21388.0</v>
      </c>
      <c r="Y22" s="11">
        <v>21388.0</v>
      </c>
      <c r="Z22" s="11"/>
      <c r="AA22" s="11">
        <v>0.0</v>
      </c>
      <c r="AB22" s="11">
        <v>20598.0</v>
      </c>
      <c r="AC22" s="11">
        <v>20598.0</v>
      </c>
      <c r="AD22" s="11">
        <v>20598.0</v>
      </c>
      <c r="AE22" s="11"/>
      <c r="AF22" s="11">
        <v>2000.0</v>
      </c>
      <c r="AG22" s="11">
        <v>2000.0</v>
      </c>
      <c r="AH22" s="11">
        <v>2000.0</v>
      </c>
      <c r="AI22" s="11"/>
      <c r="AJ22" s="11">
        <v>5.0</v>
      </c>
      <c r="AK22" s="11">
        <v>490.0</v>
      </c>
      <c r="AL22" s="11"/>
      <c r="AM22" s="11">
        <v>15000.0</v>
      </c>
      <c r="AN22" s="11">
        <v>15000.0</v>
      </c>
      <c r="AO22" s="11">
        <v>15000.0</v>
      </c>
      <c r="AP22" s="11"/>
      <c r="AQ22" s="11">
        <v>5005.0</v>
      </c>
      <c r="AR22" s="11">
        <v>5005.0</v>
      </c>
      <c r="AS22" s="11">
        <v>5005.0</v>
      </c>
      <c r="AT22" s="11"/>
      <c r="AU22" s="11">
        <v>111574.8</v>
      </c>
      <c r="AV22" s="11">
        <v>111574.8</v>
      </c>
      <c r="AW22" s="11">
        <v>111574.8</v>
      </c>
      <c r="AX22" s="11"/>
      <c r="AY22" s="11">
        <v>7572.2</v>
      </c>
      <c r="AZ22" s="11">
        <v>7572.2</v>
      </c>
      <c r="BA22" s="11">
        <v>7572.2</v>
      </c>
      <c r="BB22" s="11">
        <v>16105.6</v>
      </c>
      <c r="BC22" s="11"/>
      <c r="BD22" s="11">
        <v>134051.4</v>
      </c>
      <c r="BE22" s="11">
        <v>134051.4</v>
      </c>
      <c r="BF22" s="11">
        <v>134051.4</v>
      </c>
      <c r="BG22" s="11">
        <v>134051.4</v>
      </c>
      <c r="BH22" s="11"/>
      <c r="BI22" s="11">
        <v>460989.0</v>
      </c>
      <c r="BJ22" s="11">
        <v>460989.0</v>
      </c>
      <c r="BK22" s="11">
        <v>92197.8</v>
      </c>
      <c r="BL22" s="11"/>
      <c r="BM22" s="11">
        <v>3105.0</v>
      </c>
      <c r="BN22" s="11">
        <v>3105.0</v>
      </c>
      <c r="BO22" s="11">
        <v>3105.0</v>
      </c>
      <c r="BP22" s="11"/>
      <c r="BQ22" s="11">
        <v>5.0</v>
      </c>
      <c r="BR22" s="11">
        <v>5.0</v>
      </c>
      <c r="BS22" s="11"/>
      <c r="BT22" s="11">
        <v>6.0</v>
      </c>
      <c r="BU22" s="11">
        <v>6.0</v>
      </c>
      <c r="BV22" s="11">
        <v>6.0</v>
      </c>
    </row>
    <row r="23" ht="15.75" customHeight="1">
      <c r="A23" s="7" t="s">
        <v>73</v>
      </c>
      <c r="B23" s="11"/>
      <c r="C23" s="11"/>
      <c r="D23" s="11">
        <v>0.0</v>
      </c>
      <c r="E23" s="11">
        <v>0.0</v>
      </c>
      <c r="F23" s="11">
        <v>0.0</v>
      </c>
      <c r="G23" s="11">
        <v>0.0</v>
      </c>
      <c r="H23" s="11">
        <v>0.0</v>
      </c>
      <c r="I23" s="11"/>
      <c r="J23" s="11">
        <v>0.0</v>
      </c>
      <c r="K23" s="11">
        <v>0.0</v>
      </c>
      <c r="L23" s="11">
        <v>-6800.427</v>
      </c>
      <c r="M23" s="11">
        <v>22470.203</v>
      </c>
      <c r="N23" s="11">
        <v>0.0</v>
      </c>
      <c r="O23" s="11"/>
      <c r="P23" s="11">
        <v>6984.0</v>
      </c>
      <c r="Q23" s="11">
        <v>7515.611000000001</v>
      </c>
      <c r="R23" s="11">
        <v>1254.59</v>
      </c>
      <c r="S23" s="11">
        <v>949.485</v>
      </c>
      <c r="T23" s="11">
        <v>3094.496</v>
      </c>
      <c r="U23" s="11"/>
      <c r="V23" s="11">
        <v>0.0</v>
      </c>
      <c r="W23" s="11">
        <v>0.0</v>
      </c>
      <c r="X23" s="11">
        <v>0.0</v>
      </c>
      <c r="Y23" s="11">
        <v>0.0</v>
      </c>
      <c r="Z23" s="11"/>
      <c r="AA23" s="11">
        <v>0.0</v>
      </c>
      <c r="AB23" s="11">
        <v>0.0</v>
      </c>
      <c r="AC23" s="11">
        <v>0.0</v>
      </c>
      <c r="AD23" s="11">
        <v>5439.5</v>
      </c>
      <c r="AE23" s="11"/>
      <c r="AF23" s="11">
        <v>14879.18517</v>
      </c>
      <c r="AG23" s="11">
        <v>14858.53718</v>
      </c>
      <c r="AH23" s="11">
        <v>14858.25661</v>
      </c>
      <c r="AI23" s="11"/>
      <c r="AJ23" s="11">
        <v>0.0</v>
      </c>
      <c r="AK23" s="11">
        <v>3000.0</v>
      </c>
      <c r="AL23" s="11"/>
      <c r="AM23" s="11">
        <v>0.0</v>
      </c>
      <c r="AN23" s="11">
        <v>0.0</v>
      </c>
      <c r="AO23" s="11">
        <v>0.0</v>
      </c>
      <c r="AP23" s="11"/>
      <c r="AQ23" s="11">
        <v>9995.0</v>
      </c>
      <c r="AR23" s="11">
        <v>9995.0</v>
      </c>
      <c r="AS23" s="11">
        <v>9995.0</v>
      </c>
      <c r="AT23" s="11"/>
      <c r="AU23" s="11">
        <v>8912.602</v>
      </c>
      <c r="AV23" s="11">
        <v>8912.602</v>
      </c>
      <c r="AW23" s="11">
        <v>13912.579</v>
      </c>
      <c r="AX23" s="11"/>
      <c r="AY23" s="11">
        <v>4838.43896</v>
      </c>
      <c r="AZ23" s="11">
        <v>2473.345</v>
      </c>
      <c r="BA23" s="11">
        <v>7207.98048</v>
      </c>
      <c r="BB23" s="11">
        <v>2655.20013</v>
      </c>
      <c r="BC23" s="11"/>
      <c r="BD23" s="11">
        <v>827460.032</v>
      </c>
      <c r="BE23" s="11">
        <v>763600.524</v>
      </c>
      <c r="BF23" s="11">
        <v>641385.651</v>
      </c>
      <c r="BG23" s="11">
        <v>406960.009</v>
      </c>
      <c r="BH23" s="11"/>
      <c r="BI23" s="11">
        <v>3180.903</v>
      </c>
      <c r="BJ23" s="11">
        <v>0.0</v>
      </c>
      <c r="BK23" s="11">
        <v>0.0</v>
      </c>
      <c r="BL23" s="11"/>
      <c r="BM23" s="11">
        <v>2.8535</v>
      </c>
      <c r="BN23" s="11">
        <v>2.8535</v>
      </c>
      <c r="BO23" s="11">
        <v>2.8535</v>
      </c>
      <c r="BP23" s="11"/>
      <c r="BQ23" s="11">
        <v>0.0</v>
      </c>
      <c r="BR23" s="11">
        <v>0.0</v>
      </c>
      <c r="BS23" s="11"/>
      <c r="BT23" s="11">
        <v>0.0</v>
      </c>
      <c r="BU23" s="11">
        <v>0.0</v>
      </c>
      <c r="BV23" s="11">
        <v>0.0</v>
      </c>
    </row>
    <row r="24" ht="15.75" customHeight="1">
      <c r="A24" s="7" t="s">
        <v>74</v>
      </c>
      <c r="B24" s="11"/>
      <c r="C24" s="11"/>
      <c r="D24" s="11"/>
      <c r="E24" s="11"/>
      <c r="F24" s="11"/>
      <c r="G24" s="11"/>
      <c r="H24" s="11"/>
      <c r="I24" s="11"/>
      <c r="J24" s="11">
        <v>28309.0</v>
      </c>
      <c r="K24" s="11">
        <v>29652.0</v>
      </c>
      <c r="L24" s="11">
        <v>31064.837</v>
      </c>
      <c r="M24" s="11">
        <v>31778.92</v>
      </c>
      <c r="N24" s="11">
        <v>31778.92</v>
      </c>
      <c r="O24" s="11"/>
      <c r="P24" s="11">
        <v>3668.0</v>
      </c>
      <c r="Q24" s="11">
        <v>3835.227</v>
      </c>
      <c r="R24" s="11">
        <v>4086.595</v>
      </c>
      <c r="S24" s="11">
        <v>4175.852</v>
      </c>
      <c r="T24" s="11">
        <v>4541.229</v>
      </c>
      <c r="U24" s="11"/>
      <c r="V24" s="11">
        <v>71.441</v>
      </c>
      <c r="W24" s="11">
        <v>71.441</v>
      </c>
      <c r="X24" s="11">
        <v>119.549</v>
      </c>
      <c r="Y24" s="11">
        <v>119.549</v>
      </c>
      <c r="Z24" s="11"/>
      <c r="AA24" s="11">
        <v>0.0</v>
      </c>
      <c r="AB24" s="11">
        <v>0.0</v>
      </c>
      <c r="AC24" s="11">
        <v>0.0</v>
      </c>
      <c r="AD24" s="11">
        <v>694.589</v>
      </c>
      <c r="AE24" s="11"/>
      <c r="AF24" s="11">
        <v>44.22588</v>
      </c>
      <c r="AG24" s="11">
        <v>44.22588</v>
      </c>
      <c r="AH24" s="11">
        <v>44.22588</v>
      </c>
      <c r="AI24" s="11"/>
      <c r="AJ24" s="11"/>
      <c r="AK24" s="11"/>
      <c r="AL24" s="11"/>
      <c r="AM24" s="11">
        <v>271.946</v>
      </c>
      <c r="AN24" s="11">
        <v>490.97832</v>
      </c>
      <c r="AO24" s="11">
        <v>490.97832</v>
      </c>
      <c r="AP24" s="11"/>
      <c r="AQ24" s="11">
        <v>1186.153</v>
      </c>
      <c r="AR24" s="11">
        <v>1404.133</v>
      </c>
      <c r="AS24" s="11">
        <v>1404.133</v>
      </c>
      <c r="AT24" s="11"/>
      <c r="AU24" s="11">
        <v>2164.457</v>
      </c>
      <c r="AV24" s="11">
        <v>3357.874</v>
      </c>
      <c r="AW24" s="11">
        <v>5105.494</v>
      </c>
      <c r="AX24" s="11"/>
      <c r="AY24" s="11">
        <v>46.49867</v>
      </c>
      <c r="AZ24" s="11">
        <v>78.55701</v>
      </c>
      <c r="BA24" s="11">
        <v>46.49867</v>
      </c>
      <c r="BB24" s="11">
        <v>119.76161</v>
      </c>
      <c r="BC24" s="11"/>
      <c r="BD24" s="11">
        <v>21884.101</v>
      </c>
      <c r="BE24" s="11">
        <v>22869.044</v>
      </c>
      <c r="BF24" s="11">
        <v>24625.769</v>
      </c>
      <c r="BG24" s="11">
        <v>27650.698</v>
      </c>
      <c r="BH24" s="11"/>
      <c r="BI24" s="11">
        <v>0.0</v>
      </c>
      <c r="BJ24" s="11">
        <v>0.0</v>
      </c>
      <c r="BK24" s="11">
        <v>0.0</v>
      </c>
      <c r="BL24" s="11"/>
      <c r="BM24" s="11">
        <v>796.52592</v>
      </c>
      <c r="BN24" s="11">
        <v>1083.26575</v>
      </c>
      <c r="BO24" s="11">
        <v>1291.86943</v>
      </c>
      <c r="BP24" s="11"/>
      <c r="BQ24" s="11">
        <v>0.0</v>
      </c>
      <c r="BR24" s="11">
        <v>0.0</v>
      </c>
      <c r="BS24" s="11"/>
      <c r="BT24" s="11">
        <v>75.655</v>
      </c>
      <c r="BU24" s="11">
        <v>112.83228</v>
      </c>
      <c r="BV24" s="11">
        <v>140.05211</v>
      </c>
    </row>
    <row r="25" ht="15.75" customHeight="1">
      <c r="A25" s="7" t="s">
        <v>75</v>
      </c>
      <c r="B25" s="11"/>
      <c r="C25" s="11"/>
      <c r="D25" s="11">
        <v>14324.555</v>
      </c>
      <c r="E25" s="11">
        <v>17218.238</v>
      </c>
      <c r="F25" s="11">
        <v>22452.714</v>
      </c>
      <c r="G25" s="11">
        <v>28672.218</v>
      </c>
      <c r="H25" s="11">
        <v>38905.676</v>
      </c>
      <c r="I25" s="11"/>
      <c r="J25" s="11">
        <v>306165.0</v>
      </c>
      <c r="K25" s="11">
        <v>326342.0</v>
      </c>
      <c r="L25" s="11">
        <v>386272.013</v>
      </c>
      <c r="M25" s="11">
        <v>392772.881</v>
      </c>
      <c r="N25" s="11">
        <v>364913.923</v>
      </c>
      <c r="O25" s="11"/>
      <c r="P25" s="11">
        <v>-2843.0</v>
      </c>
      <c r="Q25" s="11">
        <v>-1836.117</v>
      </c>
      <c r="R25" s="11">
        <v>360.338</v>
      </c>
      <c r="S25" s="11">
        <v>8745.705</v>
      </c>
      <c r="T25" s="11">
        <v>-4538.771</v>
      </c>
      <c r="U25" s="11"/>
      <c r="V25" s="11">
        <v>88.465</v>
      </c>
      <c r="W25" s="11">
        <v>-2619.893</v>
      </c>
      <c r="X25" s="11">
        <v>-1956.339</v>
      </c>
      <c r="Y25" s="11">
        <v>-844.713</v>
      </c>
      <c r="Z25" s="11"/>
      <c r="AA25" s="11">
        <v>0.0</v>
      </c>
      <c r="AB25" s="11">
        <v>16308.73</v>
      </c>
      <c r="AC25" s="11">
        <v>17210.48</v>
      </c>
      <c r="AD25" s="11">
        <v>13892.165</v>
      </c>
      <c r="AE25" s="11"/>
      <c r="AF25" s="11">
        <v>1166.622</v>
      </c>
      <c r="AG25" s="11">
        <v>1172.15329</v>
      </c>
      <c r="AH25" s="11">
        <v>1174.2357</v>
      </c>
      <c r="AI25" s="11"/>
      <c r="AJ25" s="11">
        <v>0.0</v>
      </c>
      <c r="AK25" s="11">
        <v>341.9356</v>
      </c>
      <c r="AL25" s="11"/>
      <c r="AM25" s="11">
        <v>11219.56693</v>
      </c>
      <c r="AN25" s="11">
        <v>14566.14381</v>
      </c>
      <c r="AO25" s="11">
        <v>14132.07284</v>
      </c>
      <c r="AP25" s="11"/>
      <c r="AQ25" s="11">
        <v>12539.861</v>
      </c>
      <c r="AR25" s="11">
        <v>14181.481</v>
      </c>
      <c r="AS25" s="11">
        <v>15517.182</v>
      </c>
      <c r="AT25" s="11"/>
      <c r="AU25" s="11">
        <v>21232.865</v>
      </c>
      <c r="AV25" s="11">
        <v>43652.548</v>
      </c>
      <c r="AW25" s="11">
        <v>32718.079</v>
      </c>
      <c r="AX25" s="11"/>
      <c r="AY25" s="11">
        <v>766.65075</v>
      </c>
      <c r="AZ25" s="11">
        <v>1375.75921</v>
      </c>
      <c r="BA25" s="11">
        <v>4144.65017</v>
      </c>
      <c r="BB25" s="11">
        <v>9159.62353</v>
      </c>
      <c r="BC25" s="11"/>
      <c r="BD25" s="11">
        <v>-43540.303</v>
      </c>
      <c r="BE25" s="11">
        <v>-29740.147</v>
      </c>
      <c r="BF25" s="11">
        <v>33221.4453</v>
      </c>
      <c r="BG25" s="11">
        <v>31303.343</v>
      </c>
      <c r="BH25" s="11"/>
      <c r="BI25" s="11">
        <v>-326043.41</v>
      </c>
      <c r="BJ25" s="11">
        <v>-363228.2389999999</v>
      </c>
      <c r="BK25" s="11">
        <v>17502.502</v>
      </c>
      <c r="BL25" s="11"/>
      <c r="BM25" s="11">
        <v>7776.38246</v>
      </c>
      <c r="BN25" s="11">
        <v>9982.02881</v>
      </c>
      <c r="BO25" s="11">
        <v>13454.24878</v>
      </c>
      <c r="BP25" s="11"/>
      <c r="BQ25" s="11">
        <v>64.02187</v>
      </c>
      <c r="BR25" s="11">
        <v>351.56579</v>
      </c>
      <c r="BS25" s="11"/>
      <c r="BT25" s="11">
        <v>4024.853</v>
      </c>
      <c r="BU25" s="11">
        <v>2549.34822</v>
      </c>
      <c r="BV25" s="11">
        <v>4054.343419999998</v>
      </c>
    </row>
    <row r="26" ht="15.75" customHeight="1">
      <c r="A26" s="7" t="s">
        <v>76</v>
      </c>
      <c r="B26" s="11"/>
      <c r="C26" s="11"/>
      <c r="D26" s="11">
        <v>14324.755</v>
      </c>
      <c r="E26" s="11">
        <v>17218.438</v>
      </c>
      <c r="F26" s="11">
        <v>22452.914</v>
      </c>
      <c r="G26" s="11">
        <v>28672.418</v>
      </c>
      <c r="H26" s="11">
        <v>38905.876</v>
      </c>
      <c r="I26" s="11"/>
      <c r="J26" s="11">
        <v>449449.0</v>
      </c>
      <c r="K26" s="11">
        <v>470989.0</v>
      </c>
      <c r="L26" s="11">
        <v>525531.423</v>
      </c>
      <c r="M26" s="11">
        <v>562017.004</v>
      </c>
      <c r="N26" s="11">
        <v>511687.843</v>
      </c>
      <c r="O26" s="11"/>
      <c r="P26" s="11">
        <v>136157.0</v>
      </c>
      <c r="Q26" s="11">
        <v>137885.694</v>
      </c>
      <c r="R26" s="11">
        <v>139341.628</v>
      </c>
      <c r="S26" s="11">
        <v>147905.307</v>
      </c>
      <c r="T26" s="11">
        <v>145497.341</v>
      </c>
      <c r="U26" s="11"/>
      <c r="V26" s="11">
        <v>21547.906</v>
      </c>
      <c r="W26" s="11">
        <v>18839.548</v>
      </c>
      <c r="X26" s="11">
        <v>19551.21</v>
      </c>
      <c r="Y26" s="11">
        <v>20662.836</v>
      </c>
      <c r="Z26" s="11"/>
      <c r="AA26" s="11">
        <v>0.0</v>
      </c>
      <c r="AB26" s="11">
        <v>36906.73</v>
      </c>
      <c r="AC26" s="11">
        <v>37808.48</v>
      </c>
      <c r="AD26" s="11">
        <v>40624.254</v>
      </c>
      <c r="AE26" s="11"/>
      <c r="AF26" s="11">
        <v>18090.03305</v>
      </c>
      <c r="AG26" s="11">
        <v>18074.91635</v>
      </c>
      <c r="AH26" s="11">
        <v>18076.71819</v>
      </c>
      <c r="AI26" s="11"/>
      <c r="AJ26" s="11">
        <v>5.0</v>
      </c>
      <c r="AK26" s="11">
        <v>3831.9356</v>
      </c>
      <c r="AL26" s="11"/>
      <c r="AM26" s="11">
        <v>26491.51293</v>
      </c>
      <c r="AN26" s="11">
        <v>30057.12213</v>
      </c>
      <c r="AO26" s="11">
        <v>29623.05116</v>
      </c>
      <c r="AP26" s="11"/>
      <c r="AQ26" s="11">
        <v>28726.014</v>
      </c>
      <c r="AR26" s="11">
        <v>30585.614</v>
      </c>
      <c r="AS26" s="11">
        <v>31921.315</v>
      </c>
      <c r="AT26" s="11"/>
      <c r="AU26" s="11">
        <v>143884.724</v>
      </c>
      <c r="AV26" s="11">
        <v>167497.824</v>
      </c>
      <c r="AW26" s="11">
        <v>163310.952</v>
      </c>
      <c r="AX26" s="11"/>
      <c r="AY26" s="11">
        <v>13223.78838</v>
      </c>
      <c r="AZ26" s="11">
        <v>11499.86122</v>
      </c>
      <c r="BA26" s="11">
        <v>18971.32932</v>
      </c>
      <c r="BB26" s="11">
        <v>28040.18527</v>
      </c>
      <c r="BC26" s="11"/>
      <c r="BD26" s="11">
        <v>939855.2300000001</v>
      </c>
      <c r="BE26" s="11">
        <v>890780.821</v>
      </c>
      <c r="BF26" s="11">
        <v>833284.2653</v>
      </c>
      <c r="BG26" s="11">
        <v>599965.4500000001</v>
      </c>
      <c r="BH26" s="11"/>
      <c r="BI26" s="11">
        <v>138126.493</v>
      </c>
      <c r="BJ26" s="11">
        <v>97760.76100000003</v>
      </c>
      <c r="BK26" s="11">
        <v>109700.302</v>
      </c>
      <c r="BL26" s="11"/>
      <c r="BM26" s="11">
        <v>11680.76188</v>
      </c>
      <c r="BN26" s="11">
        <v>14173.14806</v>
      </c>
      <c r="BO26" s="11">
        <v>17853.97171</v>
      </c>
      <c r="BP26" s="11"/>
      <c r="BQ26" s="11">
        <v>69.02187</v>
      </c>
      <c r="BR26" s="11">
        <v>356.56579</v>
      </c>
      <c r="BS26" s="11"/>
      <c r="BT26" s="11">
        <v>4106.508000000001</v>
      </c>
      <c r="BU26" s="11">
        <v>2668.1805</v>
      </c>
      <c r="BV26" s="11">
        <v>4200.395529999998</v>
      </c>
    </row>
    <row r="27" ht="15.75" customHeight="1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</row>
    <row r="28" ht="15.75" customHeight="1">
      <c r="A28" s="12" t="s">
        <v>77</v>
      </c>
      <c r="B28" s="12"/>
      <c r="C28" s="12"/>
      <c r="D28" s="12">
        <v>0.5256762102</v>
      </c>
      <c r="E28" s="12">
        <v>0.5327651084</v>
      </c>
      <c r="F28" s="12">
        <v>0.7159524315</v>
      </c>
      <c r="G28" s="12">
        <v>0.9887393241</v>
      </c>
      <c r="H28" s="12">
        <v>0.6969204446</v>
      </c>
      <c r="I28" s="12"/>
      <c r="J28" s="12">
        <v>3.011858510605547</v>
      </c>
      <c r="K28" s="12">
        <v>2.082930100016763</v>
      </c>
      <c r="L28" s="12">
        <v>2.804097971027675</v>
      </c>
      <c r="M28" s="12">
        <v>2.695720282858438</v>
      </c>
      <c r="N28" s="12">
        <v>1.652543494487168</v>
      </c>
      <c r="O28" s="12"/>
      <c r="P28" s="12">
        <v>4.477517568416842</v>
      </c>
      <c r="Q28" s="12">
        <v>1.181950491383267</v>
      </c>
      <c r="R28" s="12">
        <v>1.292041188044804</v>
      </c>
      <c r="S28" s="12">
        <v>1.296632780478579</v>
      </c>
      <c r="T28" s="12">
        <v>1.034574707499648</v>
      </c>
      <c r="U28" s="12"/>
      <c r="V28" s="12">
        <v>0.421923692</v>
      </c>
      <c r="W28" s="12">
        <v>3.710148453</v>
      </c>
      <c r="X28" s="12">
        <v>1.6541428</v>
      </c>
      <c r="Y28" s="12">
        <v>1.002943164</v>
      </c>
      <c r="Z28" s="12"/>
      <c r="AA28" s="12">
        <v>0.0</v>
      </c>
      <c r="AB28" s="12">
        <v>2.534582175975288</v>
      </c>
      <c r="AC28" s="12">
        <v>2.287955543261401</v>
      </c>
      <c r="AD28" s="12">
        <v>3.669319064502959</v>
      </c>
      <c r="AE28" s="12"/>
      <c r="AF28" s="12">
        <v>0.0</v>
      </c>
      <c r="AG28" s="12">
        <v>0.0</v>
      </c>
      <c r="AH28" s="12">
        <v>0.0</v>
      </c>
      <c r="AI28" s="12"/>
      <c r="AJ28" s="12">
        <v>0.6666666666666666</v>
      </c>
      <c r="AK28" s="12">
        <v>1.257872088221031</v>
      </c>
      <c r="AL28" s="12"/>
      <c r="AM28" s="12">
        <v>1.355507740979461</v>
      </c>
      <c r="AN28" s="12">
        <v>1.598428317466753</v>
      </c>
      <c r="AO28" s="12">
        <v>1.427252996985711</v>
      </c>
      <c r="AP28" s="12"/>
      <c r="AQ28" s="12">
        <v>7.885917937996068</v>
      </c>
      <c r="AR28" s="12">
        <v>16.24774441986007</v>
      </c>
      <c r="AS28" s="12">
        <v>123.4304510591391</v>
      </c>
      <c r="AT28" s="12"/>
      <c r="AU28" s="12">
        <v>11.36641933300666</v>
      </c>
      <c r="AV28" s="12">
        <v>6.587118017938328</v>
      </c>
      <c r="AW28" s="12">
        <v>6.528018849216989</v>
      </c>
      <c r="AX28" s="12"/>
      <c r="AY28" s="12">
        <v>12.27480261618629</v>
      </c>
      <c r="AZ28" s="12">
        <v>5.064154837074168</v>
      </c>
      <c r="BA28" s="12">
        <v>2.982870473737885</v>
      </c>
      <c r="BB28" s="12">
        <v>2.986307691884707</v>
      </c>
      <c r="BC28" s="12"/>
      <c r="BD28" s="12">
        <v>3.430633005737264</v>
      </c>
      <c r="BE28" s="12">
        <v>3.381018399766828</v>
      </c>
      <c r="BF28" s="12">
        <v>3.096237018025577</v>
      </c>
      <c r="BG28" s="12">
        <v>1.883592510765116</v>
      </c>
      <c r="BH28" s="12"/>
      <c r="BI28" s="12">
        <v>1.495182716127855</v>
      </c>
      <c r="BJ28" s="12">
        <v>1.190553377390056</v>
      </c>
      <c r="BK28" s="12">
        <v>1.135678126826655</v>
      </c>
      <c r="BL28" s="12"/>
      <c r="BM28" s="12">
        <v>12.49158434972657</v>
      </c>
      <c r="BN28" s="12">
        <v>13.35877545752306</v>
      </c>
      <c r="BO28" s="12">
        <v>12.94830536679626</v>
      </c>
      <c r="BP28" s="12"/>
      <c r="BQ28" s="12">
        <v>1.192086253581766</v>
      </c>
      <c r="BR28" s="12">
        <v>5.500832913917587</v>
      </c>
      <c r="BS28" s="12"/>
      <c r="BT28" s="12">
        <v>2.453712909950423</v>
      </c>
      <c r="BU28" s="12">
        <v>1.323368740907638</v>
      </c>
      <c r="BV28" s="12">
        <v>5.698792091666463</v>
      </c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</row>
    <row r="29" ht="15.75" customHeight="1">
      <c r="A29" s="12" t="s">
        <v>78</v>
      </c>
      <c r="B29" s="12"/>
      <c r="C29" s="12"/>
      <c r="D29" s="12">
        <v>0.5256748865</v>
      </c>
      <c r="E29" s="12">
        <v>0.5327649765</v>
      </c>
      <c r="F29" s="12">
        <v>0.7159524315</v>
      </c>
      <c r="G29" s="12">
        <v>0.9887393241</v>
      </c>
      <c r="H29" s="12">
        <v>0.6969204446</v>
      </c>
      <c r="I29" s="12"/>
      <c r="J29" s="12">
        <v>2.316799556691192</v>
      </c>
      <c r="K29" s="12">
        <v>1.710517591402656</v>
      </c>
      <c r="L29" s="12">
        <v>2.458596986720796</v>
      </c>
      <c r="M29" s="12">
        <v>2.351057678447811</v>
      </c>
      <c r="N29" s="12">
        <v>1.307921648489968</v>
      </c>
      <c r="O29" s="12"/>
      <c r="P29" s="12">
        <v>4.107266754270696</v>
      </c>
      <c r="Q29" s="12">
        <v>0.8391152143010285</v>
      </c>
      <c r="R29" s="12">
        <v>0.9714902673105663</v>
      </c>
      <c r="S29" s="12">
        <v>0.9002934990089023</v>
      </c>
      <c r="T29" s="12">
        <v>0.7943573361943805</v>
      </c>
      <c r="U29" s="12"/>
      <c r="V29" s="12">
        <v>0.3361234532</v>
      </c>
      <c r="W29" s="12">
        <v>2.827811772</v>
      </c>
      <c r="X29" s="12">
        <v>1.448069746</v>
      </c>
      <c r="Y29" s="12">
        <v>0.7604774685</v>
      </c>
      <c r="Z29" s="12"/>
      <c r="AA29" s="12">
        <v>0.0</v>
      </c>
      <c r="AB29" s="12">
        <v>1.954991302233107</v>
      </c>
      <c r="AC29" s="12">
        <v>1.624475592520748</v>
      </c>
      <c r="AD29" s="12">
        <v>2.729427033344836</v>
      </c>
      <c r="AE29" s="12"/>
      <c r="AF29" s="12">
        <v>0.0</v>
      </c>
      <c r="AG29" s="12">
        <v>0.0</v>
      </c>
      <c r="AH29" s="12">
        <v>0.0</v>
      </c>
      <c r="AI29" s="12"/>
      <c r="AJ29" s="12">
        <v>0.6666666666666666</v>
      </c>
      <c r="AK29" s="12">
        <v>1.157659702349945</v>
      </c>
      <c r="AL29" s="12"/>
      <c r="AM29" s="12">
        <v>0.9476036010926048</v>
      </c>
      <c r="AN29" s="12">
        <v>1.198205609017563</v>
      </c>
      <c r="AO29" s="12">
        <v>0.99051793725022</v>
      </c>
      <c r="AP29" s="12"/>
      <c r="AQ29" s="12">
        <v>4.764030109257003</v>
      </c>
      <c r="AR29" s="12">
        <v>10.20335691208429</v>
      </c>
      <c r="AS29" s="12">
        <v>78.88633834584107</v>
      </c>
      <c r="AT29" s="12"/>
      <c r="AU29" s="12">
        <v>11.36641933300666</v>
      </c>
      <c r="AV29" s="12">
        <v>6.587118017938328</v>
      </c>
      <c r="AW29" s="12">
        <v>6.528018849216989</v>
      </c>
      <c r="AX29" s="12"/>
      <c r="AY29" s="12">
        <v>10.4967195039227</v>
      </c>
      <c r="AZ29" s="12">
        <v>4.734157658472442</v>
      </c>
      <c r="BA29" s="12">
        <v>2.793861931745702</v>
      </c>
      <c r="BB29" s="12">
        <v>2.62554112725316</v>
      </c>
      <c r="BC29" s="12"/>
      <c r="BD29" s="12">
        <v>1.972065889744842</v>
      </c>
      <c r="BE29" s="12">
        <v>1.89476567939203</v>
      </c>
      <c r="BF29" s="12">
        <v>1.577399189882517</v>
      </c>
      <c r="BG29" s="12">
        <v>0.6749687111684958</v>
      </c>
      <c r="BH29" s="12"/>
      <c r="BI29" s="12">
        <v>1.102079143558781</v>
      </c>
      <c r="BJ29" s="12">
        <v>0.8166767624884813</v>
      </c>
      <c r="BK29" s="12">
        <v>0.7898828242738216</v>
      </c>
      <c r="BL29" s="12"/>
      <c r="BM29" s="12">
        <v>12.21489009184563</v>
      </c>
      <c r="BN29" s="12">
        <v>12.96869998529217</v>
      </c>
      <c r="BO29" s="12">
        <v>10.57220239759887</v>
      </c>
      <c r="BP29" s="12"/>
      <c r="BQ29" s="12">
        <v>0.484509835278879</v>
      </c>
      <c r="BR29" s="12">
        <v>2.182193209717383</v>
      </c>
      <c r="BS29" s="12"/>
      <c r="BT29" s="12">
        <v>0.7927825716197123</v>
      </c>
      <c r="BU29" s="12">
        <v>0.2259338183576473</v>
      </c>
      <c r="BV29" s="12">
        <v>0.8615177456137402</v>
      </c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</row>
    <row r="30" ht="15.75" customHeight="1">
      <c r="A30" s="7" t="s">
        <v>79</v>
      </c>
      <c r="B30" s="11"/>
      <c r="C30" s="11"/>
      <c r="D30" s="11">
        <v>-19349.06</v>
      </c>
      <c r="E30" s="11">
        <v>-14161.591</v>
      </c>
      <c r="F30" s="11">
        <v>-10814.361</v>
      </c>
      <c r="G30" s="11">
        <v>-343.816</v>
      </c>
      <c r="H30" s="11">
        <v>-12578.515</v>
      </c>
      <c r="I30" s="11"/>
      <c r="J30" s="11">
        <v>326756.0</v>
      </c>
      <c r="K30" s="11">
        <v>290718.0</v>
      </c>
      <c r="L30" s="11">
        <v>423593.4880000001</v>
      </c>
      <c r="M30" s="11">
        <v>470343.344</v>
      </c>
      <c r="N30" s="11">
        <v>288865.6350000002</v>
      </c>
      <c r="O30" s="11"/>
      <c r="P30" s="11">
        <v>121733.98</v>
      </c>
      <c r="Q30" s="11">
        <v>7749.933000000005</v>
      </c>
      <c r="R30" s="11">
        <v>15653.07300000001</v>
      </c>
      <c r="S30" s="11">
        <v>18369.666</v>
      </c>
      <c r="T30" s="11">
        <v>2974.688999999998</v>
      </c>
      <c r="U30" s="11"/>
      <c r="V30" s="11">
        <v>-23454.249</v>
      </c>
      <c r="W30" s="11">
        <v>16511.032</v>
      </c>
      <c r="X30" s="11">
        <v>16541.708</v>
      </c>
      <c r="Y30" s="11">
        <v>64.584</v>
      </c>
      <c r="Z30" s="11"/>
      <c r="AA30" s="11">
        <v>4149.0</v>
      </c>
      <c r="AB30" s="11">
        <v>33822.406</v>
      </c>
      <c r="AC30" s="11">
        <v>26777.07099999999</v>
      </c>
      <c r="AD30" s="11">
        <v>39117.304</v>
      </c>
      <c r="AE30" s="11"/>
      <c r="AF30" s="11">
        <v>16158.42781</v>
      </c>
      <c r="AG30" s="11">
        <v>16137.41635</v>
      </c>
      <c r="AH30" s="11">
        <v>16139.21819</v>
      </c>
      <c r="AI30" s="11"/>
      <c r="AJ30" s="11">
        <v>-2.5</v>
      </c>
      <c r="AK30" s="11">
        <v>3695.353729999995</v>
      </c>
      <c r="AL30" s="11"/>
      <c r="AM30" s="11">
        <v>13042.31738</v>
      </c>
      <c r="AN30" s="11">
        <v>23538.58981</v>
      </c>
      <c r="AO30" s="11">
        <v>16847.79757</v>
      </c>
      <c r="AP30" s="11"/>
      <c r="AQ30" s="11">
        <v>52228.152</v>
      </c>
      <c r="AR30" s="11">
        <v>72627.85800000001</v>
      </c>
      <c r="AS30" s="11">
        <v>73714.64000000001</v>
      </c>
      <c r="AT30" s="11"/>
      <c r="AU30" s="11">
        <v>446213.6880000001</v>
      </c>
      <c r="AV30" s="11">
        <v>420095.13</v>
      </c>
      <c r="AW30" s="11">
        <v>390195.216</v>
      </c>
      <c r="AX30" s="11"/>
      <c r="AY30" s="11">
        <v>19136.97684</v>
      </c>
      <c r="AZ30" s="11">
        <v>30168.16462</v>
      </c>
      <c r="BA30" s="11">
        <v>38203.28216</v>
      </c>
      <c r="BB30" s="11">
        <v>45579.39579</v>
      </c>
      <c r="BC30" s="11"/>
      <c r="BD30" s="11">
        <v>855406.111</v>
      </c>
      <c r="BE30" s="11">
        <v>878560.0789999998</v>
      </c>
      <c r="BF30" s="11">
        <v>848079.6533000006</v>
      </c>
      <c r="BG30" s="11">
        <v>607136.57384</v>
      </c>
      <c r="BH30" s="11"/>
      <c r="BI30" s="11">
        <v>133559.777</v>
      </c>
      <c r="BJ30" s="11">
        <v>86061.33299999998</v>
      </c>
      <c r="BK30" s="11">
        <v>84937.8600000001</v>
      </c>
      <c r="BL30" s="11"/>
      <c r="BM30" s="11">
        <v>9381.257159</v>
      </c>
      <c r="BN30" s="11">
        <v>11117.00154</v>
      </c>
      <c r="BO30" s="11">
        <v>15140.56684999999</v>
      </c>
      <c r="BP30" s="11"/>
      <c r="BQ30" s="11">
        <v>65.68939</v>
      </c>
      <c r="BR30" s="11">
        <v>2090.34771</v>
      </c>
      <c r="BS30" s="11"/>
      <c r="BT30" s="11">
        <v>4062.400000000001</v>
      </c>
      <c r="BU30" s="11">
        <v>2718.401389999999</v>
      </c>
      <c r="BV30" s="11">
        <v>12611.27801999999</v>
      </c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</row>
    <row r="31" ht="15.75" customHeight="1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</row>
    <row r="32" ht="15.75" customHeight="1">
      <c r="A32" s="7" t="s">
        <v>80</v>
      </c>
      <c r="B32" s="11"/>
      <c r="C32" s="11"/>
      <c r="D32" s="11">
        <v>319.0952017</v>
      </c>
      <c r="E32" s="11">
        <v>232.4978917</v>
      </c>
      <c r="F32" s="11">
        <v>323.7239761</v>
      </c>
      <c r="G32" s="11">
        <v>326.6842734</v>
      </c>
      <c r="H32" s="11">
        <v>281.4712951</v>
      </c>
      <c r="I32" s="11"/>
      <c r="J32" s="11">
        <v>256.0012564228693</v>
      </c>
      <c r="K32" s="11">
        <v>239.3379144851658</v>
      </c>
      <c r="L32" s="11">
        <v>487.7780354973098</v>
      </c>
      <c r="M32" s="11">
        <v>488.4872945908197</v>
      </c>
      <c r="N32" s="11">
        <v>370.5991386277612</v>
      </c>
      <c r="O32" s="11"/>
      <c r="P32" s="11">
        <v>2608.478109798471</v>
      </c>
      <c r="Q32" s="11">
        <v>119.011663761571</v>
      </c>
      <c r="R32" s="11">
        <v>125.7865812390749</v>
      </c>
      <c r="S32" s="11">
        <v>134.7020796948629</v>
      </c>
      <c r="T32" s="11">
        <v>165.7509414732379</v>
      </c>
      <c r="U32" s="11"/>
      <c r="V32" s="11">
        <v>215.46244</v>
      </c>
      <c r="W32" s="11">
        <v>141.4068938</v>
      </c>
      <c r="X32" s="11">
        <v>262.411224</v>
      </c>
      <c r="Y32" s="11">
        <v>106.7267216</v>
      </c>
      <c r="Z32" s="11"/>
      <c r="AA32" s="11">
        <v>0.0</v>
      </c>
      <c r="AB32" s="11">
        <v>281.7759333678515</v>
      </c>
      <c r="AC32" s="11">
        <v>205.372448028278</v>
      </c>
      <c r="AD32" s="11">
        <v>245.8948909434591</v>
      </c>
      <c r="AE32" s="11"/>
      <c r="AF32" s="11">
        <v>0.0</v>
      </c>
      <c r="AG32" s="11">
        <v>3927.430907</v>
      </c>
      <c r="AH32" s="11">
        <v>4082.803938</v>
      </c>
      <c r="AI32" s="11"/>
      <c r="AJ32" s="11">
        <v>0.0</v>
      </c>
      <c r="AK32" s="11">
        <v>278.9401085944293</v>
      </c>
      <c r="AL32" s="11"/>
      <c r="AM32" s="11">
        <v>116.794589904682</v>
      </c>
      <c r="AN32" s="11">
        <v>154.9191182753118</v>
      </c>
      <c r="AO32" s="11">
        <v>126.900498008409</v>
      </c>
      <c r="AP32" s="11"/>
      <c r="AQ32" s="11">
        <v>124.4915199486833</v>
      </c>
      <c r="AR32" s="11">
        <v>187.1087019171246</v>
      </c>
      <c r="AS32" s="11">
        <v>156.2217094780961</v>
      </c>
      <c r="AT32" s="11"/>
      <c r="AU32" s="11">
        <v>61.16123312376002</v>
      </c>
      <c r="AV32" s="11">
        <v>46.73973619553578</v>
      </c>
      <c r="AW32" s="11">
        <v>40.58705952241543</v>
      </c>
      <c r="AX32" s="11"/>
      <c r="AY32" s="11">
        <v>832.6067205973716</v>
      </c>
      <c r="AZ32" s="11">
        <v>4084.675726438674</v>
      </c>
      <c r="BA32" s="11">
        <v>1266.802290551379</v>
      </c>
      <c r="BB32" s="11">
        <v>596.1441537938224</v>
      </c>
      <c r="BC32" s="11"/>
      <c r="BD32" s="11">
        <v>38.42037199042813</v>
      </c>
      <c r="BE32" s="11">
        <v>36.65784342672158</v>
      </c>
      <c r="BF32" s="11">
        <v>46.89370021628058</v>
      </c>
      <c r="BG32" s="11">
        <v>58.66356749796972</v>
      </c>
      <c r="BH32" s="11"/>
      <c r="BI32" s="11">
        <v>63.55534577464648</v>
      </c>
      <c r="BJ32" s="11">
        <v>64.14473271103533</v>
      </c>
      <c r="BK32" s="11">
        <v>66.40723640267633</v>
      </c>
      <c r="BL32" s="11"/>
      <c r="BM32" s="11">
        <v>217.876832809682</v>
      </c>
      <c r="BN32" s="11">
        <v>186.1311436345025</v>
      </c>
      <c r="BO32" s="11">
        <v>180.3838707343066</v>
      </c>
      <c r="BP32" s="11"/>
      <c r="BQ32" s="11">
        <v>2.222359795759577</v>
      </c>
      <c r="BR32" s="11">
        <v>45.57686696545614</v>
      </c>
      <c r="BS32" s="11"/>
      <c r="BT32" s="11">
        <v>4.553063334191854</v>
      </c>
      <c r="BU32" s="11">
        <v>2.019638765017093</v>
      </c>
      <c r="BV32" s="11">
        <v>14.55095124904485</v>
      </c>
    </row>
    <row r="33" ht="15.75" customHeight="1">
      <c r="A33" s="7" t="s">
        <v>81</v>
      </c>
      <c r="B33" s="11"/>
      <c r="C33" s="11"/>
      <c r="D33" s="11"/>
      <c r="E33" s="11"/>
      <c r="F33" s="11">
        <v>0.0</v>
      </c>
      <c r="G33" s="11">
        <v>0.0</v>
      </c>
      <c r="H33" s="11">
        <v>0.0</v>
      </c>
      <c r="I33" s="11"/>
      <c r="J33" s="11">
        <v>268.7454040470838</v>
      </c>
      <c r="K33" s="11">
        <v>178.571974339001</v>
      </c>
      <c r="L33" s="11">
        <v>125.365640167589</v>
      </c>
      <c r="M33" s="11">
        <v>140.1730387106049</v>
      </c>
      <c r="N33" s="11">
        <v>220.4105340685097</v>
      </c>
      <c r="O33" s="11"/>
      <c r="P33" s="11">
        <v>1903.696450428396</v>
      </c>
      <c r="Q33" s="11">
        <v>220.178585968109</v>
      </c>
      <c r="R33" s="11">
        <v>182.0506491473311</v>
      </c>
      <c r="S33" s="11">
        <v>233.6860828271344</v>
      </c>
      <c r="T33" s="11">
        <v>218.5879081440311</v>
      </c>
      <c r="U33" s="11"/>
      <c r="V33" s="11">
        <v>68.3308692</v>
      </c>
      <c r="W33" s="11">
        <v>59.94978773</v>
      </c>
      <c r="X33" s="11">
        <v>55.22823241</v>
      </c>
      <c r="Y33" s="11">
        <v>57.27922412</v>
      </c>
      <c r="Z33" s="11"/>
      <c r="AA33" s="11">
        <v>0.0</v>
      </c>
      <c r="AB33" s="11">
        <v>166.4897964547686</v>
      </c>
      <c r="AC33" s="11">
        <v>134.8018917401686</v>
      </c>
      <c r="AD33" s="11">
        <v>134.3226520040445</v>
      </c>
      <c r="AE33" s="11"/>
      <c r="AF33" s="11"/>
      <c r="AG33" s="11"/>
      <c r="AH33" s="11"/>
      <c r="AI33" s="11"/>
      <c r="AJ33" s="11"/>
      <c r="AK33" s="11"/>
      <c r="AL33" s="11"/>
      <c r="AM33" s="11">
        <v>96.81593208902076</v>
      </c>
      <c r="AN33" s="11">
        <v>88.18255533775971</v>
      </c>
      <c r="AO33" s="11">
        <v>96.0106986006885</v>
      </c>
      <c r="AP33" s="11"/>
      <c r="AQ33" s="11">
        <v>130.2085637098845</v>
      </c>
      <c r="AR33" s="11">
        <v>188.2407608062749</v>
      </c>
      <c r="AS33" s="11">
        <v>164.1164865626554</v>
      </c>
      <c r="AT33" s="11"/>
      <c r="AU33" s="11">
        <v>0.0</v>
      </c>
      <c r="AV33" s="11">
        <v>0.0</v>
      </c>
      <c r="AW33" s="11">
        <v>0.0</v>
      </c>
      <c r="AX33" s="11"/>
      <c r="AY33" s="11">
        <v>299.9292041278992</v>
      </c>
      <c r="AZ33" s="11">
        <v>511.7990553643571</v>
      </c>
      <c r="BA33" s="11">
        <v>155.98912004363</v>
      </c>
      <c r="BB33" s="11">
        <v>158.9059906627636</v>
      </c>
      <c r="BC33" s="11"/>
      <c r="BD33" s="11">
        <v>257.6581971851773</v>
      </c>
      <c r="BE33" s="11">
        <v>228.0786080392774</v>
      </c>
      <c r="BF33" s="11">
        <v>243.249663312449</v>
      </c>
      <c r="BG33" s="11">
        <v>387.9936052244765</v>
      </c>
      <c r="BH33" s="11"/>
      <c r="BI33" s="11">
        <v>38.95167331780207</v>
      </c>
      <c r="BJ33" s="11">
        <v>44.15375760897611</v>
      </c>
      <c r="BK33" s="11">
        <v>48.31542767050509</v>
      </c>
      <c r="BL33" s="11"/>
      <c r="BM33" s="11">
        <v>7.59253053833616</v>
      </c>
      <c r="BN33" s="11">
        <v>9.660106318983932</v>
      </c>
      <c r="BO33" s="11">
        <v>69.12616451255005</v>
      </c>
      <c r="BP33" s="11"/>
      <c r="BQ33" s="11">
        <v>48.67924338515236</v>
      </c>
      <c r="BR33" s="11">
        <v>231.9232258479126</v>
      </c>
      <c r="BS33" s="11"/>
      <c r="BT33" s="11">
        <v>194.200857332766</v>
      </c>
      <c r="BU33" s="11">
        <v>313.1898834669319</v>
      </c>
      <c r="BV33" s="11">
        <v>422.7561674337016</v>
      </c>
    </row>
    <row r="34" ht="15.75" customHeight="1">
      <c r="A34" s="7" t="s">
        <v>82</v>
      </c>
      <c r="B34" s="11"/>
      <c r="C34" s="11"/>
      <c r="D34" s="11">
        <v>0.0</v>
      </c>
      <c r="E34" s="11">
        <v>0.0</v>
      </c>
      <c r="F34" s="11">
        <v>0.0</v>
      </c>
      <c r="G34" s="11">
        <v>0.0</v>
      </c>
      <c r="H34" s="11">
        <v>10.61884484</v>
      </c>
      <c r="I34" s="11"/>
      <c r="J34" s="11">
        <v>64.75305556817665</v>
      </c>
      <c r="K34" s="11">
        <v>104.0787960071883</v>
      </c>
      <c r="L34" s="11">
        <v>81.38416443337523</v>
      </c>
      <c r="M34" s="11">
        <v>79.56793477054771</v>
      </c>
      <c r="N34" s="11">
        <v>97.66417100099612</v>
      </c>
      <c r="O34" s="11"/>
      <c r="P34" s="11">
        <v>2303.316062176166</v>
      </c>
      <c r="Q34" s="11">
        <v>124.7391125697245</v>
      </c>
      <c r="R34" s="11">
        <v>104.2014802173081</v>
      </c>
      <c r="S34" s="11">
        <v>113.5944546657587</v>
      </c>
      <c r="T34" s="11">
        <v>233.4770569300534</v>
      </c>
      <c r="U34" s="11"/>
      <c r="V34" s="11">
        <v>0.0</v>
      </c>
      <c r="W34" s="11">
        <v>0.0</v>
      </c>
      <c r="X34" s="11">
        <v>0.0</v>
      </c>
      <c r="Y34" s="11">
        <v>26.23963318</v>
      </c>
      <c r="Z34" s="11"/>
      <c r="AA34" s="11">
        <v>0.0</v>
      </c>
      <c r="AB34" s="11">
        <v>84.60092731488402</v>
      </c>
      <c r="AC34" s="11">
        <v>84.11560015594158</v>
      </c>
      <c r="AD34" s="11">
        <v>114.946259717423</v>
      </c>
      <c r="AE34" s="11"/>
      <c r="AF34" s="11">
        <v>0.0</v>
      </c>
      <c r="AG34" s="11">
        <v>0.0</v>
      </c>
      <c r="AH34" s="11">
        <v>0.0</v>
      </c>
      <c r="AI34" s="11"/>
      <c r="AJ34" s="11">
        <v>0.0</v>
      </c>
      <c r="AK34" s="11">
        <v>0.0</v>
      </c>
      <c r="AL34" s="11"/>
      <c r="AM34" s="11">
        <v>0.0</v>
      </c>
      <c r="AN34" s="11">
        <v>0.0</v>
      </c>
      <c r="AO34" s="11">
        <v>0.0</v>
      </c>
      <c r="AP34" s="11"/>
      <c r="AQ34" s="11">
        <v>40.76006123015022</v>
      </c>
      <c r="AR34" s="11">
        <v>27.58651213622457</v>
      </c>
      <c r="AS34" s="11">
        <v>1.904281261531381</v>
      </c>
      <c r="AT34" s="11"/>
      <c r="AU34" s="11">
        <v>0.0</v>
      </c>
      <c r="AV34" s="11">
        <v>0.0</v>
      </c>
      <c r="AW34" s="11">
        <v>0.0</v>
      </c>
      <c r="AX34" s="11"/>
      <c r="AY34" s="11">
        <v>168.1184865125153</v>
      </c>
      <c r="AZ34" s="11">
        <v>2313.866790236229</v>
      </c>
      <c r="BA34" s="11">
        <v>24.72116237709384</v>
      </c>
      <c r="BB34" s="11">
        <v>12.66420922988238</v>
      </c>
      <c r="BC34" s="11"/>
      <c r="BD34" s="11">
        <v>3.920823444423439</v>
      </c>
      <c r="BE34" s="11">
        <v>0.5437078103538401</v>
      </c>
      <c r="BF34" s="11">
        <v>4.845431011836639</v>
      </c>
      <c r="BG34" s="11">
        <v>3.371755987158974</v>
      </c>
      <c r="BH34" s="11"/>
      <c r="BI34" s="11">
        <v>66.62576401443506</v>
      </c>
      <c r="BJ34" s="11">
        <v>62.42239083245362</v>
      </c>
      <c r="BK34" s="11">
        <v>88.66821443414644</v>
      </c>
      <c r="BL34" s="11"/>
      <c r="BM34" s="11">
        <v>25.71713706789324</v>
      </c>
      <c r="BN34" s="11">
        <v>20.66324626981564</v>
      </c>
      <c r="BO34" s="11">
        <v>22.10991205664206</v>
      </c>
      <c r="BP34" s="11"/>
      <c r="BQ34" s="11">
        <v>67.68464792061678</v>
      </c>
      <c r="BR34" s="11">
        <v>13.77567236847741</v>
      </c>
      <c r="BS34" s="11"/>
      <c r="BT34" s="11">
        <v>0.0</v>
      </c>
      <c r="BU34" s="11">
        <v>84.32211570454162</v>
      </c>
      <c r="BV34" s="11">
        <v>18.44296405766465</v>
      </c>
    </row>
    <row r="35" ht="15.75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</row>
    <row r="36" ht="15.75" customHeight="1">
      <c r="A36" s="11" t="s">
        <v>83</v>
      </c>
      <c r="B36" s="11"/>
      <c r="C36" s="11"/>
      <c r="D36" s="11">
        <v>319.0964589</v>
      </c>
      <c r="E36" s="11">
        <v>232.4980032</v>
      </c>
      <c r="F36" s="11">
        <v>323.7239761</v>
      </c>
      <c r="G36" s="11">
        <v>326.6842734</v>
      </c>
      <c r="H36" s="11">
        <v>270.8524503</v>
      </c>
      <c r="I36" s="11"/>
      <c r="J36" s="11">
        <v>459.9936049017763</v>
      </c>
      <c r="K36" s="11">
        <v>313.8310928169785</v>
      </c>
      <c r="L36" s="11">
        <v>531.7595112315237</v>
      </c>
      <c r="M36" s="11">
        <v>549.0923985308768</v>
      </c>
      <c r="N36" s="11">
        <v>493.3455016952748</v>
      </c>
      <c r="O36" s="11"/>
      <c r="P36" s="11">
        <v>2208.858498050702</v>
      </c>
      <c r="Q36" s="11">
        <v>214.4511371599555</v>
      </c>
      <c r="R36" s="11">
        <v>203.6357501690979</v>
      </c>
      <c r="S36" s="11">
        <v>254.7937078562386</v>
      </c>
      <c r="T36" s="11">
        <v>150.8617926872155</v>
      </c>
      <c r="U36" s="11"/>
      <c r="V36" s="11">
        <v>283.7933092</v>
      </c>
      <c r="W36" s="11">
        <v>201.3566815</v>
      </c>
      <c r="X36" s="11">
        <v>317.6394564</v>
      </c>
      <c r="Y36" s="11">
        <v>137.7663126</v>
      </c>
      <c r="Z36" s="11"/>
      <c r="AA36" s="11">
        <v>0.0</v>
      </c>
      <c r="AB36" s="11">
        <v>363.6648025077361</v>
      </c>
      <c r="AC36" s="11">
        <v>256.058739612505</v>
      </c>
      <c r="AD36" s="11">
        <v>265.2712832300805</v>
      </c>
      <c r="AE36" s="11"/>
      <c r="AF36" s="11"/>
      <c r="AG36" s="11"/>
      <c r="AH36" s="11"/>
      <c r="AI36" s="11"/>
      <c r="AJ36" s="11"/>
      <c r="AK36" s="11"/>
      <c r="AL36" s="11"/>
      <c r="AM36" s="11">
        <v>213.6105219937028</v>
      </c>
      <c r="AN36" s="11">
        <v>243.1016736130715</v>
      </c>
      <c r="AO36" s="11">
        <v>222.9111966090975</v>
      </c>
      <c r="AP36" s="11"/>
      <c r="AQ36" s="11">
        <v>213.9400224284176</v>
      </c>
      <c r="AR36" s="11">
        <v>347.7629505871749</v>
      </c>
      <c r="AS36" s="11">
        <v>318.4339147792202</v>
      </c>
      <c r="AT36" s="11"/>
      <c r="AU36" s="11">
        <v>61.16123312376002</v>
      </c>
      <c r="AV36" s="11">
        <v>46.73973619553578</v>
      </c>
      <c r="AW36" s="11">
        <v>40.58705952241543</v>
      </c>
      <c r="AX36" s="11"/>
      <c r="AY36" s="11">
        <v>964.4174382127555</v>
      </c>
      <c r="AZ36" s="11">
        <v>2282.607991566802</v>
      </c>
      <c r="BA36" s="11">
        <v>1398.070248217915</v>
      </c>
      <c r="BB36" s="11">
        <v>742.3859352267036</v>
      </c>
      <c r="BC36" s="11"/>
      <c r="BD36" s="11">
        <v>292.157745731182</v>
      </c>
      <c r="BE36" s="11">
        <v>264.1927436556452</v>
      </c>
      <c r="BF36" s="11">
        <v>285.297932516893</v>
      </c>
      <c r="BG36" s="11">
        <v>443.2854167352873</v>
      </c>
      <c r="BH36" s="11"/>
      <c r="BI36" s="11">
        <v>35.8812550780135</v>
      </c>
      <c r="BJ36" s="11">
        <v>45.87609948755782</v>
      </c>
      <c r="BK36" s="11">
        <v>26.05444963903498</v>
      </c>
      <c r="BL36" s="11"/>
      <c r="BM36" s="11">
        <v>199.7522262801249</v>
      </c>
      <c r="BN36" s="11">
        <v>175.1280036836708</v>
      </c>
      <c r="BO36" s="11">
        <v>227.4001231902146</v>
      </c>
      <c r="BP36" s="11"/>
      <c r="BQ36" s="11">
        <v>-16.78304473970484</v>
      </c>
      <c r="BR36" s="11">
        <v>263.7244204448913</v>
      </c>
      <c r="BS36" s="11"/>
      <c r="BT36" s="11">
        <v>198.7539206669578</v>
      </c>
      <c r="BU36" s="11">
        <v>230.8874065274073</v>
      </c>
      <c r="BV36" s="11">
        <v>418.8641546250818</v>
      </c>
    </row>
    <row r="37" ht="15.75" customHeight="1">
      <c r="A37" s="11" t="s">
        <v>84</v>
      </c>
      <c r="B37" s="11"/>
      <c r="C37" s="11"/>
      <c r="D37" s="11">
        <v>14418.686</v>
      </c>
      <c r="E37" s="11">
        <v>2893.883</v>
      </c>
      <c r="F37" s="11">
        <v>5234.476</v>
      </c>
      <c r="G37" s="11">
        <v>6219.504</v>
      </c>
      <c r="H37" s="11">
        <v>3790.438</v>
      </c>
      <c r="I37" s="11"/>
      <c r="J37" s="11">
        <v>55422.0</v>
      </c>
      <c r="K37" s="11">
        <v>49227.0</v>
      </c>
      <c r="L37" s="11">
        <v>39552.46299999996</v>
      </c>
      <c r="M37" s="11">
        <v>32077.02</v>
      </c>
      <c r="N37" s="11">
        <v>43794.46600000002</v>
      </c>
      <c r="O37" s="11"/>
      <c r="P37" s="11">
        <v>-2481.0</v>
      </c>
      <c r="Q37" s="11">
        <v>6022.186999999994</v>
      </c>
      <c r="R37" s="11">
        <v>5992.457000000006</v>
      </c>
      <c r="S37" s="11">
        <v>8775.025</v>
      </c>
      <c r="T37" s="11">
        <v>6049.452000000008</v>
      </c>
      <c r="U37" s="11"/>
      <c r="V37" s="11">
        <v>-35.504</v>
      </c>
      <c r="W37" s="11">
        <v>-2708.358</v>
      </c>
      <c r="X37" s="11">
        <v>962.143</v>
      </c>
      <c r="Y37" s="11">
        <v>1111.626</v>
      </c>
      <c r="Z37" s="11"/>
      <c r="AA37" s="11">
        <v>0.0</v>
      </c>
      <c r="AB37" s="11">
        <v>4038.451999999998</v>
      </c>
      <c r="AC37" s="11">
        <v>5892.765999999996</v>
      </c>
      <c r="AD37" s="11">
        <v>8517.152999999998</v>
      </c>
      <c r="AE37" s="11"/>
      <c r="AF37" s="11">
        <v>-0.28</v>
      </c>
      <c r="AG37" s="11">
        <v>5.53129</v>
      </c>
      <c r="AH37" s="11">
        <v>1.85184</v>
      </c>
      <c r="AI37" s="11"/>
      <c r="AJ37" s="11">
        <v>-421.18522</v>
      </c>
      <c r="AK37" s="11">
        <v>1232.15151</v>
      </c>
      <c r="AL37" s="11"/>
      <c r="AM37" s="11">
        <v>7601.417170000001</v>
      </c>
      <c r="AN37" s="11">
        <v>9028.585259999993</v>
      </c>
      <c r="AO37" s="11">
        <v>3695.51955</v>
      </c>
      <c r="AP37" s="11"/>
      <c r="AQ37" s="11">
        <v>10861.364</v>
      </c>
      <c r="AR37" s="11">
        <v>8190.774000000005</v>
      </c>
      <c r="AS37" s="11">
        <v>2426.61</v>
      </c>
      <c r="AT37" s="11"/>
      <c r="AU37" s="11">
        <v>49706.997</v>
      </c>
      <c r="AV37" s="11">
        <v>71647.44600000004</v>
      </c>
      <c r="AW37" s="11">
        <v>84233.02899999998</v>
      </c>
      <c r="AX37" s="11"/>
      <c r="AY37" s="11">
        <v>344.9303940000003</v>
      </c>
      <c r="AZ37" s="11">
        <v>1020.68912</v>
      </c>
      <c r="BA37" s="11">
        <v>3318.081129999999</v>
      </c>
      <c r="BB37" s="11">
        <v>5383.700809999998</v>
      </c>
      <c r="BC37" s="11"/>
      <c r="BD37" s="11">
        <v>101848.7249999999</v>
      </c>
      <c r="BE37" s="11">
        <v>113646.5180000003</v>
      </c>
      <c r="BF37" s="11">
        <v>155180.485</v>
      </c>
      <c r="BG37" s="11">
        <v>130015.4924000001</v>
      </c>
      <c r="BH37" s="11"/>
      <c r="BI37" s="11">
        <v>2752.852000000041</v>
      </c>
      <c r="BJ37" s="11">
        <v>-22928.86700000005</v>
      </c>
      <c r="BK37" s="11">
        <v>36789.6299999999</v>
      </c>
      <c r="BL37" s="11"/>
      <c r="BM37" s="11">
        <v>2352.600260000001</v>
      </c>
      <c r="BN37" s="11">
        <v>3277.02666</v>
      </c>
      <c r="BO37" s="11">
        <v>4907.764870000001</v>
      </c>
      <c r="BP37" s="11"/>
      <c r="BQ37" s="11">
        <v>71.1440399999999</v>
      </c>
      <c r="BR37" s="11">
        <v>273.0454499999998</v>
      </c>
      <c r="BS37" s="11"/>
      <c r="BT37" s="11">
        <v>575.6819999999992</v>
      </c>
      <c r="BU37" s="11">
        <v>2230.288989999999</v>
      </c>
      <c r="BV37" s="11">
        <v>3575.703979999998</v>
      </c>
    </row>
    <row r="38" ht="15.75" customHeight="1">
      <c r="A38" s="11"/>
      <c r="B38" s="11"/>
      <c r="C38" s="11"/>
      <c r="AE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</row>
    <row r="39" ht="15.75" customHeight="1">
      <c r="A39" s="7" t="s">
        <v>85</v>
      </c>
      <c r="B39" s="12"/>
      <c r="C39" s="12"/>
      <c r="D39" s="11">
        <v>3.558452134</v>
      </c>
      <c r="E39" s="11">
        <v>2.697128625</v>
      </c>
      <c r="F39" s="11">
        <v>2.143275122</v>
      </c>
      <c r="G39" s="11">
        <v>1.843064962</v>
      </c>
      <c r="H39" s="11">
        <v>1.625471073</v>
      </c>
      <c r="I39" s="11"/>
      <c r="J39" s="11">
        <v>1.05324074589108</v>
      </c>
      <c r="K39" s="11">
        <v>1.116006955576457</v>
      </c>
      <c r="L39" s="11">
        <v>1.115537709721308</v>
      </c>
      <c r="M39" s="11">
        <v>1.225823329359622</v>
      </c>
      <c r="N39" s="11">
        <v>1.480915881364803</v>
      </c>
      <c r="O39" s="11"/>
      <c r="P39" s="11">
        <v>0.5944828396630361</v>
      </c>
      <c r="Q39" s="11">
        <v>0.7363885770484645</v>
      </c>
      <c r="R39" s="11">
        <v>0.7345003389798204</v>
      </c>
      <c r="S39" s="11">
        <v>0.7831492550838629</v>
      </c>
      <c r="T39" s="11">
        <v>0.971604725065044</v>
      </c>
      <c r="U39" s="11"/>
      <c r="V39" s="11">
        <v>1.886513242</v>
      </c>
      <c r="W39" s="11">
        <v>0.3409986269</v>
      </c>
      <c r="X39" s="11">
        <v>1.303573027</v>
      </c>
      <c r="Y39" s="11">
        <v>1.824281236</v>
      </c>
      <c r="Z39" s="11"/>
      <c r="AA39" s="11">
        <v>0.0</v>
      </c>
      <c r="AB39" s="11">
        <v>1.144151893164201</v>
      </c>
      <c r="AC39" s="11">
        <v>1.074691762271321</v>
      </c>
      <c r="AD39" s="11">
        <v>0.9628268373863555</v>
      </c>
      <c r="AE39" s="12"/>
      <c r="AF39" s="12">
        <v>3.258567844E-4</v>
      </c>
      <c r="AG39" s="12">
        <v>0.0</v>
      </c>
      <c r="AH39" s="12">
        <v>0.0</v>
      </c>
      <c r="AI39" s="12"/>
      <c r="AJ39" s="12">
        <v>1.5</v>
      </c>
      <c r="AK39" s="12">
        <v>3.739671700119386</v>
      </c>
      <c r="AL39" s="12"/>
      <c r="AM39" s="12">
        <v>1.659305857923306</v>
      </c>
      <c r="AN39" s="12">
        <v>1.778013225912257</v>
      </c>
      <c r="AO39" s="12">
        <v>1.673142855956908</v>
      </c>
      <c r="AP39" s="12"/>
      <c r="AQ39" s="12">
        <v>1.145541146084521</v>
      </c>
      <c r="AR39" s="12">
        <v>1.595465796436194</v>
      </c>
      <c r="AS39" s="12">
        <v>1.392309433367642</v>
      </c>
      <c r="AT39" s="12"/>
      <c r="AU39" s="12">
        <v>2.920121513385952</v>
      </c>
      <c r="AV39" s="12">
        <v>2.596349036749277</v>
      </c>
      <c r="AW39" s="12">
        <v>2.565372835497279</v>
      </c>
      <c r="AX39" s="12"/>
      <c r="AY39" s="12">
        <v>0.7749158006413893</v>
      </c>
      <c r="AZ39" s="12">
        <v>2.455916421050514</v>
      </c>
      <c r="BA39" s="12">
        <v>2.200092398164116</v>
      </c>
      <c r="BB39" s="12">
        <v>1.606740353395675</v>
      </c>
      <c r="BC39" s="12"/>
      <c r="BD39" s="12">
        <v>1.568328367976417</v>
      </c>
      <c r="BE39" s="12">
        <v>1.662488857065323</v>
      </c>
      <c r="BF39" s="12">
        <v>1.836140254189436</v>
      </c>
      <c r="BG39" s="12">
        <v>3.047238245135616</v>
      </c>
      <c r="BH39" s="12"/>
      <c r="BI39" s="12">
        <v>1.978338311970318</v>
      </c>
      <c r="BJ39" s="12">
        <v>4.623127432487968</v>
      </c>
      <c r="BK39" s="12">
        <v>5.709612230602612</v>
      </c>
      <c r="BL39" s="12"/>
      <c r="BM39" s="12">
        <v>0.1804947194934171</v>
      </c>
      <c r="BN39" s="12">
        <v>0.1188875783182923</v>
      </c>
      <c r="BO39" s="12">
        <v>0.2630501681241886</v>
      </c>
      <c r="BP39" s="12"/>
      <c r="BQ39" s="12">
        <v>4.954641333246983</v>
      </c>
      <c r="BR39" s="12">
        <v>6.242505765906483</v>
      </c>
      <c r="BS39" s="12"/>
      <c r="BT39" s="12">
        <v>0.6805050665918582</v>
      </c>
      <c r="BU39" s="12">
        <v>3.187179585489063</v>
      </c>
      <c r="BV39" s="12">
        <v>2.670350082483782</v>
      </c>
    </row>
    <row r="40" ht="15.75" customHeight="1">
      <c r="A40" s="7" t="s">
        <v>86</v>
      </c>
      <c r="B40" s="12"/>
      <c r="C40" s="12"/>
      <c r="J40" s="12">
        <v>0.843490585138692</v>
      </c>
      <c r="K40" s="12">
        <v>0.7977404992473285</v>
      </c>
      <c r="L40" s="12">
        <v>0.477138477407468</v>
      </c>
      <c r="M40" s="12">
        <v>0.5185597676329381</v>
      </c>
      <c r="N40" s="12">
        <v>0.7293311422292281</v>
      </c>
      <c r="O40" s="12"/>
      <c r="P40" s="12">
        <v>0.3003150774473586</v>
      </c>
      <c r="Q40" s="12">
        <v>0.2913562374353354</v>
      </c>
      <c r="R40" s="12">
        <v>0.2124674185664029</v>
      </c>
      <c r="S40" s="12">
        <v>0.2525126633894212</v>
      </c>
      <c r="T40" s="12">
        <v>0.413408489712537</v>
      </c>
      <c r="U40" s="12"/>
      <c r="V40" s="12">
        <v>0.0</v>
      </c>
      <c r="W40" s="12">
        <v>0.0</v>
      </c>
      <c r="X40" s="12">
        <v>0.0</v>
      </c>
      <c r="Y40" s="12">
        <v>0.0</v>
      </c>
      <c r="Z40" s="12"/>
      <c r="AA40" s="12">
        <v>0.0</v>
      </c>
      <c r="AB40" s="12">
        <v>0.7225282218175385</v>
      </c>
      <c r="AC40" s="12">
        <v>0.485233947516536</v>
      </c>
      <c r="AD40" s="12">
        <v>0.2679316646651529</v>
      </c>
      <c r="AE40" s="12"/>
      <c r="AF40" s="12">
        <v>0.0</v>
      </c>
      <c r="AG40" s="12">
        <v>0.0</v>
      </c>
      <c r="AH40" s="12">
        <v>0.0</v>
      </c>
      <c r="AI40" s="12"/>
      <c r="AJ40" s="12">
        <v>0.0</v>
      </c>
      <c r="AK40" s="12">
        <v>0.3961134002356407</v>
      </c>
      <c r="AL40" s="12"/>
      <c r="AM40" s="12">
        <v>1.345826085667807</v>
      </c>
      <c r="AN40" s="12">
        <v>1.597840985317246</v>
      </c>
      <c r="AO40" s="12">
        <v>1.486994640831589</v>
      </c>
      <c r="AP40" s="12"/>
      <c r="AQ40" s="12">
        <v>0.8788262792046262</v>
      </c>
      <c r="AR40" s="12">
        <v>1.435518214543609</v>
      </c>
      <c r="AS40" s="12">
        <v>1.368526578557306</v>
      </c>
      <c r="AT40" s="12"/>
      <c r="AU40" s="12">
        <v>2.526327951256313</v>
      </c>
      <c r="AV40" s="12">
        <v>1.929099687886095</v>
      </c>
      <c r="AW40" s="12">
        <v>1.681846787593278</v>
      </c>
      <c r="AX40" s="12"/>
      <c r="AY40" s="12">
        <v>0.6465620708912161</v>
      </c>
      <c r="AZ40" s="12">
        <v>1.810431584495243</v>
      </c>
      <c r="BA40" s="12">
        <v>2.165056133240957</v>
      </c>
      <c r="BB40" s="12">
        <v>1.577393976683949</v>
      </c>
      <c r="BC40" s="12"/>
      <c r="BD40" s="12">
        <v>1.337024440455579</v>
      </c>
      <c r="BE40" s="12">
        <v>1.395306740669038</v>
      </c>
      <c r="BF40" s="12">
        <v>1.439242089334577</v>
      </c>
      <c r="BG40" s="12">
        <v>2.188727469106763</v>
      </c>
      <c r="BH40" s="12"/>
      <c r="BI40" s="12">
        <v>0.0</v>
      </c>
      <c r="BJ40" s="12">
        <v>0.0</v>
      </c>
      <c r="BK40" s="12">
        <v>0.0</v>
      </c>
      <c r="BL40" s="12"/>
      <c r="BM40" s="12">
        <v>0.1106055368881468</v>
      </c>
      <c r="BN40" s="12">
        <v>0.05542088085686731</v>
      </c>
      <c r="BO40" s="12">
        <v>0.1920758907710849</v>
      </c>
      <c r="BP40" s="12"/>
      <c r="BQ40" s="12">
        <v>0.0</v>
      </c>
      <c r="BR40" s="12">
        <v>4.939981062120402</v>
      </c>
      <c r="BS40" s="12"/>
      <c r="BT40" s="12">
        <v>0.06675647533135208</v>
      </c>
      <c r="BU40" s="12">
        <v>0.8190740319105098</v>
      </c>
      <c r="BV40" s="12">
        <v>2.065595884490433</v>
      </c>
    </row>
    <row r="41" ht="15.75" customHeight="1">
      <c r="A41" s="7" t="s">
        <v>87</v>
      </c>
      <c r="B41" s="12"/>
      <c r="C41" s="12"/>
      <c r="D41" s="12">
        <v>3.550247456</v>
      </c>
      <c r="E41" s="12">
        <v>2.670021985</v>
      </c>
      <c r="F41" s="12">
        <v>1.946250184</v>
      </c>
      <c r="G41" s="12">
        <v>1.513524496</v>
      </c>
      <c r="H41" s="12">
        <v>1.325427989</v>
      </c>
      <c r="I41" s="12"/>
      <c r="J41" s="12">
        <v>0.05817567732935217</v>
      </c>
      <c r="K41" s="12">
        <v>0.06579983821278204</v>
      </c>
      <c r="L41" s="12">
        <v>0.102665510830929</v>
      </c>
      <c r="M41" s="12">
        <v>0.1229465060811577</v>
      </c>
      <c r="N41" s="12">
        <v>0.139442193079424</v>
      </c>
      <c r="O41" s="12"/>
      <c r="P41" s="12">
        <v>0.05175642824092775</v>
      </c>
      <c r="Q41" s="12">
        <v>0.05304917274449081</v>
      </c>
      <c r="R41" s="12">
        <v>0.0682032436136027</v>
      </c>
      <c r="S41" s="12">
        <v>0.05200965506937491</v>
      </c>
      <c r="T41" s="12">
        <v>0.06184839487891396</v>
      </c>
      <c r="U41" s="12"/>
      <c r="V41" s="12">
        <v>1.869051545</v>
      </c>
      <c r="W41" s="12">
        <v>0.3094509486</v>
      </c>
      <c r="X41" s="12">
        <v>1.246280972</v>
      </c>
      <c r="Y41" s="12">
        <v>1.496990103</v>
      </c>
      <c r="Z41" s="12"/>
      <c r="AA41" s="12">
        <v>0.0</v>
      </c>
      <c r="AB41" s="12">
        <v>0.02217660573017442</v>
      </c>
      <c r="AC41" s="12">
        <v>0.05723792651807215</v>
      </c>
      <c r="AD41" s="12">
        <v>0.0</v>
      </c>
      <c r="AE41" s="12"/>
      <c r="AF41" s="12">
        <v>3.258567844E-4</v>
      </c>
      <c r="AG41" s="12">
        <v>0.0</v>
      </c>
      <c r="AH41" s="12">
        <v>0.0</v>
      </c>
      <c r="AI41" s="12"/>
      <c r="AJ41" s="12">
        <v>0.0</v>
      </c>
      <c r="AK41" s="12">
        <v>0.0</v>
      </c>
      <c r="AL41" s="12"/>
      <c r="AM41" s="12">
        <v>0.2922716633987276</v>
      </c>
      <c r="AN41" s="12">
        <v>0.1633061960746007</v>
      </c>
      <c r="AO41" s="12">
        <v>0.1585912374328155</v>
      </c>
      <c r="AP41" s="12"/>
      <c r="AQ41" s="12">
        <v>0.2607120848719213</v>
      </c>
      <c r="AR41" s="12">
        <v>0.1549697187703997</v>
      </c>
      <c r="AS41" s="12">
        <v>0.0133635472097559</v>
      </c>
      <c r="AT41" s="12"/>
      <c r="AU41" s="12">
        <v>0.2336398129380295</v>
      </c>
      <c r="AV41" s="12">
        <v>0.4171745120700792</v>
      </c>
      <c r="AW41" s="12">
        <v>0.5472067421418252</v>
      </c>
      <c r="AX41" s="12"/>
      <c r="AY41" s="12">
        <v>0.1279255423172463</v>
      </c>
      <c r="AZ41" s="12">
        <v>0.6453251763676497</v>
      </c>
      <c r="BA41" s="12">
        <v>0.03473501191639216</v>
      </c>
      <c r="BB41" s="12">
        <v>0.02934637671172563</v>
      </c>
      <c r="BC41" s="12"/>
      <c r="BD41" s="12">
        <v>0.05739692697140174</v>
      </c>
      <c r="BE41" s="12">
        <v>0.02445392793206535</v>
      </c>
      <c r="BF41" s="12">
        <v>0.03239548953955195</v>
      </c>
      <c r="BG41" s="12">
        <v>0.03028978281999405</v>
      </c>
      <c r="BH41" s="12"/>
      <c r="BI41" s="12">
        <v>1.338623185054007</v>
      </c>
      <c r="BJ41" s="12">
        <v>2.556628349077601</v>
      </c>
      <c r="BK41" s="12">
        <v>3.731315525457715</v>
      </c>
      <c r="BL41" s="12"/>
      <c r="BM41" s="12">
        <v>0.06550073598452638</v>
      </c>
      <c r="BN41" s="12">
        <v>0.05346173459786761</v>
      </c>
      <c r="BO41" s="12">
        <v>0.06309037217579454</v>
      </c>
      <c r="BP41" s="12"/>
      <c r="BQ41" s="12">
        <v>4.87452078594799</v>
      </c>
      <c r="BR41" s="12">
        <v>0.3961921585354558</v>
      </c>
      <c r="BS41" s="12"/>
      <c r="BT41" s="12">
        <v>0.0</v>
      </c>
      <c r="BU41" s="12">
        <v>1.333341736063208</v>
      </c>
      <c r="BV41" s="12">
        <v>0.1806686524114076</v>
      </c>
    </row>
    <row r="42" ht="15.75" customHeight="1">
      <c r="A42" s="7" t="s">
        <v>88</v>
      </c>
      <c r="B42" s="12"/>
      <c r="C42" s="12"/>
      <c r="D42" s="12"/>
      <c r="E42" s="12">
        <f t="shared" ref="E42:H42" si="1">E10/D10-1</f>
        <v>-0.01468319193</v>
      </c>
      <c r="F42" s="12">
        <f t="shared" si="1"/>
        <v>0.2635192745</v>
      </c>
      <c r="G42" s="12">
        <f t="shared" si="1"/>
        <v>0.09988707463</v>
      </c>
      <c r="H42" s="12">
        <f t="shared" si="1"/>
        <v>-0.2631375701</v>
      </c>
      <c r="I42" s="12"/>
      <c r="J42" s="12"/>
      <c r="K42" s="12">
        <f t="shared" ref="K42:N42" si="2">K10/J10-1</f>
        <v>-0.02198147369</v>
      </c>
      <c r="L42" s="12">
        <f t="shared" si="2"/>
        <v>0.09371399312</v>
      </c>
      <c r="M42" s="12">
        <f t="shared" si="2"/>
        <v>0.1628743583</v>
      </c>
      <c r="N42" s="12">
        <f t="shared" si="2"/>
        <v>-0.2564873217</v>
      </c>
      <c r="O42" s="12"/>
      <c r="P42" s="12"/>
      <c r="Q42" s="12">
        <f t="shared" ref="Q42:T42" si="3">Q10/P10-1</f>
        <v>15.31715752</v>
      </c>
      <c r="R42" s="12">
        <f t="shared" si="3"/>
        <v>0.4738851651</v>
      </c>
      <c r="S42" s="12">
        <f t="shared" si="3"/>
        <v>0.05551500867</v>
      </c>
      <c r="T42" s="12">
        <f t="shared" si="3"/>
        <v>-0.3083600439</v>
      </c>
      <c r="U42" s="12"/>
      <c r="V42" s="12"/>
      <c r="W42" s="12">
        <f t="shared" ref="W42:Y42" si="4">W10/V10-1</f>
        <v>0.6518377625</v>
      </c>
      <c r="X42" s="12">
        <f t="shared" si="4"/>
        <v>0.2731292149</v>
      </c>
      <c r="Y42" s="12">
        <f t="shared" si="4"/>
        <v>-0.2115503795</v>
      </c>
      <c r="Z42" s="12"/>
      <c r="AA42" s="12"/>
      <c r="AB42" s="12"/>
      <c r="AC42" s="12">
        <f t="shared" ref="AC42:AD42" si="5">AC10/AB10-1</f>
        <v>0.3262577568</v>
      </c>
      <c r="AD42" s="12">
        <f t="shared" si="5"/>
        <v>0.04451299903</v>
      </c>
      <c r="AE42" s="12"/>
      <c r="AF42" s="12"/>
      <c r="AG42" s="12"/>
      <c r="AH42" s="12">
        <v>-0.02549507886</v>
      </c>
      <c r="AI42" s="12"/>
      <c r="AJ42" s="12"/>
      <c r="AK42" s="12"/>
      <c r="AL42" s="12"/>
      <c r="AM42" s="12">
        <v>0.2614529531290183</v>
      </c>
      <c r="AN42" s="12">
        <v>0.1099881264319418</v>
      </c>
      <c r="AO42" s="12">
        <v>0.01388699465892093</v>
      </c>
      <c r="AP42" s="12"/>
      <c r="AQ42" s="12"/>
      <c r="AR42" s="12">
        <v>-0.16290602978083</v>
      </c>
      <c r="AS42" s="12">
        <v>0.1432195704789835</v>
      </c>
      <c r="AT42" s="12"/>
      <c r="AU42" s="12"/>
      <c r="AV42" s="12">
        <v>0.6699302978743455</v>
      </c>
      <c r="AW42" s="12">
        <v>0.2911455143159548</v>
      </c>
      <c r="AX42" s="12"/>
      <c r="AY42" s="12"/>
      <c r="AZ42" s="12">
        <v>-0.6073118426519426</v>
      </c>
      <c r="BA42" s="12">
        <v>4.192133803116096</v>
      </c>
      <c r="BB42" s="12">
        <v>1.225121738289891</v>
      </c>
      <c r="BC42" s="12"/>
      <c r="BD42" s="12"/>
      <c r="BE42" s="12">
        <v>0.2233282509846372</v>
      </c>
      <c r="BF42" s="12">
        <v>0.03986485220966896</v>
      </c>
      <c r="BG42" s="12">
        <v>-0.1238419147825593</v>
      </c>
      <c r="BH42" s="12"/>
      <c r="BI42" s="12"/>
      <c r="BJ42" s="12">
        <v>0.3703250776157254</v>
      </c>
      <c r="BK42" s="12">
        <v>0.2366100615596478</v>
      </c>
      <c r="BL42" s="12"/>
      <c r="BM42" s="12"/>
      <c r="BN42" s="12">
        <v>0.2767928222364297</v>
      </c>
      <c r="BO42" s="12">
        <v>0.1977817372470343</v>
      </c>
      <c r="BP42" s="12"/>
      <c r="BQ42" s="12"/>
      <c r="BR42" s="12">
        <v>0.5862066414719493</v>
      </c>
      <c r="BS42" s="12"/>
      <c r="BT42" s="12">
        <v>0.7444057500342194</v>
      </c>
      <c r="BU42" s="12">
        <v>0.5584562792617656</v>
      </c>
      <c r="BV42" s="12">
        <v>0.1654970473503881</v>
      </c>
    </row>
    <row r="43" ht="15.75" customHeight="1">
      <c r="A43" s="7" t="s">
        <v>89</v>
      </c>
      <c r="B43" s="12"/>
      <c r="C43" s="12"/>
      <c r="D43" s="12">
        <v>1.00655725</v>
      </c>
      <c r="E43" s="12">
        <v>0.1680688457</v>
      </c>
      <c r="F43" s="12">
        <v>0.2331312541</v>
      </c>
      <c r="G43" s="12">
        <v>0.2169159225</v>
      </c>
      <c r="H43" s="12">
        <v>0.129901132</v>
      </c>
      <c r="I43" s="12"/>
      <c r="J43" s="12">
        <v>0.04324183611488734</v>
      </c>
      <c r="K43" s="12">
        <v>0.04546602999220788</v>
      </c>
      <c r="L43" s="12">
        <v>0.03067936434316691</v>
      </c>
      <c r="M43" s="12">
        <v>0.01283760268577212</v>
      </c>
      <c r="N43" s="12">
        <v>0.005607463038098205</v>
      </c>
      <c r="O43" s="12"/>
      <c r="P43" s="12">
        <v>-0.02200401007660275</v>
      </c>
      <c r="Q43" s="12">
        <v>0.009253722869901167</v>
      </c>
      <c r="R43" s="12">
        <v>0.01856016782005738</v>
      </c>
      <c r="S43" s="12">
        <v>0.03090701133529982</v>
      </c>
      <c r="T43" s="12">
        <v>-0.02598775556546647</v>
      </c>
      <c r="U43" s="12"/>
      <c r="V43" s="12">
        <v>-0.001647677505</v>
      </c>
      <c r="W43" s="12">
        <v>-0.1437591815</v>
      </c>
      <c r="X43" s="12">
        <v>0.03639984431</v>
      </c>
      <c r="Y43" s="12">
        <v>0.07173110216</v>
      </c>
      <c r="Z43" s="12"/>
      <c r="AA43" s="12">
        <v>0.0</v>
      </c>
      <c r="AB43" s="12">
        <v>0.03143795183154938</v>
      </c>
      <c r="AC43" s="12">
        <v>0.02346664028810458</v>
      </c>
      <c r="AD43" s="12">
        <v>0.07307260337629827</v>
      </c>
      <c r="AE43" s="12"/>
      <c r="AF43" s="12">
        <v>-1.547813645E-5</v>
      </c>
      <c r="AG43" s="12">
        <v>3.060202268E-4</v>
      </c>
      <c r="AH43" s="12">
        <v>2.048867478E-4</v>
      </c>
      <c r="AI43" s="12"/>
      <c r="AJ43" s="12">
        <v>-103.827088</v>
      </c>
      <c r="AK43" s="12">
        <v>0.4823221102671977</v>
      </c>
      <c r="AL43" s="12"/>
      <c r="AM43" s="12">
        <v>0.1653603820806772</v>
      </c>
      <c r="AN43" s="12">
        <v>0.1518977492340513</v>
      </c>
      <c r="AO43" s="12">
        <v>0.1394811782784634</v>
      </c>
      <c r="AP43" s="12"/>
      <c r="AQ43" s="12">
        <v>0.2455744817223858</v>
      </c>
      <c r="AR43" s="12">
        <v>0.1354106541722525</v>
      </c>
      <c r="AS43" s="12">
        <v>0.1673740571151282</v>
      </c>
      <c r="AT43" s="12"/>
      <c r="AU43" s="12">
        <v>0.0892956989652355</v>
      </c>
      <c r="AV43" s="12">
        <v>0.140975562763132</v>
      </c>
      <c r="AW43" s="12">
        <v>0.207946757912476</v>
      </c>
      <c r="AX43" s="12"/>
      <c r="AY43" s="12">
        <v>0.001557414063820665</v>
      </c>
      <c r="AZ43" s="12">
        <v>0.05296659832213175</v>
      </c>
      <c r="BA43" s="12">
        <v>0.1459513412737489</v>
      </c>
      <c r="BB43" s="12">
        <v>0.1793238789823445</v>
      </c>
      <c r="BC43" s="12"/>
      <c r="BD43" s="12">
        <v>0.007536717117592615</v>
      </c>
      <c r="BE43" s="12">
        <v>0.01976095082541106</v>
      </c>
      <c r="BF43" s="12">
        <v>0.05393526779702174</v>
      </c>
      <c r="BG43" s="12">
        <v>0.00536552629822282</v>
      </c>
      <c r="BH43" s="12"/>
      <c r="BI43" s="12">
        <v>-0.0783543458241567</v>
      </c>
      <c r="BJ43" s="12">
        <v>-0.3803655845109474</v>
      </c>
      <c r="BK43" s="12">
        <v>0.1088378134091181</v>
      </c>
      <c r="BL43" s="12"/>
      <c r="BM43" s="12">
        <v>0.151054739247882</v>
      </c>
      <c r="BN43" s="12">
        <v>0.1734103093818947</v>
      </c>
      <c r="BO43" s="12">
        <v>0.2061627356527273</v>
      </c>
      <c r="BP43" s="12"/>
      <c r="BQ43" s="12">
        <v>0.9317481546066472</v>
      </c>
      <c r="BR43" s="12">
        <v>0.7544592261641249</v>
      </c>
      <c r="BS43" s="12"/>
      <c r="BT43" s="12">
        <v>0.09053020230327062</v>
      </c>
      <c r="BU43" s="12">
        <v>0.8159651492843152</v>
      </c>
      <c r="BV43" s="12">
        <v>0.4943847895200478</v>
      </c>
    </row>
    <row r="44">
      <c r="A44" s="11" t="s">
        <v>90</v>
      </c>
      <c r="D44" s="12">
        <v>0.2208118684</v>
      </c>
      <c r="E44" s="12">
        <v>0.04545929093</v>
      </c>
      <c r="F44" s="12">
        <v>0.07416826242</v>
      </c>
      <c r="G44" s="12">
        <v>0.07629650583</v>
      </c>
      <c r="H44" s="12">
        <v>0.04947726651</v>
      </c>
      <c r="I44" s="12"/>
      <c r="J44" s="12">
        <v>0.02106023332709982</v>
      </c>
      <c r="K44" s="12">
        <v>0.02148671103012595</v>
      </c>
      <c r="L44" s="12">
        <v>0.01450192270371227</v>
      </c>
      <c r="M44" s="12">
        <v>0.005767574863843998</v>
      </c>
      <c r="N44" s="12">
        <v>0.002260239083565149</v>
      </c>
      <c r="O44" s="12"/>
      <c r="P44" s="12">
        <v>-0.01380002982943698</v>
      </c>
      <c r="Q44" s="12">
        <v>0.005329292643488109</v>
      </c>
      <c r="R44" s="12">
        <v>0.01070058471765644</v>
      </c>
      <c r="S44" s="12">
        <v>0.01733282351277221</v>
      </c>
      <c r="T44" s="12">
        <v>-0.01318101708475522</v>
      </c>
      <c r="U44" s="12"/>
      <c r="V44" s="12">
        <v>-5.708193129E-4</v>
      </c>
      <c r="W44" s="12">
        <v>-0.1072007238</v>
      </c>
      <c r="X44" s="12">
        <v>0.01580147184</v>
      </c>
      <c r="Y44" s="12">
        <v>0.02539800738</v>
      </c>
      <c r="Z44" s="12"/>
      <c r="AA44" s="12">
        <v>0.0</v>
      </c>
      <c r="AB44" s="12">
        <v>0.01466218504937879</v>
      </c>
      <c r="AC44" s="12">
        <v>0.01131090445089244</v>
      </c>
      <c r="AD44" s="12">
        <v>0.03722824753792326</v>
      </c>
      <c r="AF44" s="11">
        <v>-1.547309444E-5</v>
      </c>
      <c r="AG44" s="11">
        <v>3.060202268E-4</v>
      </c>
      <c r="AH44" s="11">
        <v>2.048867478E-4</v>
      </c>
      <c r="AI44" s="11"/>
      <c r="AJ44" s="11">
        <v>-41.5308352</v>
      </c>
      <c r="AK44" s="11">
        <v>0.1017627677155463</v>
      </c>
      <c r="AL44" s="11"/>
      <c r="AM44" s="11">
        <v>0.06218178386212776</v>
      </c>
      <c r="AN44" s="11">
        <v>0.05467855509729272</v>
      </c>
      <c r="AO44" s="11">
        <v>0.05217872212389978</v>
      </c>
      <c r="AP44" s="11"/>
      <c r="AQ44" s="11">
        <v>0.1144580620933529</v>
      </c>
      <c r="AR44" s="11">
        <v>0.0521720048702562</v>
      </c>
      <c r="AS44" s="11">
        <v>0.06996338131707179</v>
      </c>
      <c r="AT44" s="11"/>
      <c r="AU44" s="11">
        <v>0.02277880893750855</v>
      </c>
      <c r="AV44" s="11">
        <v>0.03919963310640147</v>
      </c>
      <c r="AW44" s="11">
        <v>0.05832398672086497</v>
      </c>
      <c r="AX44" s="11"/>
      <c r="AY44" s="11">
        <v>8.774579973077444E-4</v>
      </c>
      <c r="AZ44" s="11">
        <v>0.01532635395911317</v>
      </c>
      <c r="BA44" s="11">
        <v>0.04560847722943275</v>
      </c>
      <c r="BB44" s="11">
        <v>0.06879238231331629</v>
      </c>
      <c r="BC44" s="11"/>
      <c r="BD44" s="11">
        <v>0.00293448346074641</v>
      </c>
      <c r="BE44" s="11">
        <v>0.00742198442369903</v>
      </c>
      <c r="BF44" s="11">
        <v>0.01901713701124289</v>
      </c>
      <c r="BG44" s="11">
        <v>0.001325725339908432</v>
      </c>
      <c r="BH44" s="11"/>
      <c r="BI44" s="11">
        <v>-0.02630807437464061</v>
      </c>
      <c r="BJ44" s="11">
        <v>-0.06764306679470959</v>
      </c>
      <c r="BK44" s="11">
        <v>0.01622117786668917</v>
      </c>
      <c r="BL44" s="11"/>
      <c r="BM44" s="11">
        <v>0.1279588436555683</v>
      </c>
      <c r="BN44" s="11">
        <v>0.154984569265246</v>
      </c>
      <c r="BO44" s="11">
        <v>0.1632260862281572</v>
      </c>
      <c r="BP44" s="11"/>
      <c r="BQ44" s="11">
        <v>0.1564742698110715</v>
      </c>
      <c r="BR44" s="11">
        <v>0.1041710218189513</v>
      </c>
      <c r="BS44" s="11"/>
      <c r="BT44" s="11">
        <v>0.05387082973029653</v>
      </c>
      <c r="BU44" s="11">
        <v>0.1948722601036971</v>
      </c>
      <c r="BV44" s="11">
        <v>0.1346969009475446</v>
      </c>
    </row>
    <row r="46" ht="15.75" customHeight="1"/>
    <row r="47" ht="15.75" customHeight="1">
      <c r="A47" s="13" t="s">
        <v>91</v>
      </c>
    </row>
    <row r="48" ht="15.75" customHeight="1"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</row>
    <row r="49" ht="15.75" customHeight="1">
      <c r="A49" s="7" t="s">
        <v>92</v>
      </c>
      <c r="B49" s="11"/>
      <c r="C49" s="11"/>
      <c r="I49" s="11"/>
      <c r="J49" s="11">
        <v>82040.0</v>
      </c>
      <c r="K49" s="11">
        <v>69549.0</v>
      </c>
      <c r="L49" s="11">
        <v>58821.594</v>
      </c>
      <c r="M49" s="11">
        <v>60654.179</v>
      </c>
      <c r="N49" s="11">
        <v>152555.974</v>
      </c>
      <c r="P49" s="11">
        <v>5924.0</v>
      </c>
      <c r="Q49" s="11">
        <v>9027.959</v>
      </c>
      <c r="R49" s="11">
        <v>9936.311</v>
      </c>
      <c r="S49" s="11">
        <v>11853.918</v>
      </c>
      <c r="T49" s="11">
        <v>20667.477</v>
      </c>
      <c r="V49" s="11">
        <v>3481.167</v>
      </c>
      <c r="W49" s="11">
        <v>2275.958</v>
      </c>
      <c r="X49" s="11">
        <v>2412.788</v>
      </c>
      <c r="Y49" s="11">
        <v>5320.602</v>
      </c>
      <c r="Z49" s="11"/>
      <c r="AA49" s="11">
        <v>0.0</v>
      </c>
      <c r="AB49" s="11">
        <v>3179.649</v>
      </c>
      <c r="AC49" s="11">
        <v>4199.378</v>
      </c>
      <c r="AD49" s="11">
        <v>2754.552</v>
      </c>
      <c r="AF49" s="11"/>
      <c r="AG49" s="11"/>
      <c r="AH49" s="11"/>
      <c r="AK49" s="11">
        <v>1436.06164</v>
      </c>
      <c r="AM49" s="11">
        <v>14964.55531</v>
      </c>
      <c r="AN49" s="11">
        <v>15742.36695</v>
      </c>
      <c r="AO49" s="11">
        <v>17221.7022</v>
      </c>
      <c r="AQ49" s="11">
        <v>23678.823</v>
      </c>
      <c r="AR49" s="11">
        <v>28790.548</v>
      </c>
      <c r="AS49" s="11">
        <v>26819.743</v>
      </c>
      <c r="AU49" s="11"/>
      <c r="AV49" s="11"/>
      <c r="AX49" s="11"/>
      <c r="AY49" s="11"/>
      <c r="AZ49" s="11">
        <v>2449.56445</v>
      </c>
      <c r="BA49" s="11">
        <v>3641.56245</v>
      </c>
      <c r="BB49" s="11">
        <v>8278.43647</v>
      </c>
      <c r="BD49" s="11">
        <v>149388.937</v>
      </c>
      <c r="BE49" s="11">
        <v>135129.344</v>
      </c>
      <c r="BF49" s="11">
        <v>140786.461</v>
      </c>
      <c r="BG49" s="11">
        <v>274342.42363</v>
      </c>
      <c r="BI49" s="11">
        <v>106027.177</v>
      </c>
      <c r="BJ49" s="11">
        <v>168857.253</v>
      </c>
      <c r="BK49" s="11">
        <v>216476.404</v>
      </c>
      <c r="BL49" s="7"/>
      <c r="BM49" s="11">
        <v>225.88182</v>
      </c>
      <c r="BN49" s="11">
        <v>350.88182</v>
      </c>
      <c r="BO49" s="11">
        <v>3010.93291</v>
      </c>
      <c r="BP49" s="7"/>
      <c r="BQ49" s="11"/>
      <c r="BR49" s="11"/>
      <c r="BS49" s="11"/>
      <c r="BW49" s="11"/>
      <c r="BX49" s="11"/>
      <c r="BY49" s="11"/>
      <c r="CD49" s="11"/>
      <c r="CE49" s="11"/>
      <c r="CF49" s="11"/>
      <c r="CJ49" s="11"/>
      <c r="CK49" s="11"/>
      <c r="CL49" s="11"/>
    </row>
    <row r="50" ht="15.75" customHeight="1">
      <c r="A50" s="7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</row>
    <row r="51" ht="15.75" customHeight="1">
      <c r="A51" s="7" t="s">
        <v>93</v>
      </c>
      <c r="D51" s="12">
        <f>ActivoCorr/PasivoCorr</f>
        <v>0.5256762102</v>
      </c>
      <c r="E51" s="12">
        <f>ActivoCorr/PasivoCorr</f>
        <v>0.5327651084</v>
      </c>
      <c r="F51" s="12">
        <f>ActivoCorr/PasivoCorr</f>
        <v>0.7159524315</v>
      </c>
      <c r="G51" s="12">
        <f>ActivoCorr/PasivoCorr</f>
        <v>0.9887393241</v>
      </c>
      <c r="H51" s="12">
        <f>ActivoCorr/PasivoCorr</f>
        <v>0.6969204446</v>
      </c>
      <c r="I51" s="12"/>
      <c r="J51" s="12">
        <f>ActivoCorr/PasivoCorr</f>
        <v>3.011858511</v>
      </c>
      <c r="K51" s="12">
        <f>ActivoCorr/PasivoCorr</f>
        <v>2.0829301</v>
      </c>
      <c r="L51" s="12">
        <f>ActivoCorr/PasivoCorr</f>
        <v>2.804097971</v>
      </c>
      <c r="M51" s="12">
        <f>ActivoCorr/PasivoCorr</f>
        <v>2.695720283</v>
      </c>
      <c r="N51" s="12">
        <f>ActivoCorr/PasivoCorr</f>
        <v>1.652543494</v>
      </c>
      <c r="O51" s="12"/>
      <c r="P51" s="12">
        <f>ActivoCorr/PasivoCorr</f>
        <v>4.477517568</v>
      </c>
      <c r="Q51" s="12">
        <f>ActivoCorr/PasivoCorr</f>
        <v>1.181950491</v>
      </c>
      <c r="R51" s="12">
        <f>ActivoCorr/PasivoCorr</f>
        <v>1.292041188</v>
      </c>
      <c r="S51" s="12">
        <f>ActivoCorr/PasivoCorr</f>
        <v>1.29663278</v>
      </c>
      <c r="T51" s="12">
        <f>ActivoCorr/PasivoCorr</f>
        <v>1.034574707</v>
      </c>
      <c r="U51" s="12"/>
      <c r="V51" s="12">
        <f>ActivoCorr/PasivoCorr</f>
        <v>0.421923692</v>
      </c>
      <c r="W51" s="12">
        <f>ActivoCorr/PasivoCorr</f>
        <v>3.710148453</v>
      </c>
      <c r="X51" s="12">
        <f>ActivoCorr/PasivoCorr</f>
        <v>1.6541428</v>
      </c>
      <c r="Y51" s="12">
        <f>ActivoCorr/PasivoCorr</f>
        <v>1.002943164</v>
      </c>
      <c r="Z51" s="12"/>
      <c r="AA51" s="12"/>
      <c r="AB51" s="12">
        <f>ActivoCorr/PasivoCorr</f>
        <v>2.534582176</v>
      </c>
      <c r="AC51" s="12">
        <f>ActivoCorr/PasivoCorr</f>
        <v>2.287955543</v>
      </c>
      <c r="AD51" s="12">
        <f>ActivoCorr/PasivoCorr</f>
        <v>3.669319065</v>
      </c>
      <c r="AE51" s="12"/>
      <c r="AF51" s="12"/>
      <c r="AG51" s="12"/>
      <c r="AH51" s="12"/>
      <c r="AI51" s="12"/>
      <c r="AJ51" s="12">
        <f>ActivoCorr/PasivoCorr</f>
        <v>0.6666666667</v>
      </c>
      <c r="AK51" s="12">
        <f>ActivoCorr/PasivoCorr</f>
        <v>1.257872088</v>
      </c>
      <c r="AL51" s="12"/>
      <c r="AM51" s="12">
        <f>ActivoCorr/PasivoCorr</f>
        <v>1.355507741</v>
      </c>
      <c r="AN51" s="12">
        <f>ActivoCorr/PasivoCorr</f>
        <v>1.598428317</v>
      </c>
      <c r="AO51" s="12">
        <f>ActivoCorr/PasivoCorr</f>
        <v>1.427252997</v>
      </c>
      <c r="AP51" s="12"/>
      <c r="AQ51" s="12">
        <f>ActivoCorr/PasivoCorr</f>
        <v>7.885917938</v>
      </c>
      <c r="AR51" s="12">
        <f>ActivoCorr/PasivoCorr</f>
        <v>16.24774442</v>
      </c>
      <c r="AS51" s="12">
        <f>ActivoCorr/PasivoCorr</f>
        <v>123.4304511</v>
      </c>
      <c r="AT51" s="12"/>
      <c r="AU51" s="12">
        <f>ActivoCorr/PasivoCorr</f>
        <v>11.36641933</v>
      </c>
      <c r="AV51" s="12">
        <f>ActivoCorr/PasivoCorr</f>
        <v>6.587118018</v>
      </c>
      <c r="AW51" s="12">
        <f>ActivoCorr/PasivoCorr</f>
        <v>6.528018849</v>
      </c>
      <c r="AX51" s="12"/>
      <c r="AY51" s="12">
        <f>ActivoCorr/PasivoCorr</f>
        <v>12.27480262</v>
      </c>
      <c r="AZ51" s="12">
        <f>ActivoCorr/PasivoCorr</f>
        <v>5.064154837</v>
      </c>
      <c r="BA51" s="12">
        <f>ActivoCorr/PasivoCorr</f>
        <v>2.982870474</v>
      </c>
      <c r="BB51" s="12">
        <f>ActivoCorr/PasivoCorr</f>
        <v>2.986307692</v>
      </c>
      <c r="BC51" s="12"/>
      <c r="BD51" s="12">
        <f>ActivoCorr/PasivoCorr</f>
        <v>3.430633006</v>
      </c>
      <c r="BE51" s="12">
        <f>ActivoCorr/PasivoCorr</f>
        <v>3.3810184</v>
      </c>
      <c r="BF51" s="12">
        <f>ActivoCorr/PasivoCorr</f>
        <v>3.096237018</v>
      </c>
      <c r="BG51" s="12">
        <f>ActivoCorr/PasivoCorr</f>
        <v>1.883592511</v>
      </c>
      <c r="BH51" s="12"/>
      <c r="BI51" s="12">
        <f>ActivoCorr/PasivoCorr</f>
        <v>1.495182716</v>
      </c>
      <c r="BJ51" s="12">
        <f>ActivoCorr/PasivoCorr</f>
        <v>1.190553377</v>
      </c>
      <c r="BK51" s="12">
        <f>ActivoCorr/PasivoCorr</f>
        <v>1.135678127</v>
      </c>
      <c r="BL51" s="12"/>
      <c r="BM51" s="12">
        <f>ActivoCorr/PasivoCorr</f>
        <v>12.49158435</v>
      </c>
      <c r="BN51" s="12">
        <f>ActivoCorr/PasivoCorr</f>
        <v>13.35877546</v>
      </c>
      <c r="BO51" s="12">
        <f>ActivoCorr/PasivoCorr</f>
        <v>12.94830537</v>
      </c>
      <c r="BP51" s="12"/>
      <c r="BQ51" s="12">
        <f>ActivoCorr/PasivoCorr</f>
        <v>1.192086254</v>
      </c>
      <c r="BR51" s="12">
        <f>ActivoCorr/PasivoCorr</f>
        <v>5.500832914</v>
      </c>
      <c r="BS51" s="12"/>
      <c r="BT51" s="12">
        <f>ActivoCorr/PasivoCorr</f>
        <v>2.45371291</v>
      </c>
      <c r="BU51" s="12">
        <f>ActivoCorr/PasivoCorr</f>
        <v>1.323368741</v>
      </c>
      <c r="BV51" s="12">
        <f>ActivoCorr/PasivoCorr</f>
        <v>5.698792092</v>
      </c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</row>
    <row r="52" ht="15.75" customHeight="1">
      <c r="A52" s="7" t="s">
        <v>94</v>
      </c>
      <c r="D52" s="12">
        <f>Ventas/ActivoTotal</f>
        <v>0.3664731554</v>
      </c>
      <c r="E52" s="12">
        <f>Ventas/ActivoTotal</f>
        <v>0.3703932121</v>
      </c>
      <c r="F52" s="12">
        <f>Ventas/ActivoTotal</f>
        <v>0.4221318231</v>
      </c>
      <c r="G52" s="12">
        <f>Ventas/ActivoTotal</f>
        <v>0.4019760678</v>
      </c>
      <c r="H52" s="12">
        <f>Ventas/ActivoTotal</f>
        <v>0.2363824764</v>
      </c>
      <c r="I52" s="12"/>
      <c r="J52" s="12">
        <f>Ventas/ActivoTotal</f>
        <v>0.3656862722</v>
      </c>
      <c r="K52" s="12">
        <f>Ventas/ActivoTotal</f>
        <v>0.3311686748</v>
      </c>
      <c r="L52" s="12">
        <f>Ventas/ActivoTotal</f>
        <v>0.3246843935</v>
      </c>
      <c r="M52" s="12">
        <f>Ventas/ActivoTotal</f>
        <v>0.3355625784</v>
      </c>
      <c r="N52" s="12">
        <f>Ventas/ActivoTotal</f>
        <v>0.2458583194</v>
      </c>
      <c r="O52" s="12"/>
      <c r="P52" s="12">
        <f>Ventas/ActivoTotal</f>
        <v>0.01988475593</v>
      </c>
      <c r="Q52" s="12">
        <f>Ventas/ActivoTotal</f>
        <v>0.2942120291</v>
      </c>
      <c r="R52" s="12">
        <f>Ventas/ActivoTotal</f>
        <v>0.4295709783</v>
      </c>
      <c r="S52" s="12">
        <f>Ventas/ActivoTotal</f>
        <v>0.4155116086</v>
      </c>
      <c r="T52" s="12">
        <f>Ventas/ActivoTotal</f>
        <v>0.2642164074</v>
      </c>
      <c r="U52" s="12"/>
      <c r="V52" s="12">
        <f>Ventas/ActivoTotal</f>
        <v>0.3283973476</v>
      </c>
      <c r="W52" s="12">
        <f>Ventas/ActivoTotal</f>
        <v>1.335479743</v>
      </c>
      <c r="X52" s="12">
        <f>Ventas/ActivoTotal</f>
        <v>0.9537674931</v>
      </c>
      <c r="Y52" s="12">
        <f>Ventas/ActivoTotal</f>
        <v>0.5803557645</v>
      </c>
      <c r="Z52" s="12"/>
      <c r="AA52" s="12"/>
      <c r="AB52" s="12">
        <f>Ventas/ActivoTotal</f>
        <v>0.4963969998</v>
      </c>
      <c r="AC52" s="12">
        <f>Ventas/ActivoTotal</f>
        <v>0.6641641045</v>
      </c>
      <c r="AD52" s="12">
        <f>Ventas/ActivoTotal</f>
        <v>0.682440297</v>
      </c>
      <c r="AE52" s="12"/>
      <c r="AF52" s="12">
        <f>Ventas/ActivoTotal</f>
        <v>0</v>
      </c>
      <c r="AG52" s="12">
        <f>Ventas/ActivoTotal</f>
        <v>0.004665581758</v>
      </c>
      <c r="AH52" s="12">
        <f>Ventas/ActivoTotal</f>
        <v>0.002273089593</v>
      </c>
      <c r="AI52" s="12"/>
      <c r="AJ52" s="12">
        <f>Ventas/ActivoTotal</f>
        <v>0</v>
      </c>
      <c r="AK52" s="12">
        <f>Ventas/ActivoTotal</f>
        <v>0.4295251132</v>
      </c>
      <c r="AL52" s="12"/>
      <c r="AM52" s="12">
        <f>Ventas/ActivoTotal</f>
        <v>1.114070534</v>
      </c>
      <c r="AN52" s="12">
        <f>Ventas/ActivoTotal</f>
        <v>1.04333642</v>
      </c>
      <c r="AO52" s="12">
        <f>Ventas/ActivoTotal</f>
        <v>0.5577167298</v>
      </c>
      <c r="AP52" s="12"/>
      <c r="AQ52" s="12">
        <f>Ventas/ActivoTotal</f>
        <v>1.334313433</v>
      </c>
      <c r="AR52" s="12">
        <f>Ventas/ActivoTotal</f>
        <v>0.8671850336</v>
      </c>
      <c r="AS52" s="12">
        <f>Ventas/ActivoTotal</f>
        <v>0.2576415005</v>
      </c>
      <c r="AT52" s="12"/>
      <c r="AU52" s="12">
        <f>Ventas/ActivoTotal</f>
        <v>0.2150808048</v>
      </c>
      <c r="AV52" s="12">
        <f>Ventas/ActivoTotal</f>
        <v>0.3363126555</v>
      </c>
      <c r="AW52" s="12">
        <f>Ventas/ActivoTotal</f>
        <v>0.4492304057</v>
      </c>
      <c r="AX52" s="12"/>
      <c r="AY52" s="12">
        <f>Ventas/ActivoTotal</f>
        <v>0.2320838363</v>
      </c>
      <c r="AZ52" s="12">
        <f>Ventas/ActivoTotal</f>
        <v>0.05382332395</v>
      </c>
      <c r="BA52" s="12">
        <f>Ventas/ActivoTotal</f>
        <v>0.1829413753</v>
      </c>
      <c r="BB52" s="12">
        <f>Ventas/ActivoTotal</f>
        <v>0.3381016915</v>
      </c>
      <c r="BC52" s="12"/>
      <c r="BD52" s="12">
        <f>Ventas/ActivoTotal</f>
        <v>0.3590281762</v>
      </c>
      <c r="BE52" s="12">
        <f>Ventas/ActivoTotal</f>
        <v>0.4470173633</v>
      </c>
      <c r="BF52" s="12">
        <f>Ventas/ActivoTotal</f>
        <v>0.4664864821</v>
      </c>
      <c r="BG52" s="12">
        <f>Ventas/ActivoTotal</f>
        <v>0.3977932501</v>
      </c>
      <c r="BH52" s="12"/>
      <c r="BI52" s="12">
        <f>Ventas/ActivoTotal</f>
        <v>2.972781176</v>
      </c>
      <c r="BJ52" s="12">
        <f>Ventas/ActivoTotal</f>
        <v>3.048562211</v>
      </c>
      <c r="BK52" s="12">
        <f>Ventas/ActivoTotal</f>
        <v>2.815561981</v>
      </c>
      <c r="BL52" s="12"/>
      <c r="BM52" s="12">
        <f>Ventas/ActivoTotal</f>
        <v>1.145374429</v>
      </c>
      <c r="BN52" s="12">
        <f>Ventas/ActivoTotal</f>
        <v>1.27159953</v>
      </c>
      <c r="BO52" s="12">
        <f>Ventas/ActivoTotal</f>
        <v>1.071088555</v>
      </c>
      <c r="BP52" s="12"/>
      <c r="BQ52" s="12">
        <f>Ventas/ActivoTotal</f>
        <v>6.917081946</v>
      </c>
      <c r="BR52" s="12">
        <f>Ventas/ActivoTotal</f>
        <v>1.74621008</v>
      </c>
      <c r="BS52" s="12"/>
      <c r="BT52" s="12">
        <f>Ventas/ActivoTotal</f>
        <v>2.053562469</v>
      </c>
      <c r="BU52" s="12">
        <f>Ventas/ActivoTotal</f>
        <v>1.976870621</v>
      </c>
      <c r="BV52" s="12">
        <f>Ventas/ActivoTotal</f>
        <v>1.669661889</v>
      </c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</row>
    <row r="53" ht="15.75" customHeight="1">
      <c r="A53" s="7" t="s">
        <v>95</v>
      </c>
      <c r="D53" s="14">
        <f>ActivoTotal/Patrimonio</f>
        <v>4.558438172</v>
      </c>
      <c r="E53" s="14">
        <f>ActivoTotal/Patrimonio</f>
        <v>3.697128625</v>
      </c>
      <c r="F53" s="14">
        <f>ActivoTotal/Patrimonio</f>
        <v>3.143275122</v>
      </c>
      <c r="G53" s="14">
        <f>ActivoTotal/Patrimonio</f>
        <v>2.843064962</v>
      </c>
      <c r="H53" s="14">
        <f>ActivoTotal/Patrimonio</f>
        <v>2.625471073</v>
      </c>
      <c r="I53" s="14"/>
      <c r="J53" s="14">
        <f>ActivoTotal/Patrimonio</f>
        <v>2.053245823</v>
      </c>
      <c r="K53" s="14">
        <f>ActivoTotal/Patrimonio</f>
        <v>2.116006956</v>
      </c>
      <c r="L53" s="14">
        <f>ActivoTotal/Patrimonio</f>
        <v>2.11553771</v>
      </c>
      <c r="M53" s="14">
        <f>ActivoTotal/Patrimonio</f>
        <v>2.225823329</v>
      </c>
      <c r="N53" s="14">
        <f>ActivoTotal/Patrimonio</f>
        <v>2.480915881</v>
      </c>
      <c r="O53" s="14"/>
      <c r="P53" s="14">
        <f>ActivoTotal/Patrimonio</f>
        <v>1.594490037</v>
      </c>
      <c r="Q53" s="14">
        <f>ActivoTotal/Patrimonio</f>
        <v>1.736388577</v>
      </c>
      <c r="R53" s="14">
        <f>ActivoTotal/Patrimonio</f>
        <v>1.734500339</v>
      </c>
      <c r="S53" s="14">
        <f>ActivoTotal/Patrimonio</f>
        <v>1.783149255</v>
      </c>
      <c r="T53" s="14">
        <f>ActivoTotal/Patrimonio</f>
        <v>1.971604725</v>
      </c>
      <c r="U53" s="14"/>
      <c r="V53" s="14">
        <f>ActivoTotal/Patrimonio</f>
        <v>2.886513242</v>
      </c>
      <c r="W53" s="14">
        <f>ActivoTotal/Patrimonio</f>
        <v>1.341028086</v>
      </c>
      <c r="X53" s="14">
        <f>ActivoTotal/Patrimonio</f>
        <v>2.303573027</v>
      </c>
      <c r="Y53" s="14">
        <f>ActivoTotal/Patrimonio</f>
        <v>2.824280704</v>
      </c>
      <c r="Z53" s="14"/>
      <c r="AA53" s="14"/>
      <c r="AB53" s="14">
        <f>ActivoTotal/Patrimonio</f>
        <v>2.144151893</v>
      </c>
      <c r="AC53" s="14">
        <f>ActivoTotal/Patrimonio</f>
        <v>2.074691762</v>
      </c>
      <c r="AD53" s="14">
        <f>ActivoTotal/Patrimonio</f>
        <v>1.962826837</v>
      </c>
      <c r="AE53" s="14"/>
      <c r="AF53" s="14">
        <f>ActivoTotal/Patrimonio</f>
        <v>1.000325857</v>
      </c>
      <c r="AG53" s="14">
        <f>ActivoTotal/Patrimonio</f>
        <v>1</v>
      </c>
      <c r="AH53" s="14">
        <f>ActivoTotal/Patrimonio</f>
        <v>1</v>
      </c>
      <c r="AI53" s="14"/>
      <c r="AJ53" s="14">
        <f>ActivoTotal/Patrimonio</f>
        <v>2.5</v>
      </c>
      <c r="AK53" s="14">
        <f>ActivoTotal/Patrimonio</f>
        <v>4.7396717</v>
      </c>
      <c r="AL53" s="14"/>
      <c r="AM53" s="14">
        <f>ActivoTotal/Patrimonio</f>
        <v>2.659305858</v>
      </c>
      <c r="AN53" s="14">
        <f>ActivoTotal/Patrimonio</f>
        <v>2.778013226</v>
      </c>
      <c r="AO53" s="14">
        <f>ActivoTotal/Patrimonio</f>
        <v>2.673142856</v>
      </c>
      <c r="AP53" s="14"/>
      <c r="AQ53" s="14">
        <f>ActivoTotal/Patrimonio</f>
        <v>2.145541146</v>
      </c>
      <c r="AR53" s="14">
        <f>ActivoTotal/Patrimonio</f>
        <v>2.595465796</v>
      </c>
      <c r="AS53" s="14">
        <f>ActivoTotal/Patrimonio</f>
        <v>2.392309433</v>
      </c>
      <c r="AT53" s="14"/>
      <c r="AU53" s="14">
        <f>ActivoTotal/Patrimonio</f>
        <v>3.920121513</v>
      </c>
      <c r="AV53" s="14">
        <f>ActivoTotal/Patrimonio</f>
        <v>3.596349037</v>
      </c>
      <c r="AW53" s="14">
        <f>ActivoTotal/Patrimonio</f>
        <v>3.565372835</v>
      </c>
      <c r="AX53" s="14"/>
      <c r="AY53" s="14">
        <f>ActivoTotal/Patrimonio</f>
        <v>1.774915801</v>
      </c>
      <c r="AZ53" s="14">
        <f>ActivoTotal/Patrimonio</f>
        <v>3.455916421</v>
      </c>
      <c r="BA53" s="14">
        <f>ActivoTotal/Patrimonio</f>
        <v>3.200092398</v>
      </c>
      <c r="BB53" s="14">
        <f>ActivoTotal/Patrimonio</f>
        <v>2.606740353</v>
      </c>
      <c r="BC53" s="14"/>
      <c r="BD53" s="14">
        <f>ActivoTotal/Patrimonio</f>
        <v>2.568328368</v>
      </c>
      <c r="BE53" s="14">
        <f>ActivoTotal/Patrimonio</f>
        <v>2.662488857</v>
      </c>
      <c r="BF53" s="14">
        <f>ActivoTotal/Patrimonio</f>
        <v>2.836140254</v>
      </c>
      <c r="BG53" s="14">
        <f>ActivoTotal/Patrimonio</f>
        <v>4.047238245</v>
      </c>
      <c r="BH53" s="14"/>
      <c r="BI53" s="14">
        <f>ActivoTotal/Patrimonio</f>
        <v>2.978338312</v>
      </c>
      <c r="BJ53" s="14">
        <f>ActivoTotal/Patrimonio</f>
        <v>5.623127432</v>
      </c>
      <c r="BK53" s="14">
        <f>ActivoTotal/Patrimonio</f>
        <v>6.709612231</v>
      </c>
      <c r="BL53" s="14"/>
      <c r="BM53" s="14">
        <f>ActivoTotal/Patrimonio</f>
        <v>1.180494719</v>
      </c>
      <c r="BN53" s="14">
        <f>ActivoTotal/Patrimonio</f>
        <v>1.118887578</v>
      </c>
      <c r="BO53" s="14">
        <f>ActivoTotal/Patrimonio</f>
        <v>1.263050168</v>
      </c>
      <c r="BP53" s="14"/>
      <c r="BQ53" s="14">
        <f>ActivoTotal/Patrimonio</f>
        <v>5.954641333</v>
      </c>
      <c r="BR53" s="14">
        <f>ActivoTotal/Patrimonio</f>
        <v>7.242505766</v>
      </c>
      <c r="BS53" s="14"/>
      <c r="BT53" s="14">
        <f>ActivoTotal/Patrimonio</f>
        <v>1.680505067</v>
      </c>
      <c r="BU53" s="14">
        <f>ActivoTotal/Patrimonio</f>
        <v>4.187179585</v>
      </c>
      <c r="BV53" s="14">
        <f>ActivoTotal/Patrimonio</f>
        <v>3.670350142</v>
      </c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</row>
    <row r="54" ht="15.75" customHeight="1"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</row>
    <row r="55" ht="15.75" customHeight="1">
      <c r="A55" s="8" t="s">
        <v>96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</row>
    <row r="56" ht="15.75" customHeight="1">
      <c r="A56" s="7" t="s">
        <v>97</v>
      </c>
      <c r="D56" s="12">
        <f>CTrabajo/ActivoTotal</f>
        <v>-0.2963170216</v>
      </c>
      <c r="E56" s="12">
        <f>CTrabajo/ActivoTotal</f>
        <v>-0.2224609237</v>
      </c>
      <c r="F56" s="12">
        <f>CTrabajo/ActivoTotal</f>
        <v>-0.1532306891</v>
      </c>
      <c r="G56" s="12">
        <f>CTrabajo/ActivoTotal</f>
        <v>-0.004217693155</v>
      </c>
      <c r="H56" s="12">
        <f>CTrabajo/ActivoTotal</f>
        <v>-0.1231422079</v>
      </c>
      <c r="I56" s="12"/>
      <c r="J56" s="12">
        <f>CTrabajo/ActivoTotal</f>
        <v>0.3540806587</v>
      </c>
      <c r="K56" s="12">
        <f>CTrabajo/ActivoTotal</f>
        <v>0.2917051302</v>
      </c>
      <c r="L56" s="12">
        <f>CTrabajo/ActivoTotal</f>
        <v>0.3810042455</v>
      </c>
      <c r="M56" s="12">
        <f>CTrabajo/ActivoTotal</f>
        <v>0.3759887556</v>
      </c>
      <c r="N56" s="12">
        <f>CTrabajo/ActivoTotal</f>
        <v>0.227550996</v>
      </c>
      <c r="O56" s="12"/>
      <c r="P56" s="12">
        <f>CTrabajo/ActivoTotal</f>
        <v>0.560725152</v>
      </c>
      <c r="Q56" s="12">
        <f>CTrabajo/ActivoTotal</f>
        <v>0.032369189</v>
      </c>
      <c r="R56" s="12">
        <f>CTrabajo/ActivoTotal</f>
        <v>0.06476559225</v>
      </c>
      <c r="S56" s="12">
        <f>CTrabajo/ActivoTotal</f>
        <v>0.06965139295</v>
      </c>
      <c r="T56" s="12">
        <f>CTrabajo/ActivoTotal</f>
        <v>0.01036971118</v>
      </c>
      <c r="U56" s="12"/>
      <c r="V56" s="12">
        <f>CTrabajo/ActivoTotal</f>
        <v>-0.3770881675</v>
      </c>
      <c r="W56" s="12">
        <f>CTrabajo/ActivoTotal</f>
        <v>0.6535305086</v>
      </c>
      <c r="X56" s="12">
        <f>CTrabajo/ActivoTotal</f>
        <v>0.3672862965</v>
      </c>
      <c r="Y56" s="12">
        <f>CTrabajo/ActivoTotal</f>
        <v>0.001106692972</v>
      </c>
      <c r="Z56" s="12"/>
      <c r="AA56" s="12"/>
      <c r="AB56" s="12">
        <f>CTrabajo/ActivoTotal</f>
        <v>0.4274087245</v>
      </c>
      <c r="AC56" s="12">
        <f>CTrabajo/ActivoTotal</f>
        <v>0.341366005</v>
      </c>
      <c r="AD56" s="12">
        <f>CTrabajo/ActivoTotal</f>
        <v>0.4905706131</v>
      </c>
      <c r="AE56" s="12"/>
      <c r="AF56" s="12">
        <f>CTrabajo/ActivoTotal</f>
        <v>0.8929317126</v>
      </c>
      <c r="AG56" s="12">
        <f>CTrabajo/ActivoTotal</f>
        <v>0.8928072494</v>
      </c>
      <c r="AH56" s="12">
        <f>CTrabajo/ActivoTotal</f>
        <v>0.8928179341</v>
      </c>
      <c r="AI56" s="12"/>
      <c r="AJ56" s="12">
        <f>CTrabajo/ActivoTotal</f>
        <v>-0.2</v>
      </c>
      <c r="AK56" s="12">
        <f>CTrabajo/ActivoTotal</f>
        <v>0.2034649258</v>
      </c>
      <c r="AL56" s="12"/>
      <c r="AM56" s="12">
        <f>CTrabajo/ActivoTotal</f>
        <v>0.1851312411</v>
      </c>
      <c r="AN56" s="12">
        <f>CTrabajo/ActivoTotal</f>
        <v>0.2819023757</v>
      </c>
      <c r="AO56" s="12">
        <f>CTrabajo/ActivoTotal</f>
        <v>0.2127605863</v>
      </c>
      <c r="AP56" s="12"/>
      <c r="AQ56" s="12">
        <f>CTrabajo/ActivoTotal</f>
        <v>0.8474077742</v>
      </c>
      <c r="AR56" s="12">
        <f>CTrabajo/ActivoTotal</f>
        <v>0.91489388</v>
      </c>
      <c r="AS56" s="12">
        <f>CTrabajo/ActivoTotal</f>
        <v>0.9652851439</v>
      </c>
      <c r="AT56" s="12"/>
      <c r="AU56" s="12">
        <f>CTrabajo/ActivoTotal</f>
        <v>0.7910950576</v>
      </c>
      <c r="AV56" s="12">
        <f>CTrabajo/ActivoTotal</f>
        <v>0.6973914889</v>
      </c>
      <c r="AW56" s="12">
        <f>CTrabajo/ActivoTotal</f>
        <v>0.6701340397</v>
      </c>
      <c r="AX56" s="12"/>
      <c r="AY56" s="12">
        <f>CTrabajo/ActivoTotal</f>
        <v>0.8153417573</v>
      </c>
      <c r="AZ56" s="12">
        <f>CTrabajo/ActivoTotal</f>
        <v>0.759089631</v>
      </c>
      <c r="BA56" s="12">
        <f>CTrabajo/ActivoTotal</f>
        <v>0.6292748792</v>
      </c>
      <c r="BB56" s="12">
        <f>CTrabajo/ActivoTotal</f>
        <v>0.6235767439</v>
      </c>
      <c r="BC56" s="12"/>
      <c r="BD56" s="12">
        <f>CTrabajo/ActivoTotal</f>
        <v>0.3543731731</v>
      </c>
      <c r="BE56" s="12">
        <f>CTrabajo/ActivoTotal</f>
        <v>0.3704356782</v>
      </c>
      <c r="BF56" s="12">
        <f>CTrabajo/ActivoTotal</f>
        <v>0.3588523204</v>
      </c>
      <c r="BG56" s="12">
        <f>CTrabajo/ActivoTotal</f>
        <v>0.2500353327</v>
      </c>
      <c r="BH56" s="12"/>
      <c r="BI56" s="12">
        <f>CTrabajo/ActivoTotal</f>
        <v>0.3246569257</v>
      </c>
      <c r="BJ56" s="12">
        <f>CTrabajo/ActivoTotal</f>
        <v>0.156554505</v>
      </c>
      <c r="BK56" s="12">
        <f>CTrabajo/ActivoTotal</f>
        <v>0.1153974122</v>
      </c>
      <c r="BL56" s="12"/>
      <c r="BM56" s="12">
        <f>CTrabajo/ActivoTotal</f>
        <v>0.6803397116</v>
      </c>
      <c r="BN56" s="12">
        <f>CTrabajo/ActivoTotal</f>
        <v>0.7010272329</v>
      </c>
      <c r="BO56" s="12">
        <f>CTrabajo/ActivoTotal</f>
        <v>0.6714082785</v>
      </c>
      <c r="BP56" s="12"/>
      <c r="BQ56" s="12">
        <f>CTrabajo/ActivoTotal</f>
        <v>0.1598280129</v>
      </c>
      <c r="BR56" s="12">
        <f>CTrabajo/ActivoTotal</f>
        <v>0.8094499677</v>
      </c>
      <c r="BS56" s="12"/>
      <c r="BT56" s="12">
        <f>CTrabajo/ActivoTotal</f>
        <v>0.5886676692</v>
      </c>
      <c r="BU56" s="12">
        <f>CTrabajo/ActivoTotal</f>
        <v>0.2433194297</v>
      </c>
      <c r="BV56" s="12">
        <f>CTrabajo/ActivoTotal</f>
        <v>0.8180152789</v>
      </c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</row>
    <row r="57" ht="15.75" customHeight="1">
      <c r="A57" s="7" t="s">
        <v>98</v>
      </c>
      <c r="D57" s="12">
        <f>UtilidadRetenida/ActivoTotal</f>
        <v>0.2193703195</v>
      </c>
      <c r="E57" s="12">
        <f>UtilidadRetenida/ActivoTotal</f>
        <v>0.270477034</v>
      </c>
      <c r="F57" s="12">
        <f>UtilidadRetenida/ActivoTotal</f>
        <v>0.3181366739</v>
      </c>
      <c r="G57" s="12">
        <f>UtilidadRetenida/ActivoTotal</f>
        <v>0.351730628</v>
      </c>
      <c r="H57" s="12">
        <f>UtilidadRetenida/ActivoTotal</f>
        <v>0.3808820709</v>
      </c>
      <c r="I57" s="12"/>
      <c r="J57" s="12">
        <f>UtilidadRetenida/ActivoTotal</f>
        <v>0.3317677559</v>
      </c>
      <c r="K57" s="12">
        <f>UtilidadRetenida/ActivoTotal</f>
        <v>0.3274500911</v>
      </c>
      <c r="L57" s="12">
        <f>UtilidadRetenida/ActivoTotal</f>
        <v>0.3474351732</v>
      </c>
      <c r="M57" s="12">
        <f>UtilidadRetenida/ActivoTotal</f>
        <v>0.3139795399</v>
      </c>
      <c r="N57" s="12">
        <f>UtilidadRetenida/ActivoTotal</f>
        <v>0.2874572694</v>
      </c>
      <c r="O57" s="12"/>
      <c r="P57" s="12">
        <f>UtilidadRetenida/ActivoTotal</f>
        <v>-0.01309528865</v>
      </c>
      <c r="Q57" s="12">
        <f>UtilidadRetenida/ActivoTotal</f>
        <v>-0.007668920261</v>
      </c>
      <c r="R57" s="12">
        <f>UtilidadRetenida/ActivoTotal</f>
        <v>0.001490921558</v>
      </c>
      <c r="S57" s="12">
        <f>UtilidadRetenida/ActivoTotal</f>
        <v>0.03316067563</v>
      </c>
      <c r="T57" s="12">
        <f>UtilidadRetenida/ActivoTotal</f>
        <v>-0.01582207229</v>
      </c>
      <c r="U57" s="12"/>
      <c r="V57" s="12">
        <f>UtilidadRetenida/ActivoTotal</f>
        <v>0.001422305388</v>
      </c>
      <c r="W57" s="12">
        <f>UtilidadRetenida/ActivoTotal</f>
        <v>-0.1036991513</v>
      </c>
      <c r="X57" s="12">
        <f>UtilidadRetenida/ActivoTotal</f>
        <v>-0.04343786664</v>
      </c>
      <c r="Y57" s="12">
        <f>UtilidadRetenida/ActivoTotal</f>
        <v>-0.01447476063</v>
      </c>
      <c r="Z57" s="12"/>
      <c r="AA57" s="12"/>
      <c r="AB57" s="12">
        <f>UtilidadRetenida/ActivoTotal</f>
        <v>0.2060910004</v>
      </c>
      <c r="AC57" s="12">
        <f>UtilidadRetenida/ActivoTotal</f>
        <v>0.2194068501</v>
      </c>
      <c r="AD57" s="12">
        <f>UtilidadRetenida/ActivoTotal</f>
        <v>0.1742218201</v>
      </c>
      <c r="AE57" s="12"/>
      <c r="AF57" s="12">
        <f>UtilidadRetenida/ActivoTotal</f>
        <v>0.06446875851</v>
      </c>
      <c r="AG57" s="12">
        <f>UtilidadRetenida/ActivoTotal</f>
        <v>0.06484972142</v>
      </c>
      <c r="AH57" s="12">
        <f>UtilidadRetenida/ActivoTotal</f>
        <v>0.06495845582</v>
      </c>
      <c r="AI57" s="12"/>
      <c r="AJ57" s="12">
        <f>UtilidadRetenida/ActivoTotal</f>
        <v>0</v>
      </c>
      <c r="AK57" s="12">
        <f>UtilidadRetenida/ActivoTotal</f>
        <v>0.01882685841</v>
      </c>
      <c r="AL57" s="12"/>
      <c r="AM57" s="12">
        <f>UtilidadRetenida/ActivoTotal</f>
        <v>0.159257921</v>
      </c>
      <c r="AN57" s="12">
        <f>UtilidadRetenida/ActivoTotal</f>
        <v>0.1744467522</v>
      </c>
      <c r="AO57" s="12">
        <f>UtilidadRetenida/ActivoTotal</f>
        <v>0.1784653508</v>
      </c>
      <c r="AP57" s="12"/>
      <c r="AQ57" s="12">
        <f>UtilidadRetenida/ActivoTotal</f>
        <v>0.2034606872</v>
      </c>
      <c r="AR57" s="12">
        <f>UtilidadRetenida/ActivoTotal</f>
        <v>0.1786442631</v>
      </c>
      <c r="AS57" s="12">
        <f>UtilidadRetenida/ActivoTotal</f>
        <v>0.2031958002</v>
      </c>
      <c r="AT57" s="12"/>
      <c r="AU57" s="12">
        <f>UtilidadRetenida/ActivoTotal</f>
        <v>0.03764388008</v>
      </c>
      <c r="AV57" s="12">
        <f>UtilidadRetenida/ActivoTotal</f>
        <v>0.07246671829</v>
      </c>
      <c r="AW57" s="12">
        <f>UtilidadRetenida/ActivoTotal</f>
        <v>0.05619110013</v>
      </c>
      <c r="AX57" s="12"/>
      <c r="AY57" s="12">
        <f>UtilidadRetenida/ActivoTotal</f>
        <v>0.03266359023</v>
      </c>
      <c r="AZ57" s="12">
        <f>UtilidadRetenida/ActivoTotal</f>
        <v>0.03461677448</v>
      </c>
      <c r="BA57" s="12">
        <f>UtilidadRetenida/ActivoTotal</f>
        <v>0.06826963778</v>
      </c>
      <c r="BB57" s="12">
        <f>UtilidadRetenida/ActivoTotal</f>
        <v>0.1253138204</v>
      </c>
      <c r="BC57" s="12"/>
      <c r="BD57" s="12">
        <f>UtilidadRetenida/ActivoTotal</f>
        <v>-0.01803764917</v>
      </c>
      <c r="BE57" s="12">
        <f>UtilidadRetenida/ActivoTotal</f>
        <v>-0.01253962226</v>
      </c>
      <c r="BF57" s="12">
        <f>UtilidadRetenida/ActivoTotal</f>
        <v>0.01405716159</v>
      </c>
      <c r="BG57" s="12">
        <f>UtilidadRetenida/ActivoTotal</f>
        <v>0.01289156694</v>
      </c>
      <c r="BH57" s="12"/>
      <c r="BI57" s="12">
        <f>UtilidadRetenida/ActivoTotal</f>
        <v>-0.7925458811</v>
      </c>
      <c r="BJ57" s="12">
        <f>UtilidadRetenida/ActivoTotal</f>
        <v>-0.6607498997</v>
      </c>
      <c r="BK57" s="12">
        <f>UtilidadRetenida/ActivoTotal</f>
        <v>0.02377907141</v>
      </c>
      <c r="BL57" s="12"/>
      <c r="BM57" s="12">
        <f>UtilidadRetenida/ActivoTotal</f>
        <v>0.5639523265</v>
      </c>
      <c r="BN57" s="12">
        <f>UtilidadRetenida/ActivoTotal</f>
        <v>0.6294569638</v>
      </c>
      <c r="BO57" s="12">
        <f>UtilidadRetenida/ActivoTotal</f>
        <v>0.5966285213</v>
      </c>
      <c r="BP57" s="12"/>
      <c r="BQ57" s="12">
        <f>UtilidadRetenida/ActivoTotal</f>
        <v>0.1557707913</v>
      </c>
      <c r="BR57" s="12">
        <f>UtilidadRetenida/ActivoTotal</f>
        <v>0.1361375985</v>
      </c>
      <c r="BS57" s="12"/>
      <c r="BT57" s="12">
        <f>UtilidadRetenida/ActivoTotal</f>
        <v>0.5832268694</v>
      </c>
      <c r="BU57" s="12">
        <f>UtilidadRetenida/ActivoTotal</f>
        <v>0.2281877714</v>
      </c>
      <c r="BV57" s="12">
        <f>UtilidadRetenida/ActivoTotal</f>
        <v>0.2629800769</v>
      </c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</row>
    <row r="58" ht="15.75" customHeight="1">
      <c r="A58" s="7" t="s">
        <v>99</v>
      </c>
      <c r="D58" s="12">
        <f>EBITDA/ActivoTotal</f>
        <v>0.2208118684</v>
      </c>
      <c r="E58" s="12">
        <f>EBITDA/ActivoTotal</f>
        <v>0.04545929093</v>
      </c>
      <c r="F58" s="12">
        <f>EBITDA/ActivoTotal</f>
        <v>0.07416826242</v>
      </c>
      <c r="G58" s="12">
        <f>EBITDA/ActivoTotal</f>
        <v>0.07629650583</v>
      </c>
      <c r="H58" s="12">
        <f>EBITDA/ActivoTotal</f>
        <v>0.03710794988</v>
      </c>
      <c r="I58" s="12"/>
      <c r="J58" s="12">
        <f>EBITDA/ActivoTotal</f>
        <v>0.06005661186</v>
      </c>
      <c r="K58" s="12">
        <f>EBITDA/ActivoTotal</f>
        <v>0.0493941498</v>
      </c>
      <c r="L58" s="12">
        <f>EBITDA/ActivoTotal</f>
        <v>0.03557575069</v>
      </c>
      <c r="M58" s="12">
        <f>EBITDA/ActivoTotal</f>
        <v>0.02564211652</v>
      </c>
      <c r="N58" s="12">
        <f>EBITDA/ActivoTotal</f>
        <v>0.03449864973</v>
      </c>
      <c r="O58" s="12"/>
      <c r="P58" s="12">
        <f>EBITDA/ActivoTotal</f>
        <v>-0.01142786182</v>
      </c>
      <c r="Q58" s="12">
        <f>EBITDA/ActivoTotal</f>
        <v>0.02515290251</v>
      </c>
      <c r="R58" s="12">
        <f>EBITDA/ActivoTotal</f>
        <v>0.0247941747</v>
      </c>
      <c r="S58" s="12">
        <f>EBITDA/ActivoTotal</f>
        <v>0.03327184688</v>
      </c>
      <c r="T58" s="12">
        <f>EBITDA/ActivoTotal</f>
        <v>0.02108827849</v>
      </c>
      <c r="U58" s="12"/>
      <c r="V58" s="12">
        <f>EBITDA/ActivoTotal</f>
        <v>-0.0005708193129</v>
      </c>
      <c r="W58" s="12">
        <f>EBITDA/ActivoTotal</f>
        <v>-0.1072007238</v>
      </c>
      <c r="X58" s="12">
        <f>EBITDA/ActivoTotal</f>
        <v>0.02136308652</v>
      </c>
      <c r="Y58" s="12">
        <f>EBITDA/ActivoTotal</f>
        <v>0.01904850554</v>
      </c>
      <c r="Z58" s="12"/>
      <c r="AA58" s="12"/>
      <c r="AB58" s="12">
        <f>EBITDA/ActivoTotal</f>
        <v>0.05103331851</v>
      </c>
      <c r="AC58" s="12">
        <f>EBITDA/ActivoTotal</f>
        <v>0.07512360063</v>
      </c>
      <c r="AD58" s="12">
        <f>EBITDA/ActivoTotal</f>
        <v>0.1068137254</v>
      </c>
      <c r="AE58" s="12"/>
      <c r="AF58" s="12">
        <f>EBITDA/ActivoTotal</f>
        <v>-0.00001547309444</v>
      </c>
      <c r="AG58" s="12">
        <f>EBITDA/ActivoTotal</f>
        <v>0.0003060202268</v>
      </c>
      <c r="AH58" s="12">
        <f>EBITDA/ActivoTotal</f>
        <v>0.0001024433739</v>
      </c>
      <c r="AI58" s="12"/>
      <c r="AJ58" s="12">
        <f>EBITDA/ActivoTotal</f>
        <v>-33.6948176</v>
      </c>
      <c r="AK58" s="12">
        <f>EBITDA/ActivoTotal</f>
        <v>0.06784184514</v>
      </c>
      <c r="AL58" s="12"/>
      <c r="AM58" s="12">
        <f>EBITDA/ActivoTotal</f>
        <v>0.1078995208</v>
      </c>
      <c r="AN58" s="12">
        <f>EBITDA/ActivoTotal</f>
        <v>0.1081279573</v>
      </c>
      <c r="AO58" s="12">
        <f>EBITDA/ActivoTotal</f>
        <v>0.04666846827</v>
      </c>
      <c r="AP58" s="12"/>
      <c r="AQ58" s="12">
        <f>EBITDA/ActivoTotal</f>
        <v>0.1762268803</v>
      </c>
      <c r="AR58" s="12">
        <f>EBITDA/ActivoTotal</f>
        <v>0.103179265</v>
      </c>
      <c r="AS58" s="12">
        <f>EBITDA/ActivoTotal</f>
        <v>0.0317761924</v>
      </c>
      <c r="AT58" s="12"/>
      <c r="AU58" s="12">
        <f>EBITDA/ActivoTotal</f>
        <v>0.08812584802</v>
      </c>
      <c r="AV58" s="12">
        <f>EBITDA/ActivoTotal</f>
        <v>0.1189404863</v>
      </c>
      <c r="AW58" s="12">
        <f>EBITDA/ActivoTotal</f>
        <v>0.144664562</v>
      </c>
      <c r="AX58" s="12"/>
      <c r="AY58" s="12">
        <f>EBITDA/ActivoTotal</f>
        <v>0.01469595516</v>
      </c>
      <c r="AZ58" s="12">
        <f>EBITDA/ActivoTotal</f>
        <v>0.0256825212</v>
      </c>
      <c r="BA58" s="12">
        <f>EBITDA/ActivoTotal</f>
        <v>0.05465459993</v>
      </c>
      <c r="BB58" s="12">
        <f>EBITDA/ActivoTotal</f>
        <v>0.07365500492</v>
      </c>
      <c r="BC58" s="12"/>
      <c r="BD58" s="12">
        <f>EBITDA/ActivoTotal</f>
        <v>0.04219335751</v>
      </c>
      <c r="BE58" s="12">
        <f>EBITDA/ActivoTotal</f>
        <v>0.04791786694</v>
      </c>
      <c r="BF58" s="12">
        <f>EBITDA/ActivoTotal</f>
        <v>0.06566231945</v>
      </c>
      <c r="BG58" s="12">
        <f>EBITDA/ActivoTotal</f>
        <v>0.05354391138</v>
      </c>
      <c r="BH58" s="12"/>
      <c r="BI58" s="12">
        <f>EBITDA/ActivoTotal</f>
        <v>0.006691628927</v>
      </c>
      <c r="BJ58" s="12">
        <f>EBITDA/ActivoTotal</f>
        <v>-0.04170999098</v>
      </c>
      <c r="BK58" s="12">
        <f>EBITDA/ActivoTotal</f>
        <v>0.04998275326</v>
      </c>
      <c r="BL58" s="12"/>
      <c r="BM58" s="12">
        <f>EBITDA/ActivoTotal</f>
        <v>0.170613315</v>
      </c>
      <c r="BN58" s="12">
        <f>EBITDA/ActivoTotal</f>
        <v>0.2066460928</v>
      </c>
      <c r="BO58" s="12">
        <f>EBITDA/ActivoTotal</f>
        <v>0.2176347818</v>
      </c>
      <c r="BP58" s="12"/>
      <c r="BQ58" s="12">
        <f>EBITDA/ActivoTotal</f>
        <v>0.1730996519</v>
      </c>
      <c r="BR58" s="12">
        <f>EBITDA/ActivoTotal</f>
        <v>0.1057319936</v>
      </c>
      <c r="BS58" s="12"/>
      <c r="BT58" s="12">
        <f>EBITDA/ActivoTotal</f>
        <v>0.08341999339</v>
      </c>
      <c r="BU58" s="12">
        <f>EBITDA/ActivoTotal</f>
        <v>0.1996293289</v>
      </c>
      <c r="BV58" s="12">
        <f>EBITDA/ActivoTotal</f>
        <v>0.2319337092</v>
      </c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</row>
    <row r="59" ht="15.75" customHeight="1">
      <c r="A59" s="7" t="s">
        <v>100</v>
      </c>
      <c r="D59" s="12">
        <f>Patrimonio/PasivoTotal</f>
        <v>0.2810210626</v>
      </c>
      <c r="E59" s="12">
        <f>Patrimonio/PasivoTotal</f>
        <v>0.3707646684</v>
      </c>
      <c r="F59" s="12">
        <f>Patrimonio/PasivoTotal</f>
        <v>0.4665756578</v>
      </c>
      <c r="G59" s="12">
        <f>Patrimonio/PasivoTotal</f>
        <v>0.5425744727</v>
      </c>
      <c r="H59" s="12">
        <f>Patrimonio/PasivoTotal</f>
        <v>0.6152062727</v>
      </c>
      <c r="I59" s="12"/>
      <c r="J59" s="12">
        <f>Patrimonio/PasivoTotal</f>
        <v>0.9494505448</v>
      </c>
      <c r="K59" s="12">
        <f>Patrimonio/PasivoTotal</f>
        <v>0.8960517629</v>
      </c>
      <c r="L59" s="12">
        <f>Patrimonio/PasivoTotal</f>
        <v>0.896428683</v>
      </c>
      <c r="M59" s="12">
        <f>Patrimonio/PasivoTotal</f>
        <v>0.8157782415</v>
      </c>
      <c r="N59" s="12">
        <f>Patrimonio/PasivoTotal</f>
        <v>0.6752578</v>
      </c>
      <c r="O59" s="12"/>
      <c r="P59" s="12">
        <f>Patrimonio/PasivoTotal</f>
        <v>1.682134341</v>
      </c>
      <c r="Q59" s="12">
        <f>Patrimonio/PasivoTotal</f>
        <v>1.357978697</v>
      </c>
      <c r="R59" s="12">
        <f>Patrimonio/PasivoTotal</f>
        <v>1.36146976</v>
      </c>
      <c r="S59" s="12">
        <f>Patrimonio/PasivoTotal</f>
        <v>1.276895807</v>
      </c>
      <c r="T59" s="12">
        <f>Patrimonio/PasivoTotal</f>
        <v>1.029225131</v>
      </c>
      <c r="U59" s="12"/>
      <c r="V59" s="12">
        <f>Patrimonio/PasivoTotal</f>
        <v>0.530078442</v>
      </c>
      <c r="W59" s="12">
        <f>Patrimonio/PasivoTotal</f>
        <v>2.932563128</v>
      </c>
      <c r="X59" s="12">
        <f>Patrimonio/PasivoTotal</f>
        <v>0.7671223471</v>
      </c>
      <c r="Y59" s="12">
        <f>Patrimonio/PasivoTotal</f>
        <v>0.548161095</v>
      </c>
      <c r="Z59" s="12"/>
      <c r="AA59" s="12"/>
      <c r="AB59" s="12">
        <f>Patrimonio/PasivoTotal</f>
        <v>0.8740098286</v>
      </c>
      <c r="AC59" s="12">
        <f>Patrimonio/PasivoTotal</f>
        <v>0.9304993628</v>
      </c>
      <c r="AD59" s="12">
        <f>Patrimonio/PasivoTotal</f>
        <v>1.038608357</v>
      </c>
      <c r="AE59" s="12"/>
      <c r="AF59" s="12"/>
      <c r="AG59" s="12"/>
      <c r="AH59" s="12"/>
      <c r="AI59" s="12"/>
      <c r="AJ59" s="12">
        <f>Patrimonio/PasivoTotal</f>
        <v>0.6666666667</v>
      </c>
      <c r="AK59" s="12">
        <f>Patrimonio/PasivoTotal</f>
        <v>0.267403152</v>
      </c>
      <c r="AL59" s="12"/>
      <c r="AM59" s="12">
        <f>Patrimonio/PasivoTotal</f>
        <v>0.6026616463</v>
      </c>
      <c r="AN59" s="12">
        <f>Patrimonio/PasivoTotal</f>
        <v>0.5624255126</v>
      </c>
      <c r="AO59" s="12">
        <f>Patrimonio/PasivoTotal</f>
        <v>0.5976775961</v>
      </c>
      <c r="AP59" s="12"/>
      <c r="AQ59" s="12">
        <f>Patrimonio/PasivoTotal</f>
        <v>0.8729498748</v>
      </c>
      <c r="AR59" s="12">
        <f>Patrimonio/PasivoTotal</f>
        <v>0.6267762068</v>
      </c>
      <c r="AS59" s="12">
        <f>Patrimonio/PasivoTotal</f>
        <v>0.7182311461</v>
      </c>
      <c r="AT59" s="12"/>
      <c r="AU59" s="12">
        <f>Patrimonio/PasivoTotal</f>
        <v>0.3424515026</v>
      </c>
      <c r="AV59" s="12">
        <f>Patrimonio/PasivoTotal</f>
        <v>0.3851562274</v>
      </c>
      <c r="AW59" s="12">
        <f>Patrimonio/PasivoTotal</f>
        <v>0.3898068874</v>
      </c>
      <c r="AX59" s="12"/>
      <c r="AY59" s="12">
        <f>Patrimonio/PasivoTotal</f>
        <v>1.290462782</v>
      </c>
      <c r="AZ59" s="12">
        <f>Patrimonio/PasivoTotal</f>
        <v>0.4071799803</v>
      </c>
      <c r="BA59" s="12">
        <f>Patrimonio/PasivoTotal</f>
        <v>0.4545263648</v>
      </c>
      <c r="BB59" s="12">
        <f>Patrimonio/PasivoTotal</f>
        <v>0.6223780948</v>
      </c>
      <c r="BC59" s="12"/>
      <c r="BD59" s="12">
        <f>Patrimonio/PasivoTotal</f>
        <v>0.6376215724</v>
      </c>
      <c r="BE59" s="12">
        <f>Patrimonio/PasivoTotal</f>
        <v>0.601507791</v>
      </c>
      <c r="BF59" s="12">
        <f>Patrimonio/PasivoTotal</f>
        <v>0.5446207052</v>
      </c>
      <c r="BG59" s="12">
        <f>Patrimonio/PasivoTotal</f>
        <v>0.3281660046</v>
      </c>
      <c r="BH59" s="12"/>
      <c r="BI59" s="12">
        <f>Patrimonio/PasivoTotal</f>
        <v>0.5054747178</v>
      </c>
      <c r="BJ59" s="12">
        <f>Patrimonio/PasivoTotal</f>
        <v>0.2163037932</v>
      </c>
      <c r="BK59" s="12">
        <f>Patrimonio/PasivoTotal</f>
        <v>0.1751432426</v>
      </c>
      <c r="BL59" s="12"/>
      <c r="BM59" s="12">
        <f>Patrimonio/PasivoTotal</f>
        <v>5.540328287</v>
      </c>
      <c r="BN59" s="12">
        <f>Patrimonio/PasivoTotal</f>
        <v>8.411307675</v>
      </c>
      <c r="BO59" s="12">
        <f>Patrimonio/PasivoTotal</f>
        <v>3.801556209</v>
      </c>
      <c r="BP59" s="12"/>
      <c r="BQ59" s="12">
        <f>Patrimonio/PasivoTotal</f>
        <v>0.2018309566</v>
      </c>
      <c r="BR59" s="12">
        <f>Patrimonio/PasivoTotal</f>
        <v>0.1601920827</v>
      </c>
      <c r="BS59" s="12"/>
      <c r="BT59" s="12">
        <f>Patrimonio/PasivoTotal</f>
        <v>1.469496774</v>
      </c>
      <c r="BU59" s="12">
        <f>Patrimonio/PasivoTotal</f>
        <v>0.3137570297</v>
      </c>
      <c r="BV59" s="12">
        <f>Patrimonio/PasivoTotal</f>
        <v>0.3744827341</v>
      </c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</row>
    <row r="60" ht="15.75" customHeight="1">
      <c r="A60" s="7" t="s">
        <v>101</v>
      </c>
      <c r="D60" s="12">
        <f>Ventas/ActivoTotal</f>
        <v>0.3664731554</v>
      </c>
      <c r="E60" s="12">
        <f>Ventas/ActivoTotal</f>
        <v>0.3703932121</v>
      </c>
      <c r="F60" s="12">
        <f>Ventas/ActivoTotal</f>
        <v>0.4221318231</v>
      </c>
      <c r="G60" s="12">
        <f>Ventas/ActivoTotal</f>
        <v>0.4019760678</v>
      </c>
      <c r="H60" s="12">
        <f>Ventas/ActivoTotal</f>
        <v>0.2363824764</v>
      </c>
      <c r="I60" s="12"/>
      <c r="J60" s="12">
        <f>Ventas/ActivoTotal</f>
        <v>0.3656862722</v>
      </c>
      <c r="K60" s="12">
        <f>Ventas/ActivoTotal</f>
        <v>0.3311686748</v>
      </c>
      <c r="L60" s="12">
        <f>Ventas/ActivoTotal</f>
        <v>0.3246843935</v>
      </c>
      <c r="M60" s="12">
        <f>Ventas/ActivoTotal</f>
        <v>0.3355625784</v>
      </c>
      <c r="N60" s="12">
        <f>Ventas/ActivoTotal</f>
        <v>0.2458583194</v>
      </c>
      <c r="O60" s="12"/>
      <c r="P60" s="12">
        <f>Ventas/ActivoTotal</f>
        <v>0.01988475593</v>
      </c>
      <c r="Q60" s="12">
        <f>Ventas/ActivoTotal</f>
        <v>0.2942120291</v>
      </c>
      <c r="R60" s="12">
        <f>Ventas/ActivoTotal</f>
        <v>0.4295709783</v>
      </c>
      <c r="S60" s="12">
        <f>Ventas/ActivoTotal</f>
        <v>0.4155116086</v>
      </c>
      <c r="T60" s="12">
        <f>Ventas/ActivoTotal</f>
        <v>0.2642164074</v>
      </c>
      <c r="U60" s="12"/>
      <c r="V60" s="12">
        <f>Ventas/ActivoTotal</f>
        <v>0.3283973476</v>
      </c>
      <c r="W60" s="12">
        <f>Ventas/ActivoTotal</f>
        <v>1.335479743</v>
      </c>
      <c r="X60" s="12">
        <f>Ventas/ActivoTotal</f>
        <v>0.9537674931</v>
      </c>
      <c r="Y60" s="12">
        <f>Ventas/ActivoTotal</f>
        <v>0.5803557645</v>
      </c>
      <c r="Z60" s="12"/>
      <c r="AA60" s="12"/>
      <c r="AB60" s="12">
        <f>Ventas/ActivoTotal</f>
        <v>0.4963969998</v>
      </c>
      <c r="AC60" s="12">
        <f>Ventas/ActivoTotal</f>
        <v>0.6641641045</v>
      </c>
      <c r="AD60" s="12">
        <f>Ventas/ActivoTotal</f>
        <v>0.682440297</v>
      </c>
      <c r="AE60" s="12"/>
      <c r="AF60" s="12">
        <f>Ventas/ActivoTotal</f>
        <v>0</v>
      </c>
      <c r="AG60" s="12">
        <f>Ventas/ActivoTotal</f>
        <v>0.004665581758</v>
      </c>
      <c r="AH60" s="12">
        <f>Ventas/ActivoTotal</f>
        <v>0.002273089593</v>
      </c>
      <c r="AI60" s="12"/>
      <c r="AJ60" s="12">
        <f>Ventas/ActivoTotal</f>
        <v>0</v>
      </c>
      <c r="AK60" s="12">
        <f>Ventas/ActivoTotal</f>
        <v>0.4295251132</v>
      </c>
      <c r="AL60" s="12"/>
      <c r="AM60" s="12">
        <f>Ventas/ActivoTotal</f>
        <v>1.114070534</v>
      </c>
      <c r="AN60" s="12">
        <f>Ventas/ActivoTotal</f>
        <v>1.04333642</v>
      </c>
      <c r="AO60" s="12">
        <f>Ventas/ActivoTotal</f>
        <v>0.5577167298</v>
      </c>
      <c r="AP60" s="12"/>
      <c r="AQ60" s="12">
        <f>Ventas/ActivoTotal</f>
        <v>1.334313433</v>
      </c>
      <c r="AR60" s="12">
        <f>Ventas/ActivoTotal</f>
        <v>0.8671850336</v>
      </c>
      <c r="AS60" s="12">
        <f>Ventas/ActivoTotal</f>
        <v>0.2576415005</v>
      </c>
      <c r="AT60" s="12"/>
      <c r="AU60" s="12">
        <f>Ventas/ActivoTotal</f>
        <v>0.2150808048</v>
      </c>
      <c r="AV60" s="12">
        <f>Ventas/ActivoTotal</f>
        <v>0.3363126555</v>
      </c>
      <c r="AW60" s="12">
        <f>Ventas/ActivoTotal</f>
        <v>0.4492304057</v>
      </c>
      <c r="AX60" s="12"/>
      <c r="AY60" s="12">
        <f>Ventas/ActivoTotal</f>
        <v>0.2320838363</v>
      </c>
      <c r="AZ60" s="12">
        <f>Ventas/ActivoTotal</f>
        <v>0.05382332395</v>
      </c>
      <c r="BA60" s="12">
        <f>Ventas/ActivoTotal</f>
        <v>0.1829413753</v>
      </c>
      <c r="BB60" s="12">
        <f>Ventas/ActivoTotal</f>
        <v>0.3381016915</v>
      </c>
      <c r="BC60" s="12"/>
      <c r="BD60" s="12">
        <f>Ventas/ActivoTotal</f>
        <v>0.3590281762</v>
      </c>
      <c r="BE60" s="12">
        <f>Ventas/ActivoTotal</f>
        <v>0.4470173633</v>
      </c>
      <c r="BF60" s="12">
        <f>Ventas/ActivoTotal</f>
        <v>0.4664864821</v>
      </c>
      <c r="BG60" s="12">
        <f>Ventas/ActivoTotal</f>
        <v>0.3977932501</v>
      </c>
      <c r="BH60" s="12"/>
      <c r="BI60" s="12">
        <f>Ventas/ActivoTotal</f>
        <v>2.972781176</v>
      </c>
      <c r="BJ60" s="12">
        <f>Ventas/ActivoTotal</f>
        <v>3.048562211</v>
      </c>
      <c r="BK60" s="12">
        <f>Ventas/ActivoTotal</f>
        <v>2.815561981</v>
      </c>
      <c r="BL60" s="12"/>
      <c r="BM60" s="12">
        <f>Ventas/ActivoTotal</f>
        <v>1.145374429</v>
      </c>
      <c r="BN60" s="12">
        <f>Ventas/ActivoTotal</f>
        <v>1.27159953</v>
      </c>
      <c r="BO60" s="12">
        <f>Ventas/ActivoTotal</f>
        <v>1.071088555</v>
      </c>
      <c r="BP60" s="12"/>
      <c r="BQ60" s="12">
        <f>Ventas/ActivoTotal</f>
        <v>6.917081946</v>
      </c>
      <c r="BR60" s="12">
        <f>Ventas/ActivoTotal</f>
        <v>1.74621008</v>
      </c>
      <c r="BS60" s="12"/>
      <c r="BT60" s="12">
        <f>Ventas/ActivoTotal</f>
        <v>2.053562469</v>
      </c>
      <c r="BU60" s="12">
        <f>Ventas/ActivoTotal</f>
        <v>1.976870621</v>
      </c>
      <c r="BV60" s="12">
        <f>Ventas/ActivoTotal</f>
        <v>1.669661889</v>
      </c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</row>
    <row r="61" ht="15.75" customHeight="1"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</row>
    <row r="62" ht="15.75" customHeight="1">
      <c r="A62" s="7" t="s">
        <v>102</v>
      </c>
      <c r="B62" s="7"/>
      <c r="C62" s="7">
        <v>1.0</v>
      </c>
      <c r="D62" s="15">
        <f>D$56*Altman!$H4+D$57*Altman!$I4+D$58*Altman!$J4+D$59*Altman!$K4+D$60*Altman!$L4</f>
        <v>1.21530298</v>
      </c>
      <c r="E62" s="15">
        <f>E$56*Altman!$H4+E$57*Altman!$I4+E$58*Altman!$J4+E$59*Altman!$K4+E$60*Altman!$L4</f>
        <v>0.8545824122</v>
      </c>
      <c r="F62" s="15">
        <f>F$56*Altman!$H4+F$57*Altman!$I4+F$58*Altman!$J4+F$59*Altman!$K4+F$60*Altman!$L4</f>
        <v>1.208347</v>
      </c>
      <c r="G62" s="15">
        <f>G$56*Altman!$H4+G$57*Altman!$I4+G$58*Altman!$J4+G$59*Altman!$K4+G$60*Altman!$L4</f>
        <v>1.466660868</v>
      </c>
      <c r="H62" s="15">
        <f>H$56*Altman!$H4+H$57*Altman!$I4+H$58*Altman!$J4+H$59*Altman!$K4+H$60*Altman!$L4</f>
        <v>1.113426724</v>
      </c>
      <c r="I62" s="15">
        <f>I$56*Altman!$H4+I$57*Altman!$I4+I$58*Altman!$J4+I$59*Altman!$K4+I$60*Altman!$L4</f>
        <v>0</v>
      </c>
      <c r="J62" s="15">
        <f>J$56*Altman!$H4+J$57*Altman!$I4+J$58*Altman!$J4+J$59*Altman!$K4+J$60*Altman!$L4</f>
        <v>2.022915067</v>
      </c>
      <c r="K62" s="15">
        <f>K$56*Altman!$H4+K$57*Altman!$I4+K$58*Altman!$J4+K$59*Altman!$K4+K$60*Altman!$L4</f>
        <v>1.840276711</v>
      </c>
      <c r="L62" s="15">
        <f>L$56*Altman!$H4+L$57*Altman!$I4+L$58*Altman!$J4+L$59*Altman!$K4+L$60*Altman!$L4</f>
        <v>1.923555918</v>
      </c>
      <c r="M62" s="15">
        <f>M$56*Altman!$H4+M$57*Altman!$I4+M$58*Altman!$J4+M$59*Altman!$K4+M$60*Altman!$L4</f>
        <v>1.80040637</v>
      </c>
      <c r="N62" s="15">
        <f>N$56*Altman!$H4+N$57*Altman!$I4+N$58*Altman!$J4+N$59*Altman!$K4+N$60*Altman!$L4</f>
        <v>1.440359916</v>
      </c>
      <c r="O62" s="15">
        <f>O$56*Altman!$H4+O$57*Altman!$I4+O$58*Altman!$J4+O$59*Altman!$K4+O$60*Altman!$L4</f>
        <v>0</v>
      </c>
      <c r="P62" s="15">
        <f>P$56*Altman!$H4+P$57*Altman!$I4+P$58*Altman!$J4+P$59*Altman!$K4+P$60*Altman!$L4</f>
        <v>1.645990195</v>
      </c>
      <c r="Q62" s="15">
        <f>Q$56*Altman!$H4+Q$57*Altman!$I4+Q$58*Altman!$J4+Q$59*Altman!$K4+Q$60*Altman!$L4</f>
        <v>1.220110364</v>
      </c>
      <c r="R62" s="15">
        <f>R$56*Altman!$H4+R$57*Altman!$I4+R$58*Altman!$J4+R$59*Altman!$K4+R$60*Altman!$L4</f>
        <v>1.408079612</v>
      </c>
      <c r="S62" s="15">
        <f>S$56*Altman!$H4+S$57*Altman!$I4+S$58*Altman!$J4+S$59*Altman!$K4+S$60*Altman!$L4</f>
        <v>1.421452805</v>
      </c>
      <c r="T62" s="15">
        <f>T$56*Altman!$H4+T$57*Altman!$I4+T$58*Altman!$J4+T$59*Altman!$K4+T$60*Altman!$L4</f>
        <v>0.9416355569</v>
      </c>
      <c r="U62" s="15">
        <f>U$56*Altman!$H4+U$57*Altman!$I4+U$58*Altman!$J4+U$59*Altman!$K4+U$60*Altman!$L4</f>
        <v>0</v>
      </c>
      <c r="V62" s="15">
        <f>V$56*Altman!$H4+V$57*Altman!$I4+V$58*Altman!$J4+V$59*Altman!$K4+V$60*Altman!$L4</f>
        <v>0.1940461357</v>
      </c>
      <c r="W62" s="15">
        <f>W$56*Altman!$H4+W$57*Altman!$I4+W$58*Altman!$J4+W$59*Altman!$K4+W$60*Altman!$L4</f>
        <v>3.380313029</v>
      </c>
      <c r="X62" s="15">
        <f>X$56*Altman!$H4+X$57*Altman!$I4+X$58*Altman!$J4+X$59*Altman!$K4+X$60*Altman!$L4</f>
        <v>1.864469629</v>
      </c>
      <c r="Y62" s="15">
        <f>Y$56*Altman!$H4+Y$57*Altman!$I4+Y$58*Altman!$J4+Y$59*Altman!$K4+Y$60*Altman!$L4</f>
        <v>0.9531758565</v>
      </c>
      <c r="Z62" s="15">
        <f>Z$56*Altman!$H4+Z$57*Altman!$I4+Z$58*Altman!$J4+Z$59*Altman!$K4+Z$60*Altman!$L4</f>
        <v>0</v>
      </c>
      <c r="AA62" s="15">
        <f>AA$56*Altman!$H4+AA$57*Altman!$I4+AA$58*Altman!$J4+AA$59*Altman!$K4+AA$60*Altman!$L4</f>
        <v>0</v>
      </c>
      <c r="AB62" s="15">
        <f>AB$56*Altman!$H4+AB$57*Altman!$I4+AB$58*Altman!$J4+AB$59*Altman!$K4+AB$60*Altman!$L4</f>
        <v>1.990630718</v>
      </c>
      <c r="AC62" s="15">
        <f>AC$56*Altman!$H4+AC$57*Altman!$I4+AC$58*Altman!$J4+AC$59*Altman!$K4+AC$60*Altman!$L4</f>
        <v>2.1871804</v>
      </c>
      <c r="AD62" s="15">
        <f>AD$56*Altman!$H4+AD$57*Altman!$I4+AD$58*Altman!$J4+AD$59*Altman!$K4+AD$60*Altman!$L4</f>
        <v>2.490685889</v>
      </c>
      <c r="AE62" s="15">
        <f>AE$56*Altman!$H4+AE$57*Altman!$I4+AE$58*Altman!$J4+AE$59*Altman!$K4+AE$60*Altman!$L4</f>
        <v>0</v>
      </c>
      <c r="AF62" s="15">
        <f>AF$56*Altman!$H4+AF$57*Altman!$I4+AF$58*Altman!$J4+AF$59*Altman!$K4+AF$60*Altman!$L4</f>
        <v>1.161723256</v>
      </c>
      <c r="AG62" s="15">
        <f>AG$56*Altman!$H4+AG$57*Altman!$I4+AG$58*Altman!$J4+AG$59*Altman!$K4+AG$60*Altman!$L4</f>
        <v>1.167833758</v>
      </c>
      <c r="AH62" s="15">
        <f>AH$56*Altman!$H4+AH$57*Altman!$I4+AH$58*Altman!$J4+AH$59*Altman!$K4+AH$60*Altman!$L4</f>
        <v>1.164934512</v>
      </c>
      <c r="AI62" s="15">
        <f>AI$56*Altman!$H4+AI$57*Altman!$I4+AI$58*Altman!$J4+AI$59*Altman!$K4+AI$60*Altman!$L4</f>
        <v>0</v>
      </c>
      <c r="AJ62" s="15">
        <f>AJ$56*Altman!$H4+AJ$57*Altman!$I4+AJ$58*Altman!$J4+AJ$59*Altman!$K4+AJ$60*Altman!$L4</f>
        <v>-111.0328981</v>
      </c>
      <c r="AK62" s="15">
        <f>AK$56*Altman!$H4+AK$57*Altman!$I4+AK$58*Altman!$J4+AK$59*Altman!$K4+AK$60*Altman!$L4</f>
        <v>1.084360606</v>
      </c>
      <c r="AL62" s="15">
        <f>AL$56*Altman!$H4+AL$57*Altman!$I4+AL$58*Altman!$J4+AL$59*Altman!$K4+AL$60*Altman!$L4</f>
        <v>0</v>
      </c>
      <c r="AM62" s="15">
        <f>AM$56*Altman!$H4+AM$57*Altman!$I4+AM$58*Altman!$J4+AM$59*Altman!$K4+AM$60*Altman!$L4</f>
        <v>2.276854519</v>
      </c>
      <c r="AN62" s="15">
        <f>AN$56*Altman!$H4+AN$57*Altman!$I4+AN$58*Altman!$J4+AN$59*Altman!$K4+AN$60*Altman!$L4</f>
        <v>2.320122291</v>
      </c>
      <c r="AO62" s="15">
        <f>AO$56*Altman!$H4+AO$57*Altman!$I4+AO$58*Altman!$J4+AO$59*Altman!$K4+AO$60*Altman!$L4</f>
        <v>1.575493427</v>
      </c>
      <c r="AP62" s="15">
        <f>AP$56*Altman!$H4+AP$57*Altman!$I4+AP$58*Altman!$J4+AP$59*Altman!$K4+AP$60*Altman!$L4</f>
        <v>0</v>
      </c>
      <c r="AQ62" s="15">
        <f>AQ$56*Altman!$H4+AQ$57*Altman!$I4+AQ$58*Altman!$J4+AQ$59*Altman!$K4+AQ$60*Altman!$L4</f>
        <v>3.741366354</v>
      </c>
      <c r="AR62" s="15">
        <f>AR$56*Altman!$H4+AR$57*Altman!$I4+AR$58*Altman!$J4+AR$59*Altman!$K4+AR$60*Altman!$L4</f>
        <v>2.931716956</v>
      </c>
      <c r="AS62" s="15">
        <f>AS$56*Altman!$H4+AS$57*Altman!$I4+AS$58*Altman!$J4+AS$59*Altman!$K4+AS$60*Altman!$L4</f>
        <v>2.236257916</v>
      </c>
      <c r="AT62" s="15">
        <f>AT$56*Altman!$H4+AT$57*Altman!$I4+AT$58*Altman!$J4+AT$59*Altman!$K4+AT$60*Altman!$L4</f>
        <v>0</v>
      </c>
      <c r="AU62" s="15">
        <f>AU$56*Altman!$H4+AU$57*Altman!$I4+AU$58*Altman!$J4+AU$59*Altman!$K4+AU$60*Altman!$L4</f>
        <v>1.713382506</v>
      </c>
      <c r="AV62" s="15">
        <f>AV$56*Altman!$H4+AV$57*Altman!$I4+AV$58*Altman!$J4+AV$59*Altman!$K4+AV$60*Altman!$L4</f>
        <v>1.898233189</v>
      </c>
      <c r="AW62" s="15">
        <f>AW$56*Altman!$H4+AW$57*Altman!$I4+AW$58*Altman!$J4+AW$59*Altman!$K4+AW$60*Altman!$L4</f>
        <v>2.04333598</v>
      </c>
      <c r="AX62" s="15">
        <f>AX$56*Altman!$H4+AX$57*Altman!$I4+AX$58*Altman!$J4+AX$59*Altman!$K4+AX$60*Altman!$L4</f>
        <v>0</v>
      </c>
      <c r="AY62" s="15">
        <f>AY$56*Altman!$H4+AY$57*Altman!$I4+AY$58*Altman!$J4+AY$59*Altman!$K4+AY$60*Altman!$L4</f>
        <v>2.078997293</v>
      </c>
      <c r="AZ62" s="15">
        <f>AZ$56*Altman!$H4+AZ$57*Altman!$I4+AZ$58*Altman!$J4+AZ$59*Altman!$K4+AZ$60*Altman!$L4</f>
        <v>1.342254674</v>
      </c>
      <c r="BA62" s="15">
        <f>BA$56*Altman!$H4+BA$57*Altman!$I4+BA$58*Altman!$J4+BA$59*Altman!$K4+BA$60*Altman!$L4</f>
        <v>1.486724722</v>
      </c>
      <c r="BB62" s="15">
        <f>BB$56*Altman!$H4+BB$57*Altman!$I4+BB$58*Altman!$J4+BB$59*Altman!$K4+BB$60*Altman!$L4</f>
        <v>1.878321506</v>
      </c>
      <c r="BC62" s="15">
        <f>BC$56*Altman!$H4+BC$57*Altman!$I4+BC$58*Altman!$J4+BC$59*Altman!$K4+BC$60*Altman!$L4</f>
        <v>0</v>
      </c>
      <c r="BD62" s="15">
        <f>BD$56*Altman!$H4+BD$57*Altman!$I4+BD$58*Altman!$J4+BD$59*Altman!$K4+BD$60*Altman!$L4</f>
        <v>1.280834298</v>
      </c>
      <c r="BE62" s="15">
        <f>BE$56*Altman!$H4+BE$57*Altman!$I4+BE$58*Altman!$J4+BE$59*Altman!$K4+BE$60*Altman!$L4</f>
        <v>1.393018341</v>
      </c>
      <c r="BF62" s="15">
        <f>BF$56*Altman!$H4+BF$57*Altman!$I4+BF$58*Altman!$J4+BF$59*Altman!$K4+BF$60*Altman!$L4</f>
        <v>1.46024737</v>
      </c>
      <c r="BG62" s="15">
        <f>BG$56*Altman!$H4+BG$57*Altman!$I4+BG$58*Altman!$J4+BG$59*Altman!$K4+BG$60*Altman!$L4</f>
        <v>1.089478353</v>
      </c>
      <c r="BH62" s="15">
        <f>BH$56*Altman!$H4+BH$57*Altman!$I4+BH$58*Altman!$J4+BH$59*Altman!$K4+BH$60*Altman!$L4</f>
        <v>0</v>
      </c>
      <c r="BI62" s="15">
        <f>BI$56*Altman!$H4+BI$57*Altman!$I4+BI$58*Altman!$J4+BI$59*Altman!$K4+BI$60*Altman!$L4</f>
        <v>2.578172459</v>
      </c>
      <c r="BJ62" s="15">
        <f>BJ$56*Altman!$H4+BJ$57*Altman!$I4+BJ$58*Altman!$J4+BJ$59*Altman!$K4+BJ$60*Altman!$L4</f>
        <v>2.303517064</v>
      </c>
      <c r="BK62" s="15">
        <f>BK$56*Altman!$H4+BK$57*Altman!$I4+BK$58*Altman!$J4+BK$59*Altman!$K4+BK$60*Altman!$L4</f>
        <v>3.257358607</v>
      </c>
      <c r="BL62" s="15">
        <f>BL$56*Altman!$H4+BL$57*Altman!$I4+BL$58*Altman!$J4+BL$59*Altman!$K4+BL$60*Altman!$L4</f>
        <v>0</v>
      </c>
      <c r="BM62" s="15">
        <f>BM$56*Altman!$H4+BM$57*Altman!$I4+BM$58*Altman!$J4+BM$59*Altman!$K4+BM$60*Altman!$L4</f>
        <v>6.638536252</v>
      </c>
      <c r="BN62" s="15">
        <f>BN$56*Altman!$H4+BN$57*Altman!$I4+BN$58*Altman!$J4+BN$59*Altman!$K4+BN$60*Altman!$L4</f>
        <v>8.72278867</v>
      </c>
      <c r="BO62" s="15">
        <f>BO$56*Altman!$H4+BO$57*Altman!$I4+BO$58*Altman!$J4+BO$59*Altman!$K4+BO$60*Altman!$L4</f>
        <v>5.711186925</v>
      </c>
      <c r="BP62" s="15">
        <f>BP$56*Altman!$H4+BP$57*Altman!$I4+BP$58*Altman!$J4+BP$59*Altman!$K4+BP$60*Altman!$L4</f>
        <v>0</v>
      </c>
      <c r="BQ62" s="15">
        <f>BQ$56*Altman!$H4+BQ$57*Altman!$I4+BQ$58*Altman!$J4+BQ$59*Altman!$K4+BQ$60*Altman!$L4</f>
        <v>8.019282094</v>
      </c>
      <c r="BR62" s="15">
        <f>BR$56*Altman!$H4+BR$57*Altman!$I4+BR$58*Altman!$J4+BR$59*Altman!$K4+BR$60*Altman!$L4</f>
        <v>3.353173508</v>
      </c>
      <c r="BS62" s="15">
        <f>BS$56*Altman!$H4+BS$57*Altman!$I4+BS$58*Altman!$J4+BS$59*Altman!$K4+BS$60*Altman!$L4</f>
        <v>0</v>
      </c>
      <c r="BT62" s="15">
        <f>BT$56*Altman!$H4+BT$57*Altman!$I4+BT$58*Altman!$J4+BT$59*Altman!$K4+BT$60*Altman!$L4</f>
        <v>4.733465332</v>
      </c>
      <c r="BU62" s="15">
        <f>BU$56*Altman!$H4+BU$57*Altman!$I4+BU$58*Altman!$J4+BU$59*Altman!$K4+BU$60*Altman!$L4</f>
        <v>3.43534782</v>
      </c>
      <c r="BV62" s="15">
        <f>BV$56*Altman!$H4+BV$57*Altman!$I4+BV$58*Altman!$J4+BV$59*Altman!$K4+BV$60*Altman!$L4</f>
        <v>4.009523212</v>
      </c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</row>
    <row r="63" ht="15.75" customHeight="1">
      <c r="A63" s="7" t="s">
        <v>103</v>
      </c>
      <c r="B63" s="7"/>
      <c r="C63" s="7">
        <v>2.0</v>
      </c>
      <c r="D63" s="15">
        <f>D$56*Altman!$H5+D$57*Altman!$I5+D$58*Altman!$J5+D$59*Altman!$K5+D$60*Altman!$L5</f>
        <v>1.143178887</v>
      </c>
      <c r="E63" s="15">
        <f>E$56*Altman!$H5+E$57*Altman!$I5+E$58*Altman!$J5+E$59*Altman!$K5+E$60*Altman!$L5</f>
        <v>0.7362051687</v>
      </c>
      <c r="F63" s="15">
        <f>F$56*Altman!$H5+F$57*Altman!$I5+F$58*Altman!$J5+F$59*Altman!$K5+F$60*Altman!$L5</f>
        <v>1.007285486</v>
      </c>
      <c r="G63" s="15">
        <f>G$56*Altman!$H5+G$57*Altman!$I5+G$58*Altman!$J5+G$59*Altman!$K5+G$60*Altman!$L5</f>
        <v>1.160998394</v>
      </c>
      <c r="H63" s="15">
        <f>H$56*Altman!$H5+H$57*Altman!$I5+H$58*Altman!$J5+H$59*Altman!$K5+H$60*Altman!$L5</f>
        <v>0.8439048972</v>
      </c>
      <c r="I63" s="15">
        <f>I$56*Altman!$H5+I$57*Altman!$I5+I$58*Altman!$J5+I$59*Altman!$K5+I$60*Altman!$L5</f>
        <v>0</v>
      </c>
      <c r="J63" s="15">
        <f>J$56*Altman!$H5+J$57*Altman!$I5+J$58*Altman!$J5+J$59*Altman!$K5+J$60*Altman!$L5</f>
        <v>1.485203143</v>
      </c>
      <c r="K63" s="15">
        <f>K$56*Altman!$H5+K$57*Altman!$I5+K$58*Altman!$J5+K$59*Altman!$K5+K$60*Altman!$L5</f>
        <v>1.346818507</v>
      </c>
      <c r="L63" s="15">
        <f>L$56*Altman!$H5+L$57*Altman!$I5+L$58*Altman!$J5+L$59*Altman!$K5+L$60*Altman!$L5</f>
        <v>1.378526565</v>
      </c>
      <c r="M63" s="15">
        <f>M$56*Altman!$H5+M$57*Altman!$I5+M$58*Altman!$J5+M$59*Altman!$K5+M$60*Altman!$L5</f>
        <v>1.292712979</v>
      </c>
      <c r="N63" s="15">
        <f>N$56*Altman!$H5+N$57*Altman!$I5+N$58*Altman!$J5+N$59*Altman!$K5+N$60*Altman!$L5</f>
        <v>1.042792555</v>
      </c>
      <c r="O63" s="15">
        <f>O$56*Altman!$H5+O$57*Altman!$I5+O$58*Altman!$J5+O$59*Altman!$K5+O$60*Altman!$L5</f>
        <v>0</v>
      </c>
      <c r="P63" s="15">
        <f>P$56*Altman!$H5+P$57*Altman!$I5+P$58*Altman!$J5+P$59*Altman!$K5+P$60*Altman!$L5</f>
        <v>1.081783268</v>
      </c>
      <c r="Q63" s="15">
        <f>Q$56*Altman!$H5+Q$57*Altman!$I5+Q$58*Altman!$J5+Q$59*Altman!$K5+Q$60*Altman!$L5</f>
        <v>0.9588378587</v>
      </c>
      <c r="R63" s="15">
        <f>R$56*Altman!$H5+R$57*Altman!$I5+R$58*Altman!$J5+R$59*Altman!$K5+R$60*Altman!$L5</f>
        <v>1.125264376</v>
      </c>
      <c r="S63" s="15">
        <f>S$56*Altman!$H5+S$57*Altman!$I5+S$58*Altman!$J5+S$59*Altman!$K5+S$60*Altman!$L5</f>
        <v>1.132379594</v>
      </c>
      <c r="T63" s="15">
        <f>T$56*Altman!$H5+T$57*Altman!$I5+T$58*Altman!$J5+T$59*Altman!$K5+T$60*Altman!$L5</f>
        <v>0.7555175984</v>
      </c>
      <c r="U63" s="15">
        <f>U$56*Altman!$H5+U$57*Altman!$I5+U$58*Altman!$J5+U$59*Altman!$K5+U$60*Altman!$L5</f>
        <v>0</v>
      </c>
      <c r="V63" s="15">
        <f>V$56*Altman!$H5+V$57*Altman!$I5+V$58*Altman!$J5+V$59*Altman!$K5+V$60*Altman!$L5</f>
        <v>0.2794324395</v>
      </c>
      <c r="W63" s="15">
        <f>W$56*Altman!$H5+W$57*Altman!$I5+W$58*Altman!$J5+W$59*Altman!$K5+W$60*Altman!$L5</f>
        <v>2.612160842</v>
      </c>
      <c r="X63" s="15">
        <f>X$56*Altman!$H5+X$57*Altman!$I5+X$58*Altman!$J5+X$59*Altman!$K5+X$60*Altman!$L5</f>
        <v>1.566978855</v>
      </c>
      <c r="Y63" s="15">
        <f>Y$56*Altman!$H5+Y$57*Altman!$I5+Y$58*Altman!$J5+Y$59*Altman!$K5+Y$60*Altman!$L5</f>
        <v>0.8571397962</v>
      </c>
      <c r="Z63" s="15">
        <f>Z$56*Altman!$H5+Z$57*Altman!$I5+Z$58*Altman!$J5+Z$59*Altman!$K5+Z$60*Altman!$L5</f>
        <v>0</v>
      </c>
      <c r="AA63" s="15">
        <f>AA$56*Altman!$H5+AA$57*Altman!$I5+AA$58*Altman!$J5+AA$59*Altman!$K5+AA$60*Altman!$L5</f>
        <v>0</v>
      </c>
      <c r="AB63" s="15">
        <f>AB$56*Altman!$H5+AB$57*Altman!$I5+AB$58*Altman!$J5+AB$59*Altman!$K5+AB$60*Altman!$L5</f>
        <v>1.502059987</v>
      </c>
      <c r="AC63" s="15">
        <f>AC$56*Altman!$H5+AC$57*Altman!$I5+AC$58*Altman!$J5+AC$59*Altman!$K5+AC$60*Altman!$L5</f>
        <v>1.717651563</v>
      </c>
      <c r="AD63" s="15">
        <f>AD$56*Altman!$H5+AD$57*Altman!$I5+AD$58*Altman!$J5+AD$59*Altman!$K5+AD$60*Altman!$L5</f>
        <v>1.948466183</v>
      </c>
      <c r="AE63" s="15">
        <f>AE$56*Altman!$H5+AE$57*Altman!$I5+AE$58*Altman!$J5+AE$59*Altman!$K5+AE$60*Altman!$L5</f>
        <v>0</v>
      </c>
      <c r="AF63" s="15">
        <f>AF$56*Altman!$H5+AF$57*Altman!$I5+AF$58*Altman!$J5+AF$59*Altman!$K5+AF$60*Altman!$L5</f>
        <v>0.6947890015</v>
      </c>
      <c r="AG63" s="15">
        <f>AG$56*Altman!$H5+AG$57*Altman!$I5+AG$58*Altman!$J5+AG$59*Altman!$K5+AG$60*Altman!$L5</f>
        <v>0.7006775673</v>
      </c>
      <c r="AH63" s="15">
        <f>AH$56*Altman!$H5+AH$57*Altman!$I5+AH$58*Altman!$J5+AH$59*Altman!$K5+AH$60*Altman!$L5</f>
        <v>0.6977571058</v>
      </c>
      <c r="AI63" s="15">
        <f>AI$56*Altman!$H5+AI$57*Altman!$I5+AI$58*Altman!$J5+AI$59*Altman!$K5+AI$60*Altman!$L5</f>
        <v>0</v>
      </c>
      <c r="AJ63" s="15">
        <f>AJ$56*Altman!$H5+AJ$57*Altman!$I5+AJ$58*Altman!$J5+AJ$59*Altman!$K5+AJ$60*Altman!$L5</f>
        <v>-104.5531983</v>
      </c>
      <c r="AK63" s="15">
        <f>AK$56*Altman!$H5+AK$57*Altman!$I5+AK$58*Altman!$J5+AK$59*Altman!$K5+AK$60*Altman!$L5</f>
        <v>0.9135907005</v>
      </c>
      <c r="AL63" s="15">
        <f>AL$56*Altman!$H5+AL$57*Altman!$I5+AL$58*Altman!$J5+AL$59*Altman!$K5+AL$60*Altman!$L5</f>
        <v>0</v>
      </c>
      <c r="AM63" s="15">
        <f>AM$56*Altman!$H5+AM$57*Altman!$I5+AM$58*Altman!$J5+AM$59*Altman!$K5+AM$60*Altman!$L5</f>
        <v>1.967834654</v>
      </c>
      <c r="AN63" s="15">
        <f>AN$56*Altman!$H5+AN$57*Altman!$I5+AN$58*Altman!$J5+AN$59*Altman!$K5+AN$60*Altman!$L5</f>
        <v>1.963302428</v>
      </c>
      <c r="AO63" s="15">
        <f>AO$56*Altman!$H5+AO$57*Altman!$I5+AO$58*Altman!$J5+AO$59*Altman!$K5+AO$60*Altman!$L5</f>
        <v>1.25633431</v>
      </c>
      <c r="AP63" s="15">
        <f>AP$56*Altman!$H5+AP$57*Altman!$I5+AP$58*Altman!$J5+AP$59*Altman!$K5+AP$60*Altman!$L5</f>
        <v>0</v>
      </c>
      <c r="AQ63" s="15">
        <f>AQ$56*Altman!$H5+AQ$57*Altman!$I5+AQ$58*Altman!$J5+AQ$59*Altman!$K5+AQ$60*Altman!$L5</f>
        <v>3.025743247</v>
      </c>
      <c r="AR63" s="15">
        <f>AR$56*Altman!$H5+AR$57*Altman!$I5+AR$58*Altman!$J5+AR$59*Altman!$K5+AR$60*Altman!$L5</f>
        <v>2.256565249</v>
      </c>
      <c r="AS63" s="15">
        <f>AS$56*Altman!$H5+AS$57*Altman!$I5+AS$58*Altman!$J5+AS$59*Altman!$K5+AS$60*Altman!$L5</f>
        <v>1.52172822</v>
      </c>
      <c r="AT63" s="15">
        <f>AT$56*Altman!$H5+AT$57*Altman!$I5+AT$58*Altman!$J5+AT$59*Altman!$K5+AT$60*Altman!$L5</f>
        <v>0</v>
      </c>
      <c r="AU63" s="15">
        <f>AU$56*Altman!$H5+AU$57*Altman!$I5+AU$58*Altman!$J5+AU$59*Altman!$K5+AU$60*Altman!$L5</f>
        <v>1.231386807</v>
      </c>
      <c r="AV63" s="15">
        <f>AV$56*Altman!$H5+AV$57*Altman!$I5+AV$58*Altman!$J5+AV$59*Altman!$K5+AV$60*Altman!$L5</f>
        <v>1.428362744</v>
      </c>
      <c r="AW63" s="15">
        <f>AW$56*Altman!$H5+AW$57*Altman!$I5+AW$58*Altman!$J5+AW$59*Altman!$K5+AW$60*Altman!$L5</f>
        <v>1.5896036</v>
      </c>
      <c r="AX63" s="15">
        <f>AX$56*Altman!$H5+AX$57*Altman!$I5+AX$58*Altman!$J5+AX$59*Altman!$K5+AX$60*Altman!$L5</f>
        <v>0</v>
      </c>
      <c r="AY63" s="15">
        <f>AY$56*Altman!$H5+AY$57*Altman!$I5+AY$58*Altman!$J5+AY$59*Altman!$K5+AY$60*Altman!$L5</f>
        <v>1.431540471</v>
      </c>
      <c r="AZ63" s="15">
        <f>AZ$56*Altman!$H5+AZ$57*Altman!$I5+AZ$58*Altman!$J5+AZ$59*Altman!$K5+AZ$60*Altman!$L5</f>
        <v>0.8781145358</v>
      </c>
      <c r="BA63" s="15">
        <f>BA$56*Altman!$H5+BA$57*Altman!$I5+BA$58*Altman!$J5+BA$59*Altman!$K5+BA$60*Altman!$L5</f>
        <v>1.052302879</v>
      </c>
      <c r="BB63" s="15">
        <f>BB$56*Altman!$H5+BB$57*Altman!$I5+BB$58*Altman!$J5+BB$59*Altman!$K5+BB$60*Altman!$L5</f>
        <v>1.380915719</v>
      </c>
      <c r="BC63" s="15">
        <f>BC$56*Altman!$H5+BC$57*Altman!$I5+BC$58*Altman!$J5+BC$59*Altman!$K5+BC$60*Altman!$L5</f>
        <v>0</v>
      </c>
      <c r="BD63" s="15">
        <f>BD$56*Altman!$H5+BD$57*Altman!$I5+BD$58*Altman!$J5+BD$59*Altman!$K5+BD$60*Altman!$L5</f>
        <v>0.9960136182</v>
      </c>
      <c r="BE63" s="15">
        <f>BE$56*Altman!$H5+BE$57*Altman!$I5+BE$58*Altman!$J5+BE$59*Altman!$K5+BE$60*Altman!$L5</f>
        <v>1.102618735</v>
      </c>
      <c r="BF63" s="15">
        <f>BF$56*Altman!$H5+BF$57*Altman!$I5+BF$58*Altman!$J5+BF$59*Altman!$K5+BF$60*Altman!$L5</f>
        <v>1.167510561</v>
      </c>
      <c r="BG63" s="15">
        <f>BG$56*Altman!$H5+BG$57*Altman!$I5+BG$58*Altman!$J5+BG$59*Altman!$K5+BG$60*Altman!$L5</f>
        <v>0.891382809</v>
      </c>
      <c r="BH63" s="15">
        <f>BH$56*Altman!$H5+BH$57*Altman!$I5+BH$58*Altman!$J5+BH$59*Altman!$K5+BH$60*Altman!$L5</f>
        <v>0</v>
      </c>
      <c r="BI63" s="15">
        <f>BI$56*Altman!$H5+BI$57*Altman!$I5+BI$58*Altman!$J5+BI$59*Altman!$K5+BI$60*Altman!$L5</f>
        <v>2.761418541</v>
      </c>
      <c r="BJ63" s="15">
        <f>BJ$56*Altman!$H5+BJ$57*Altman!$I5+BJ$58*Altman!$J5+BJ$59*Altman!$K5+BJ$60*Altman!$L5</f>
        <v>2.556314153</v>
      </c>
      <c r="BK63" s="15">
        <f>BK$56*Altman!$H5+BK$57*Altman!$I5+BK$58*Altman!$J5+BK$59*Altman!$K5+BK$60*Altman!$L5</f>
        <v>3.141668252</v>
      </c>
      <c r="BL63" s="15">
        <f>BL$56*Altman!$H5+BL$57*Altman!$I5+BL$58*Altman!$J5+BL$59*Altman!$K5+BL$60*Altman!$L5</f>
        <v>0</v>
      </c>
      <c r="BM63" s="15">
        <f>BM$56*Altman!$H5+BM$57*Altman!$I5+BM$58*Altman!$J5+BM$59*Altman!$K5+BM$60*Altman!$L5</f>
        <v>4.965588324</v>
      </c>
      <c r="BN63" s="15">
        <f>BN$56*Altman!$H5+BN$57*Altman!$I5+BN$58*Altman!$J5+BN$59*Altman!$K5+BN$60*Altman!$L5</f>
        <v>6.479641539</v>
      </c>
      <c r="BO63" s="15">
        <f>BO$56*Altman!$H5+BO$57*Altman!$I5+BO$58*Altman!$J5+BO$59*Altman!$K5+BO$60*Altman!$L5</f>
        <v>4.328535346</v>
      </c>
      <c r="BP63" s="15">
        <f>BP$56*Altman!$H5+BP$57*Altman!$I5+BP$58*Altman!$J5+BP$59*Altman!$K5+BP$60*Altman!$L5</f>
        <v>0</v>
      </c>
      <c r="BQ63" s="15">
        <f>BQ$56*Altman!$H5+BQ$57*Altman!$I5+BQ$58*Altman!$J5+BQ$59*Altman!$K5+BQ$60*Altman!$L5</f>
        <v>7.772371948</v>
      </c>
      <c r="BR63" s="15">
        <f>BR$56*Altman!$H5+BR$57*Altman!$I5+BR$58*Altman!$J5+BR$59*Altman!$K5+BR$60*Altman!$L5</f>
        <v>2.834191811</v>
      </c>
      <c r="BS63" s="15">
        <f>BS$56*Altman!$H5+BS$57*Altman!$I5+BS$58*Altman!$J5+BS$59*Altman!$K5+BS$60*Altman!$L5</f>
        <v>0</v>
      </c>
      <c r="BT63" s="15">
        <f>BT$56*Altman!$H5+BT$57*Altman!$I5+BT$58*Altman!$J5+BT$59*Altman!$K5+BT$60*Altman!$L5</f>
        <v>3.841897786</v>
      </c>
      <c r="BU63" s="15">
        <f>BU$56*Altman!$H5+BU$57*Altman!$I5+BU$58*Altman!$J5+BU$59*Altman!$K5+BU$60*Altman!$L5</f>
        <v>3.092678231</v>
      </c>
      <c r="BV63" s="15">
        <f>BV$56*Altman!$H5+BV$57*Altman!$I5+BV$58*Altman!$J5+BV$59*Altman!$K5+BV$60*Altman!$L5</f>
        <v>3.353484428</v>
      </c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</row>
    <row r="64" ht="15.75" customHeight="1">
      <c r="A64" s="7" t="s">
        <v>104</v>
      </c>
      <c r="B64" s="7"/>
      <c r="C64" s="7">
        <v>3.0</v>
      </c>
      <c r="D64" s="15">
        <f>D$56*Altman!$H6+D$57*Altman!$I6+D$58*Altman!$J6+D$59*Altman!$K6+D$60*Altman!$L6</f>
        <v>0.5502354513</v>
      </c>
      <c r="E64" s="15">
        <f>E$56*Altman!$H6+E$57*Altman!$I6+E$58*Altman!$J6+E$59*Altman!$K6+E$60*Altman!$L6</f>
        <v>0.1172008081</v>
      </c>
      <c r="F64" s="15">
        <f>F$56*Altman!$H6+F$57*Altman!$I6+F$58*Altman!$J6+F$59*Altman!$K6+F$60*Altman!$L6</f>
        <v>1.0202474</v>
      </c>
      <c r="G64" s="15">
        <f>G$56*Altman!$H6+G$57*Altman!$I6+G$58*Altman!$J6+G$59*Altman!$K6+G$60*Altman!$L6</f>
        <v>2.201389496</v>
      </c>
      <c r="H64" s="15">
        <f>H$56*Altman!$H6+H$57*Altman!$I6+H$58*Altman!$J6+H$59*Altman!$K6+H$60*Altman!$L6</f>
        <v>1.329194677</v>
      </c>
      <c r="I64" s="15">
        <f>I$56*Altman!$H6+I$57*Altman!$I6+I$58*Altman!$J6+I$59*Altman!$K6+I$60*Altman!$L6</f>
        <v>0</v>
      </c>
      <c r="J64" s="15">
        <f>J$56*Altman!$H6+J$57*Altman!$I6+J$58*Altman!$J6+J$59*Altman!$K6+J$60*Altman!$L6</f>
        <v>4.804835509</v>
      </c>
      <c r="K64" s="15">
        <f>K$56*Altman!$H6+K$57*Altman!$I6+K$58*Altman!$J6+K$59*Altman!$K6+K$60*Altman!$L6</f>
        <v>4.253855989</v>
      </c>
      <c r="L64" s="15">
        <f>L$56*Altman!$H6+L$57*Altman!$I6+L$58*Altman!$J6+L$59*Altman!$K6+L$60*Altman!$L6</f>
        <v>4.812345677</v>
      </c>
      <c r="M64" s="15">
        <f>M$56*Altman!$H6+M$57*Altman!$I6+M$58*Altman!$J6+M$59*Altman!$K6+M$60*Altman!$L6</f>
        <v>4.518941714</v>
      </c>
      <c r="N64" s="15">
        <f>N$56*Altman!$H6+N$57*Altman!$I6+N$58*Altman!$J6+N$59*Altman!$K6+N$60*Altman!$L6</f>
        <v>3.370696848</v>
      </c>
      <c r="O64" s="15">
        <f>O$56*Altman!$H6+O$57*Altman!$I6+O$58*Altman!$J6+O$59*Altman!$K6+O$60*Altman!$L6</f>
        <v>0</v>
      </c>
      <c r="P64" s="15">
        <f>P$56*Altman!$H6+P$57*Altman!$I6+P$58*Altman!$J6+P$59*Altman!$K6+P$60*Altman!$L6</f>
        <v>5.325112183</v>
      </c>
      <c r="Q64" s="15">
        <f>Q$56*Altman!$H6+Q$57*Altman!$I6+Q$58*Altman!$J6+Q$59*Altman!$K6+Q$60*Altman!$L6</f>
        <v>1.782246336</v>
      </c>
      <c r="R64" s="15">
        <f>R$56*Altman!$H6+R$57*Altman!$I6+R$58*Altman!$J6+R$59*Altman!$K6+R$60*Altman!$L6</f>
        <v>2.025882791</v>
      </c>
      <c r="S64" s="15">
        <f>S$56*Altman!$H6+S$57*Altman!$I6+S$58*Altman!$J6+S$59*Altman!$K6+S$60*Altman!$L6</f>
        <v>2.129344349</v>
      </c>
      <c r="T64" s="15">
        <f>T$56*Altman!$H6+T$57*Altman!$I6+T$58*Altman!$J6+T$59*Altman!$K6+T$60*Altman!$L6</f>
        <v>1.238844968</v>
      </c>
      <c r="U64" s="15">
        <f>U$56*Altman!$H6+U$57*Altman!$I6+U$58*Altman!$J6+U$59*Altman!$K6+U$60*Altman!$L6</f>
        <v>0</v>
      </c>
      <c r="V64" s="15">
        <f>V$56*Altman!$H6+V$57*Altman!$I6+V$58*Altman!$J6+V$59*Altman!$K6+V$60*Altman!$L6</f>
        <v>-1.916315205</v>
      </c>
      <c r="W64" s="15">
        <f>W$56*Altman!$H6+W$57*Altman!$I6+W$58*Altman!$J6+W$59*Altman!$K6+W$60*Altman!$L6</f>
        <v>6.307903323</v>
      </c>
      <c r="X64" s="15">
        <f>X$56*Altman!$H6+X$57*Altman!$I6+X$58*Altman!$J6+X$59*Altman!$K6+X$60*Altman!$L6</f>
        <v>3.216829066</v>
      </c>
      <c r="Y64" s="15">
        <f>Y$56*Altman!$H6+Y$57*Altman!$I6+Y$58*Altman!$J6+Y$59*Altman!$K6+Y$60*Altman!$L6</f>
        <v>0.6636472932</v>
      </c>
      <c r="Z64" s="15">
        <f>Z$56*Altman!$H6+Z$57*Altman!$I6+Z$58*Altman!$J6+Z$59*Altman!$K6+Z$60*Altman!$L6</f>
        <v>0</v>
      </c>
      <c r="AA64" s="15">
        <f>AA$56*Altman!$H6+AA$57*Altman!$I6+AA$58*Altman!$J6+AA$59*Altman!$K6+AA$60*Altman!$L6</f>
        <v>0</v>
      </c>
      <c r="AB64" s="15">
        <f>AB$56*Altman!$H6+AB$57*Altman!$I6+AB$58*Altman!$J6+AB$59*Altman!$K6+AB$60*Altman!$L6</f>
        <v>4.736312114</v>
      </c>
      <c r="AC64" s="15">
        <f>AC$56*Altman!$H6+AC$57*Altman!$I6+AC$58*Altman!$J6+AC$59*Altman!$K6+AC$60*Altman!$L6</f>
        <v>4.436482251</v>
      </c>
      <c r="AD64" s="15">
        <f>AD$56*Altman!$H6+AD$57*Altman!$I6+AD$58*Altman!$J6+AD$59*Altman!$K6+AD$60*Altman!$L6</f>
        <v>5.594433365</v>
      </c>
      <c r="AE64" s="15">
        <f>AE$56*Altman!$H6+AE$57*Altman!$I6+AE$58*Altman!$J6+AE$59*Altman!$K6+AE$60*Altman!$L6</f>
        <v>0</v>
      </c>
      <c r="AF64" s="15">
        <f>AF$56*Altman!$H6+AF$57*Altman!$I6+AF$58*Altman!$J6+AF$59*Altman!$K6+AF$60*Altman!$L6</f>
        <v>6.067696208</v>
      </c>
      <c r="AG64" s="15">
        <f>AG$56*Altman!$H6+AG$57*Altman!$I6+AG$58*Altman!$J6+AG$59*Altman!$K6+AG$60*Altman!$L6</f>
        <v>6.070282104</v>
      </c>
      <c r="AH64" s="15">
        <f>AH$56*Altman!$H6+AH$57*Altman!$I6+AH$58*Altman!$J6+AH$59*Altman!$K6+AH$60*Altman!$L6</f>
        <v>6.069338633</v>
      </c>
      <c r="AI64" s="15">
        <f>AI$56*Altman!$H6+AI$57*Altman!$I6+AI$58*Altman!$J6+AI$59*Altman!$K6+AI$60*Altman!$L6</f>
        <v>0</v>
      </c>
      <c r="AJ64" s="15">
        <f>AJ$56*Altman!$H6+AJ$57*Altman!$I6+AJ$58*Altman!$J6+AJ$59*Altman!$K6+AJ$60*Altman!$L6</f>
        <v>-227.0411743</v>
      </c>
      <c r="AK64" s="15">
        <f>AK$56*Altman!$H6+AK$57*Altman!$I6+AK$58*Altman!$J6+AK$59*Altman!$K6+AK$60*Altman!$L6</f>
        <v>2.13277598</v>
      </c>
      <c r="AL64" s="15">
        <f>AL$56*Altman!$H6+AL$57*Altman!$I6+AL$58*Altman!$J6+AL$59*Altman!$K6+AL$60*Altman!$L6</f>
        <v>0</v>
      </c>
      <c r="AM64" s="15">
        <f>AM$56*Altman!$H6+AM$57*Altman!$I6+AM$58*Altman!$J6+AM$59*Altman!$K6+AM$60*Altman!$L6</f>
        <v>3.091521272</v>
      </c>
      <c r="AN64" s="15">
        <f>AN$56*Altman!$H6+AN$57*Altman!$I6+AN$58*Altman!$J6+AN$59*Altman!$K6+AN$60*Altman!$L6</f>
        <v>3.735142658</v>
      </c>
      <c r="AO64" s="15">
        <f>AO$56*Altman!$H6+AO$57*Altman!$I6+AO$58*Altman!$J6+AO$59*Altman!$K6+AO$60*Altman!$L6</f>
        <v>2.918680073</v>
      </c>
      <c r="AP64" s="15">
        <f>AP$56*Altman!$H6+AP$57*Altman!$I6+AP$58*Altman!$J6+AP$59*Altman!$K6+AP$60*Altman!$L6</f>
        <v>0</v>
      </c>
      <c r="AQ64" s="15">
        <f>AQ$56*Altman!$H6+AQ$57*Altman!$I6+AQ$58*Altman!$J6+AQ$59*Altman!$K6+AQ$60*Altman!$L6</f>
        <v>8.323118844</v>
      </c>
      <c r="AR64" s="15">
        <f>AR$56*Altman!$H6+AR$57*Altman!$I6+AR$58*Altman!$J6+AR$59*Altman!$K6+AR$60*Altman!$L6</f>
        <v>7.935563828</v>
      </c>
      <c r="AS64" s="15">
        <f>AS$56*Altman!$H6+AS$57*Altman!$I6+AS$58*Altman!$J6+AS$59*Altman!$K6+AS$60*Altman!$L6</f>
        <v>7.962367569</v>
      </c>
      <c r="AT64" s="15">
        <f>AT$56*Altman!$H6+AT$57*Altman!$I6+AT$58*Altman!$J6+AT$59*Altman!$K6+AT$60*Altman!$L6</f>
        <v>0</v>
      </c>
      <c r="AU64" s="15">
        <f>AU$56*Altman!$H6+AU$57*Altman!$I6+AU$58*Altman!$J6+AU$59*Altman!$K6+AU$60*Altman!$L6</f>
        <v>6.264082403</v>
      </c>
      <c r="AV64" s="15">
        <f>AV$56*Altman!$H6+AV$57*Altman!$I6+AV$58*Altman!$J6+AV$59*Altman!$K6+AV$60*Altman!$L6</f>
        <v>6.014823775</v>
      </c>
      <c r="AW64" s="15">
        <f>AW$56*Altman!$H6+AW$57*Altman!$I6+AW$58*Altman!$J6+AW$59*Altman!$K6+AW$60*Altman!$L6</f>
        <v>5.960705375</v>
      </c>
      <c r="AX64" s="15">
        <f>AX$56*Altman!$H6+AX$57*Altman!$I6+AX$58*Altman!$J6+AX$59*Altman!$K6+AX$60*Altman!$L6</f>
        <v>0</v>
      </c>
      <c r="AY64" s="15">
        <f>AY$56*Altman!$H6+AY$57*Altman!$I6+AY$58*Altman!$J6+AY$59*Altman!$K6+AY$60*Altman!$L6</f>
        <v>6.908867972</v>
      </c>
      <c r="AZ64" s="15">
        <f>AZ$56*Altman!$H6+AZ$57*Altman!$I6+AZ$58*Altman!$J6+AZ$59*Altman!$K6+AZ$60*Altman!$L6</f>
        <v>5.692604186</v>
      </c>
      <c r="BA64" s="15">
        <f>BA$56*Altman!$H6+BA$57*Altman!$I6+BA$58*Altman!$J6+BA$59*Altman!$K6+BA$60*Altman!$L6</f>
        <v>5.195133822</v>
      </c>
      <c r="BB64" s="15">
        <f>BB$56*Altman!$H6+BB$57*Altman!$I6+BB$58*Altman!$J6+BB$59*Altman!$K6+BB$60*Altman!$L6</f>
        <v>5.647645127</v>
      </c>
      <c r="BC64" s="15">
        <f>BC$56*Altman!$H6+BC$57*Altman!$I6+BC$58*Altman!$J6+BC$59*Altman!$K6+BC$60*Altman!$L6</f>
        <v>0</v>
      </c>
      <c r="BD64" s="15">
        <f>BD$56*Altman!$H6+BD$57*Altman!$I6+BD$58*Altman!$J6+BD$59*Altman!$K6+BD$60*Altman!$L6</f>
        <v>3.218927293</v>
      </c>
      <c r="BE64" s="15">
        <f>BE$56*Altman!$H6+BE$57*Altman!$I6+BE$58*Altman!$J6+BE$59*Altman!$K6+BE$60*Altman!$L6</f>
        <v>3.342770127</v>
      </c>
      <c r="BF64" s="15">
        <f>BF$56*Altman!$H6+BF$57*Altman!$I6+BF$58*Altman!$J6+BF$59*Altman!$K6+BF$60*Altman!$L6</f>
        <v>3.413000095</v>
      </c>
      <c r="BG64" s="15">
        <f>BG$56*Altman!$H6+BG$57*Altman!$I6+BG$58*Altman!$J6+BG$59*Altman!$K6+BG$60*Altman!$L6</f>
        <v>2.38664768</v>
      </c>
      <c r="BH64" s="15">
        <f>BH$56*Altman!$H6+BH$57*Altman!$I6+BH$58*Altman!$J6+BH$59*Altman!$K6+BH$60*Altman!$L6</f>
        <v>0</v>
      </c>
      <c r="BI64" s="15">
        <f>BI$56*Altman!$H6+BI$57*Altman!$I6+BI$58*Altman!$J6+BI$59*Altman!$K6+BI$60*Altman!$L6</f>
        <v>0.1217660605</v>
      </c>
      <c r="BJ64" s="15">
        <f>BJ$56*Altman!$H6+BJ$57*Altman!$I6+BJ$58*Altman!$J6+BJ$59*Altman!$K6+BJ$60*Altman!$L6</f>
        <v>-1.180219277</v>
      </c>
      <c r="BK64" s="15">
        <f>BK$56*Altman!$H6+BK$57*Altman!$I6+BK$58*Altman!$J6+BK$59*Altman!$K6+BK$60*Altman!$L6</f>
        <v>1.354311304</v>
      </c>
      <c r="BL64" s="15">
        <f>BL$56*Altman!$H6+BL$57*Altman!$I6+BL$58*Altman!$J6+BL$59*Altman!$K6+BL$60*Altman!$L6</f>
        <v>0</v>
      </c>
      <c r="BM64" s="15">
        <f>BM$56*Altman!$H6+BM$57*Altman!$I6+BM$58*Altman!$J6+BM$59*Altman!$K6+BM$60*Altman!$L6</f>
        <v>13.26537927</v>
      </c>
      <c r="BN64" s="15">
        <f>BN$56*Altman!$H6+BN$57*Altman!$I6+BN$58*Altman!$J6+BN$59*Altman!$K6+BN$60*Altman!$L6</f>
        <v>16.87130315</v>
      </c>
      <c r="BO64" s="15">
        <f>BO$56*Altman!$H6+BO$57*Altman!$I6+BO$58*Altman!$J6+BO$59*Altman!$K6+BO$60*Altman!$L6</f>
        <v>11.80358704</v>
      </c>
      <c r="BP64" s="15">
        <f>BP$56*Altman!$H6+BP$57*Altman!$I6+BP$58*Altman!$J6+BP$59*Altman!$K6+BP$60*Altman!$L6</f>
        <v>0</v>
      </c>
      <c r="BQ64" s="15">
        <f>BQ$56*Altman!$H6+BQ$57*Altman!$I6+BQ$58*Altman!$J6+BQ$59*Altman!$K6+BQ$60*Altman!$L6</f>
        <v>2.931436709</v>
      </c>
      <c r="BR64" s="15">
        <f>BR$56*Altman!$H6+BR$57*Altman!$I6+BR$58*Altman!$J6+BR$59*Altman!$K6+BR$60*Altman!$L6</f>
        <v>6.632521043</v>
      </c>
      <c r="BS64" s="15">
        <f>BS$56*Altman!$H6+BS$57*Altman!$I6+BS$58*Altman!$J6+BS$59*Altman!$K6+BS$60*Altman!$L6</f>
        <v>0</v>
      </c>
      <c r="BT64" s="15">
        <f>BT$56*Altman!$H6+BT$57*Altman!$I6+BT$58*Altman!$J6+BT$59*Altman!$K6+BT$60*Altman!$L6</f>
        <v>7.866533472</v>
      </c>
      <c r="BU64" s="15">
        <f>BU$56*Altman!$H6+BU$57*Altman!$I6+BU$58*Altman!$J6+BU$59*Altman!$K6+BU$60*Altman!$L6</f>
        <v>4.011021564</v>
      </c>
      <c r="BV64" s="15">
        <f>BV$56*Altman!$H6+BV$57*Altman!$I6+BV$58*Altman!$J6+BV$59*Altman!$K6+BV$60*Altman!$L6</f>
        <v>8.175296677</v>
      </c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</row>
    <row r="65" ht="15.75" customHeight="1">
      <c r="A65" s="7" t="s">
        <v>105</v>
      </c>
      <c r="B65" s="7"/>
      <c r="C65" s="7">
        <v>4.0</v>
      </c>
      <c r="D65" s="15">
        <f>D$56*Altman!$H7+D$57*Altman!$I7+D$58*Altman!$J7+D$59*Altman!$K7+D$60*Altman!$L7</f>
        <v>1.211638249</v>
      </c>
      <c r="E65" s="15">
        <f>E$56*Altman!$H7+E$57*Altman!$I7+E$58*Altman!$J7+E$59*Altman!$K7+E$60*Altman!$L7</f>
        <v>0.8508784801</v>
      </c>
      <c r="F65" s="15">
        <f>F$56*Altman!$H7+F$57*Altman!$I7+F$58*Altman!$J7+F$59*Altman!$K7+F$60*Altman!$L7</f>
        <v>1.204125682</v>
      </c>
      <c r="G65" s="15">
        <f>G$56*Altman!$H7+G$57*Altman!$I7+G$58*Altman!$J7+G$59*Altman!$K7+G$60*Altman!$L7</f>
        <v>1.462641107</v>
      </c>
      <c r="H65" s="15">
        <f>H$56*Altman!$H7+H$57*Altman!$I7+H$58*Altman!$J7+H$59*Altman!$K7+H$60*Altman!$L7</f>
        <v>1.1110629</v>
      </c>
      <c r="I65" s="15">
        <f>I$56*Altman!$H7+I$57*Altman!$I7+I$58*Altman!$J7+I$59*Altman!$K7+I$60*Altman!$L7</f>
        <v>0</v>
      </c>
      <c r="J65" s="15">
        <f>J$56*Altman!$H7+J$57*Altman!$I7+J$58*Altman!$J7+J$59*Altman!$K7+J$60*Altman!$L7</f>
        <v>2.019258204</v>
      </c>
      <c r="K65" s="15">
        <f>K$56*Altman!$H7+K$57*Altman!$I7+K$58*Altman!$J7+K$59*Altman!$K7+K$60*Altman!$L7</f>
        <v>1.836965024</v>
      </c>
      <c r="L65" s="15">
        <f>L$56*Altman!$H7+L$57*Altman!$I7+L$58*Altman!$J7+L$59*Altman!$K7+L$60*Altman!$L7</f>
        <v>1.920309074</v>
      </c>
      <c r="M65" s="15">
        <f>M$56*Altman!$H7+M$57*Altman!$I7+M$58*Altman!$J7+M$59*Altman!$K7+M$60*Altman!$L7</f>
        <v>1.797050745</v>
      </c>
      <c r="N65" s="15">
        <f>N$56*Altman!$H7+N$57*Altman!$I7+N$58*Altman!$J7+N$59*Altman!$K7+N$60*Altman!$L7</f>
        <v>1.437901333</v>
      </c>
      <c r="O65" s="15">
        <f>O$56*Altman!$H7+O$57*Altman!$I7+O$58*Altman!$J7+O$59*Altman!$K7+O$60*Altman!$L7</f>
        <v>0</v>
      </c>
      <c r="P65" s="15">
        <f>P$56*Altman!$H7+P$57*Altman!$I7+P$58*Altman!$J7+P$59*Altman!$K7+P$60*Altman!$L7</f>
        <v>1.645791347</v>
      </c>
      <c r="Q65" s="15">
        <f>Q$56*Altman!$H7+Q$57*Altman!$I7+Q$58*Altman!$J7+Q$59*Altman!$K7+Q$60*Altman!$L7</f>
        <v>1.217168243</v>
      </c>
      <c r="R65" s="15">
        <f>R$56*Altman!$H7+R$57*Altman!$I7+R$58*Altman!$J7+R$59*Altman!$K7+R$60*Altman!$L7</f>
        <v>1.403783902</v>
      </c>
      <c r="S65" s="15">
        <f>S$56*Altman!$H7+S$57*Altman!$I7+S$58*Altman!$J7+S$59*Altman!$K7+S$60*Altman!$L7</f>
        <v>1.417297689</v>
      </c>
      <c r="T65" s="15">
        <f>T$56*Altman!$H7+T$57*Altman!$I7+T$58*Altman!$J7+T$59*Altman!$K7+T$60*Altman!$L7</f>
        <v>0.9389933929</v>
      </c>
      <c r="U65" s="15">
        <f>U$56*Altman!$H7+U$57*Altman!$I7+U$58*Altman!$J7+U$59*Altman!$K7+U$60*Altman!$L7</f>
        <v>0</v>
      </c>
      <c r="V65" s="15">
        <f>V$56*Altman!$H7+V$57*Altman!$I7+V$58*Altman!$J7+V$59*Altman!$K7+V$60*Altman!$L7</f>
        <v>0.1907621622</v>
      </c>
      <c r="W65" s="15">
        <f>W$56*Altman!$H7+W$57*Altman!$I7+W$58*Altman!$J7+W$59*Altman!$K7+W$60*Altman!$L7</f>
        <v>3.366958232</v>
      </c>
      <c r="X65" s="15">
        <f>X$56*Altman!$H7+X$57*Altman!$I7+X$58*Altman!$J7+X$59*Altman!$K7+X$60*Altman!$L7</f>
        <v>1.854931955</v>
      </c>
      <c r="Y65" s="15">
        <f>Y$56*Altman!$H7+Y$57*Altman!$I7+Y$58*Altman!$J7+Y$59*Altman!$K7+Y$60*Altman!$L7</f>
        <v>0.9473722988</v>
      </c>
      <c r="Z65" s="15">
        <f>Z$56*Altman!$H7+Z$57*Altman!$I7+Z$58*Altman!$J7+Z$59*Altman!$K7+Z$60*Altman!$L7</f>
        <v>0</v>
      </c>
      <c r="AA65" s="15">
        <f>AA$56*Altman!$H7+AA$57*Altman!$I7+AA$58*Altman!$J7+AA$59*Altman!$K7+AA$60*Altman!$L7</f>
        <v>0</v>
      </c>
      <c r="AB65" s="15">
        <f>AB$56*Altman!$H7+AB$57*Altman!$I7+AB$58*Altman!$J7+AB$59*Altman!$K7+AB$60*Altman!$L7</f>
        <v>1.985666748</v>
      </c>
      <c r="AC65" s="15">
        <f>AC$56*Altman!$H7+AC$57*Altman!$I7+AC$58*Altman!$J7+AC$59*Altman!$K7+AC$60*Altman!$L7</f>
        <v>2.180538759</v>
      </c>
      <c r="AD65" s="15">
        <f>AD$56*Altman!$H7+AD$57*Altman!$I7+AD$58*Altman!$J7+AD$59*Altman!$K7+AD$60*Altman!$L7</f>
        <v>2.483861486</v>
      </c>
      <c r="AE65" s="15">
        <f>AE$56*Altman!$H7+AE$57*Altman!$I7+AE$58*Altman!$J7+AE$59*Altman!$K7+AE$60*Altman!$L7</f>
        <v>0</v>
      </c>
      <c r="AF65" s="15">
        <f>AF$56*Altman!$H7+AF$57*Altman!$I7+AF$58*Altman!$J7+AF$59*Altman!$K7+AF$60*Altman!$L7</f>
        <v>1.161723256</v>
      </c>
      <c r="AG65" s="15">
        <f>AG$56*Altman!$H7+AG$57*Altman!$I7+AG$58*Altman!$J7+AG$59*Altman!$K7+AG$60*Altman!$L7</f>
        <v>1.167787102</v>
      </c>
      <c r="AH65" s="15">
        <f>AH$56*Altman!$H7+AH$57*Altman!$I7+AH$58*Altman!$J7+AH$59*Altman!$K7+AH$60*Altman!$L7</f>
        <v>1.164911781</v>
      </c>
      <c r="AI65" s="15">
        <f>AI$56*Altman!$H7+AI$57*Altman!$I7+AI$58*Altman!$J7+AI$59*Altman!$K7+AI$60*Altman!$L7</f>
        <v>0</v>
      </c>
      <c r="AJ65" s="15">
        <f>AJ$56*Altman!$H7+AJ$57*Altman!$I7+AJ$58*Altman!$J7+AJ$59*Altman!$K7+AJ$60*Altman!$L7</f>
        <v>-111.0328981</v>
      </c>
      <c r="AK65" s="15">
        <f>AK$56*Altman!$H7+AK$57*Altman!$I7+AK$58*Altman!$J7+AK$59*Altman!$K7+AK$60*Altman!$L7</f>
        <v>1.080065355</v>
      </c>
      <c r="AL65" s="15">
        <f>AL$56*Altman!$H7+AL$57*Altman!$I7+AL$58*Altman!$J7+AL$59*Altman!$K7+AL$60*Altman!$L7</f>
        <v>0</v>
      </c>
      <c r="AM65" s="15">
        <f>AM$56*Altman!$H7+AM$57*Altman!$I7+AM$58*Altman!$J7+AM$59*Altman!$K7+AM$60*Altman!$L7</f>
        <v>2.265713814</v>
      </c>
      <c r="AN65" s="15">
        <f>AN$56*Altman!$H7+AN$57*Altman!$I7+AN$58*Altman!$J7+AN$59*Altman!$K7+AN$60*Altman!$L7</f>
        <v>2.309688926</v>
      </c>
      <c r="AO65" s="15">
        <f>AO$56*Altman!$H7+AO$57*Altman!$I7+AO$58*Altman!$J7+AO$59*Altman!$K7+AO$60*Altman!$L7</f>
        <v>1.56991626</v>
      </c>
      <c r="AP65" s="15">
        <f>AP$56*Altman!$H7+AP$57*Altman!$I7+AP$58*Altman!$J7+AP$59*Altman!$K7+AP$60*Altman!$L7</f>
        <v>0</v>
      </c>
      <c r="AQ65" s="15">
        <f>AQ$56*Altman!$H7+AQ$57*Altman!$I7+AQ$58*Altman!$J7+AQ$59*Altman!$K7+AQ$60*Altman!$L7</f>
        <v>3.72802322</v>
      </c>
      <c r="AR65" s="15">
        <f>AR$56*Altman!$H7+AR$57*Altman!$I7+AR$58*Altman!$J7+AR$59*Altman!$K7+AR$60*Altman!$L7</f>
        <v>2.923045106</v>
      </c>
      <c r="AS65" s="15">
        <f>AS$56*Altman!$H7+AS$57*Altman!$I7+AS$58*Altman!$J7+AS$59*Altman!$K7+AS$60*Altman!$L7</f>
        <v>2.233681501</v>
      </c>
      <c r="AT65" s="15">
        <f>AT$56*Altman!$H7+AT$57*Altman!$I7+AT$58*Altman!$J7+AT$59*Altman!$K7+AT$60*Altman!$L7</f>
        <v>0</v>
      </c>
      <c r="AU65" s="15">
        <f>AU$56*Altman!$H7+AU$57*Altman!$I7+AU$58*Altman!$J7+AU$59*Altman!$K7+AU$60*Altman!$L7</f>
        <v>1.711231698</v>
      </c>
      <c r="AV65" s="15">
        <f>AV$56*Altman!$H7+AV$57*Altman!$I7+AV$58*Altman!$J7+AV$59*Altman!$K7+AV$60*Altman!$L7</f>
        <v>1.894870062</v>
      </c>
      <c r="AW65" s="15">
        <f>AW$56*Altman!$H7+AW$57*Altman!$I7+AW$58*Altman!$J7+AW$59*Altman!$K7+AW$60*Altman!$L7</f>
        <v>2.038843676</v>
      </c>
      <c r="AX65" s="15">
        <f>AX$56*Altman!$H7+AX$57*Altman!$I7+AX$58*Altman!$J7+AX$59*Altman!$K7+AX$60*Altman!$L7</f>
        <v>0</v>
      </c>
      <c r="AY65" s="15">
        <f>AY$56*Altman!$H7+AY$57*Altman!$I7+AY$58*Altman!$J7+AY$59*Altman!$K7+AY$60*Altman!$L7</f>
        <v>2.076676454</v>
      </c>
      <c r="AZ65" s="15">
        <f>AZ$56*Altman!$H7+AZ$57*Altman!$I7+AZ$58*Altman!$J7+AZ$59*Altman!$K7+AZ$60*Altman!$L7</f>
        <v>1.34171644</v>
      </c>
      <c r="BA65" s="15">
        <f>BA$56*Altman!$H7+BA$57*Altman!$I7+BA$58*Altman!$J7+BA$59*Altman!$K7+BA$60*Altman!$L7</f>
        <v>1.484895308</v>
      </c>
      <c r="BB65" s="15">
        <f>BB$56*Altman!$H7+BB$57*Altman!$I7+BB$58*Altman!$J7+BB$59*Altman!$K7+BB$60*Altman!$L7</f>
        <v>1.874940489</v>
      </c>
      <c r="BC65" s="15">
        <f>BC$56*Altman!$H7+BC$57*Altman!$I7+BC$58*Altman!$J7+BC$59*Altman!$K7+BC$60*Altman!$L7</f>
        <v>0</v>
      </c>
      <c r="BD65" s="15">
        <f>BD$56*Altman!$H7+BD$57*Altman!$I7+BD$58*Altman!$J7+BD$59*Altman!$K7+BD$60*Altman!$L7</f>
        <v>1.277244016</v>
      </c>
      <c r="BE65" s="15">
        <f>BE$56*Altman!$H7+BE$57*Altman!$I7+BE$58*Altman!$J7+BE$59*Altman!$K7+BE$60*Altman!$L7</f>
        <v>1.388548168</v>
      </c>
      <c r="BF65" s="15">
        <f>BF$56*Altman!$H7+BF$57*Altman!$I7+BF$58*Altman!$J7+BF$59*Altman!$K7+BF$60*Altman!$L7</f>
        <v>1.455582505</v>
      </c>
      <c r="BG65" s="15">
        <f>BG$56*Altman!$H7+BG$57*Altman!$I7+BG$58*Altman!$J7+BG$59*Altman!$K7+BG$60*Altman!$L7</f>
        <v>1.085500421</v>
      </c>
      <c r="BH65" s="15">
        <f>BH$56*Altman!$H7+BH$57*Altman!$I7+BH$58*Altman!$J7+BH$59*Altman!$K7+BH$60*Altman!$L7</f>
        <v>0</v>
      </c>
      <c r="BI65" s="15">
        <f>BI$56*Altman!$H7+BI$57*Altman!$I7+BI$58*Altman!$J7+BI$59*Altman!$K7+BI$60*Altman!$L7</f>
        <v>2.548444648</v>
      </c>
      <c r="BJ65" s="15">
        <f>BJ$56*Altman!$H7+BJ$57*Altman!$I7+BJ$58*Altman!$J7+BJ$59*Altman!$K7+BJ$60*Altman!$L7</f>
        <v>2.273031441</v>
      </c>
      <c r="BK65" s="15">
        <f>BK$56*Altman!$H7+BK$57*Altman!$I7+BK$58*Altman!$J7+BK$59*Altman!$K7+BK$60*Altman!$L7</f>
        <v>3.229202987</v>
      </c>
      <c r="BL65" s="15">
        <f>BL$56*Altman!$H7+BL$57*Altman!$I7+BL$58*Altman!$J7+BL$59*Altman!$K7+BL$60*Altman!$L7</f>
        <v>0</v>
      </c>
      <c r="BM65" s="15">
        <f>BM$56*Altman!$H7+BM$57*Altman!$I7+BM$58*Altman!$J7+BM$59*Altman!$K7+BM$60*Altman!$L7</f>
        <v>6.627082507</v>
      </c>
      <c r="BN65" s="15">
        <f>BN$56*Altman!$H7+BN$57*Altman!$I7+BN$58*Altman!$J7+BN$59*Altman!$K7+BN$60*Altman!$L7</f>
        <v>8.710072674</v>
      </c>
      <c r="BO65" s="15">
        <f>BO$56*Altman!$H7+BO$57*Altman!$I7+BO$58*Altman!$J7+BO$59*Altman!$K7+BO$60*Altman!$L7</f>
        <v>5.700476039</v>
      </c>
      <c r="BP65" s="15">
        <f>BP$56*Altman!$H7+BP$57*Altman!$I7+BP$58*Altman!$J7+BP$59*Altman!$K7+BP$60*Altman!$L7</f>
        <v>0</v>
      </c>
      <c r="BQ65" s="15">
        <f>BQ$56*Altman!$H7+BQ$57*Altman!$I7+BQ$58*Altman!$J7+BQ$59*Altman!$K7+BQ$60*Altman!$L7</f>
        <v>7.950111275</v>
      </c>
      <c r="BR65" s="15">
        <f>BR$56*Altman!$H7+BR$57*Altman!$I7+BR$58*Altman!$J7+BR$59*Altman!$K7+BR$60*Altman!$L7</f>
        <v>3.335711407</v>
      </c>
      <c r="BS65" s="15">
        <f>BS$56*Altman!$H7+BS$57*Altman!$I7+BS$58*Altman!$J7+BS$59*Altman!$K7+BS$60*Altman!$L7</f>
        <v>0</v>
      </c>
      <c r="BT65" s="15">
        <f>BT$56*Altman!$H7+BT$57*Altman!$I7+BT$58*Altman!$J7+BT$59*Altman!$K7+BT$60*Altman!$L7</f>
        <v>4.712929707</v>
      </c>
      <c r="BU65" s="15">
        <f>BU$56*Altman!$H7+BU$57*Altman!$I7+BU$58*Altman!$J7+BU$59*Altman!$K7+BU$60*Altman!$L7</f>
        <v>3.415579114</v>
      </c>
      <c r="BV65" s="15">
        <f>BV$56*Altman!$H7+BV$57*Altman!$I7+BV$58*Altman!$J7+BV$59*Altman!$K7+BV$60*Altman!$L7</f>
        <v>3.992826593</v>
      </c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</row>
    <row r="66" ht="15.75" customHeight="1">
      <c r="A66" s="7" t="s">
        <v>106</v>
      </c>
      <c r="B66" s="7"/>
      <c r="C66" s="7">
        <v>5.0</v>
      </c>
      <c r="D66" s="15">
        <f>D$56*Altman!$H8+D$57*Altman!$I8+D$58*Altman!$J8+D$59*Altman!$K8+D$60*Altman!$L8</f>
        <v>1.143178887</v>
      </c>
      <c r="E66" s="15">
        <f>E$56*Altman!$H8+E$57*Altman!$I8+E$58*Altman!$J8+E$59*Altman!$K8+E$60*Altman!$L8</f>
        <v>0.7362051687</v>
      </c>
      <c r="F66" s="15">
        <f>F$56*Altman!$H8+F$57*Altman!$I8+F$58*Altman!$J8+F$59*Altman!$K8+F$60*Altman!$L8</f>
        <v>1.007285486</v>
      </c>
      <c r="G66" s="15">
        <f>G$56*Altman!$H8+G$57*Altman!$I8+G$58*Altman!$J8+G$59*Altman!$K8+G$60*Altman!$L8</f>
        <v>1.160998394</v>
      </c>
      <c r="H66" s="15">
        <f>H$56*Altman!$H8+H$57*Altman!$I8+H$58*Altman!$J8+H$59*Altman!$K8+H$60*Altman!$L8</f>
        <v>0.8439048972</v>
      </c>
      <c r="I66" s="15">
        <f>I$56*Altman!$H8+I$57*Altman!$I8+I$58*Altman!$J8+I$59*Altman!$K8+I$60*Altman!$L8</f>
        <v>0</v>
      </c>
      <c r="J66" s="15">
        <f>J$56*Altman!$H8+J$57*Altman!$I8+J$58*Altman!$J8+J$59*Altman!$K8+J$60*Altman!$L8</f>
        <v>1.485203143</v>
      </c>
      <c r="K66" s="15">
        <f>K$56*Altman!$H8+K$57*Altman!$I8+K$58*Altman!$J8+K$59*Altman!$K8+K$60*Altman!$L8</f>
        <v>1.346818507</v>
      </c>
      <c r="L66" s="15">
        <f>L$56*Altman!$H8+L$57*Altman!$I8+L$58*Altman!$J8+L$59*Altman!$K8+L$60*Altman!$L8</f>
        <v>1.378526565</v>
      </c>
      <c r="M66" s="15">
        <f>M$56*Altman!$H8+M$57*Altman!$I8+M$58*Altman!$J8+M$59*Altman!$K8+M$60*Altman!$L8</f>
        <v>1.292712979</v>
      </c>
      <c r="N66" s="15">
        <f>N$56*Altman!$H8+N$57*Altman!$I8+N$58*Altman!$J8+N$59*Altman!$K8+N$60*Altman!$L8</f>
        <v>1.042792555</v>
      </c>
      <c r="O66" s="15">
        <f>O$56*Altman!$H8+O$57*Altman!$I8+O$58*Altman!$J8+O$59*Altman!$K8+O$60*Altman!$L8</f>
        <v>0</v>
      </c>
      <c r="P66" s="15">
        <f>P$56*Altman!$H8+P$57*Altman!$I8+P$58*Altman!$J8+P$59*Altman!$K8+P$60*Altman!$L8</f>
        <v>1.081783268</v>
      </c>
      <c r="Q66" s="15">
        <f>Q$56*Altman!$H8+Q$57*Altman!$I8+Q$58*Altman!$J8+Q$59*Altman!$K8+Q$60*Altman!$L8</f>
        <v>0.9588378587</v>
      </c>
      <c r="R66" s="15">
        <f>R$56*Altman!$H8+R$57*Altman!$I8+R$58*Altman!$J8+R$59*Altman!$K8+R$60*Altman!$L8</f>
        <v>1.125264376</v>
      </c>
      <c r="S66" s="15">
        <f>S$56*Altman!$H8+S$57*Altman!$I8+S$58*Altman!$J8+S$59*Altman!$K8+S$60*Altman!$L8</f>
        <v>1.132379594</v>
      </c>
      <c r="T66" s="15">
        <f>T$56*Altman!$H8+T$57*Altman!$I8+T$58*Altman!$J8+T$59*Altman!$K8+T$60*Altman!$L8</f>
        <v>0.7555175984</v>
      </c>
      <c r="U66" s="15">
        <f>U$56*Altman!$H8+U$57*Altman!$I8+U$58*Altman!$J8+U$59*Altman!$K8+U$60*Altman!$L8</f>
        <v>0</v>
      </c>
      <c r="V66" s="15">
        <f>V$56*Altman!$H8+V$57*Altman!$I8+V$58*Altman!$J8+V$59*Altman!$K8+V$60*Altman!$L8</f>
        <v>0.2794324395</v>
      </c>
      <c r="W66" s="15">
        <f>W$56*Altman!$H8+W$57*Altman!$I8+W$58*Altman!$J8+W$59*Altman!$K8+W$60*Altman!$L8</f>
        <v>2.612160842</v>
      </c>
      <c r="X66" s="15">
        <f>X$56*Altman!$H8+X$57*Altman!$I8+X$58*Altman!$J8+X$59*Altman!$K8+X$60*Altman!$L8</f>
        <v>1.566978855</v>
      </c>
      <c r="Y66" s="15">
        <f>Y$56*Altman!$H8+Y$57*Altman!$I8+Y$58*Altman!$J8+Y$59*Altman!$K8+Y$60*Altman!$L8</f>
        <v>0.8571397962</v>
      </c>
      <c r="Z66" s="15">
        <f>Z$56*Altman!$H8+Z$57*Altman!$I8+Z$58*Altman!$J8+Z$59*Altman!$K8+Z$60*Altman!$L8</f>
        <v>0</v>
      </c>
      <c r="AA66" s="15">
        <f>AA$56*Altman!$H8+AA$57*Altman!$I8+AA$58*Altman!$J8+AA$59*Altman!$K8+AA$60*Altman!$L8</f>
        <v>0</v>
      </c>
      <c r="AB66" s="15">
        <f>AB$56*Altman!$H8+AB$57*Altman!$I8+AB$58*Altman!$J8+AB$59*Altman!$K8+AB$60*Altman!$L8</f>
        <v>1.502059987</v>
      </c>
      <c r="AC66" s="15">
        <f>AC$56*Altman!$H8+AC$57*Altman!$I8+AC$58*Altman!$J8+AC$59*Altman!$K8+AC$60*Altman!$L8</f>
        <v>1.717651563</v>
      </c>
      <c r="AD66" s="15">
        <f>AD$56*Altman!$H8+AD$57*Altman!$I8+AD$58*Altman!$J8+AD$59*Altman!$K8+AD$60*Altman!$L8</f>
        <v>1.948466183</v>
      </c>
      <c r="AE66" s="15">
        <f>AE$56*Altman!$H8+AE$57*Altman!$I8+AE$58*Altman!$J8+AE$59*Altman!$K8+AE$60*Altman!$L8</f>
        <v>0</v>
      </c>
      <c r="AF66" s="15">
        <f>AF$56*Altman!$H8+AF$57*Altman!$I8+AF$58*Altman!$J8+AF$59*Altman!$K8+AF$60*Altman!$L8</f>
        <v>0.6947890015</v>
      </c>
      <c r="AG66" s="15">
        <f>AG$56*Altman!$H8+AG$57*Altman!$I8+AG$58*Altman!$J8+AG$59*Altman!$K8+AG$60*Altman!$L8</f>
        <v>0.7006775673</v>
      </c>
      <c r="AH66" s="15">
        <f>AH$56*Altman!$H8+AH$57*Altman!$I8+AH$58*Altman!$J8+AH$59*Altman!$K8+AH$60*Altman!$L8</f>
        <v>0.6977571058</v>
      </c>
      <c r="AI66" s="15">
        <f>AI$56*Altman!$H8+AI$57*Altman!$I8+AI$58*Altman!$J8+AI$59*Altman!$K8+AI$60*Altman!$L8</f>
        <v>0</v>
      </c>
      <c r="AJ66" s="15">
        <f>AJ$56*Altman!$H8+AJ$57*Altman!$I8+AJ$58*Altman!$J8+AJ$59*Altman!$K8+AJ$60*Altman!$L8</f>
        <v>-104.5531983</v>
      </c>
      <c r="AK66" s="15">
        <f>AK$56*Altman!$H8+AK$57*Altman!$I8+AK$58*Altman!$J8+AK$59*Altman!$K8+AK$60*Altman!$L8</f>
        <v>0.9135907005</v>
      </c>
      <c r="AL66" s="15">
        <f>AL$56*Altman!$H8+AL$57*Altman!$I8+AL$58*Altman!$J8+AL$59*Altman!$K8+AL$60*Altman!$L8</f>
        <v>0</v>
      </c>
      <c r="AM66" s="15">
        <f>AM$56*Altman!$H8+AM$57*Altman!$I8+AM$58*Altman!$J8+AM$59*Altman!$K8+AM$60*Altman!$L8</f>
        <v>1.967834654</v>
      </c>
      <c r="AN66" s="15">
        <f>AN$56*Altman!$H8+AN$57*Altman!$I8+AN$58*Altman!$J8+AN$59*Altman!$K8+AN$60*Altman!$L8</f>
        <v>1.963302428</v>
      </c>
      <c r="AO66" s="15">
        <f>AO$56*Altman!$H8+AO$57*Altman!$I8+AO$58*Altman!$J8+AO$59*Altman!$K8+AO$60*Altman!$L8</f>
        <v>1.25633431</v>
      </c>
      <c r="AP66" s="15">
        <f>AP$56*Altman!$H8+AP$57*Altman!$I8+AP$58*Altman!$J8+AP$59*Altman!$K8+AP$60*Altman!$L8</f>
        <v>0</v>
      </c>
      <c r="AQ66" s="15">
        <f>AQ$56*Altman!$H8+AQ$57*Altman!$I8+AQ$58*Altman!$J8+AQ$59*Altman!$K8+AQ$60*Altman!$L8</f>
        <v>3.025743247</v>
      </c>
      <c r="AR66" s="15">
        <f>AR$56*Altman!$H8+AR$57*Altman!$I8+AR$58*Altman!$J8+AR$59*Altman!$K8+AR$60*Altman!$L8</f>
        <v>2.256565249</v>
      </c>
      <c r="AS66" s="15">
        <f>AS$56*Altman!$H8+AS$57*Altman!$I8+AS$58*Altman!$J8+AS$59*Altman!$K8+AS$60*Altman!$L8</f>
        <v>1.52172822</v>
      </c>
      <c r="AT66" s="15">
        <f>AT$56*Altman!$H8+AT$57*Altman!$I8+AT$58*Altman!$J8+AT$59*Altman!$K8+AT$60*Altman!$L8</f>
        <v>0</v>
      </c>
      <c r="AU66" s="15">
        <f>AU$56*Altman!$H8+AU$57*Altman!$I8+AU$58*Altman!$J8+AU$59*Altman!$K8+AU$60*Altman!$L8</f>
        <v>1.231386807</v>
      </c>
      <c r="AV66" s="15">
        <f>AV$56*Altman!$H8+AV$57*Altman!$I8+AV$58*Altman!$J8+AV$59*Altman!$K8+AV$60*Altman!$L8</f>
        <v>1.428362744</v>
      </c>
      <c r="AW66" s="15">
        <f>AW$56*Altman!$H8+AW$57*Altman!$I8+AW$58*Altman!$J8+AW$59*Altman!$K8+AW$60*Altman!$L8</f>
        <v>1.5896036</v>
      </c>
      <c r="AX66" s="15">
        <f>AX$56*Altman!$H8+AX$57*Altman!$I8+AX$58*Altman!$J8+AX$59*Altman!$K8+AX$60*Altman!$L8</f>
        <v>0</v>
      </c>
      <c r="AY66" s="15">
        <f>AY$56*Altman!$H8+AY$57*Altman!$I8+AY$58*Altman!$J8+AY$59*Altman!$K8+AY$60*Altman!$L8</f>
        <v>1.431540471</v>
      </c>
      <c r="AZ66" s="15">
        <f>AZ$56*Altman!$H8+AZ$57*Altman!$I8+AZ$58*Altman!$J8+AZ$59*Altman!$K8+AZ$60*Altman!$L8</f>
        <v>0.8781145358</v>
      </c>
      <c r="BA66" s="15">
        <f>BA$56*Altman!$H8+BA$57*Altman!$I8+BA$58*Altman!$J8+BA$59*Altman!$K8+BA$60*Altman!$L8</f>
        <v>1.052302879</v>
      </c>
      <c r="BB66" s="15">
        <f>BB$56*Altman!$H8+BB$57*Altman!$I8+BB$58*Altman!$J8+BB$59*Altman!$K8+BB$60*Altman!$L8</f>
        <v>1.380915719</v>
      </c>
      <c r="BC66" s="15">
        <f>BC$56*Altman!$H8+BC$57*Altman!$I8+BC$58*Altman!$J8+BC$59*Altman!$K8+BC$60*Altman!$L8</f>
        <v>0</v>
      </c>
      <c r="BD66" s="15">
        <f>BD$56*Altman!$H8+BD$57*Altman!$I8+BD$58*Altman!$J8+BD$59*Altman!$K8+BD$60*Altman!$L8</f>
        <v>0.9960136182</v>
      </c>
      <c r="BE66" s="15">
        <f>BE$56*Altman!$H8+BE$57*Altman!$I8+BE$58*Altman!$J8+BE$59*Altman!$K8+BE$60*Altman!$L8</f>
        <v>1.102618735</v>
      </c>
      <c r="BF66" s="15">
        <f>BF$56*Altman!$H8+BF$57*Altman!$I8+BF$58*Altman!$J8+BF$59*Altman!$K8+BF$60*Altman!$L8</f>
        <v>1.167510561</v>
      </c>
      <c r="BG66" s="15">
        <f>BG$56*Altman!$H8+BG$57*Altman!$I8+BG$58*Altman!$J8+BG$59*Altman!$K8+BG$60*Altman!$L8</f>
        <v>0.891382809</v>
      </c>
      <c r="BH66" s="15">
        <f>BH$56*Altman!$H8+BH$57*Altman!$I8+BH$58*Altman!$J8+BH$59*Altman!$K8+BH$60*Altman!$L8</f>
        <v>0</v>
      </c>
      <c r="BI66" s="15">
        <f>BI$56*Altman!$H8+BI$57*Altman!$I8+BI$58*Altman!$J8+BI$59*Altman!$K8+BI$60*Altman!$L8</f>
        <v>2.761418541</v>
      </c>
      <c r="BJ66" s="15">
        <f>BJ$56*Altman!$H8+BJ$57*Altman!$I8+BJ$58*Altman!$J8+BJ$59*Altman!$K8+BJ$60*Altman!$L8</f>
        <v>2.556314153</v>
      </c>
      <c r="BK66" s="15">
        <f>BK$56*Altman!$H8+BK$57*Altman!$I8+BK$58*Altman!$J8+BK$59*Altman!$K8+BK$60*Altman!$L8</f>
        <v>3.141668252</v>
      </c>
      <c r="BL66" s="15">
        <f>BL$56*Altman!$H8+BL$57*Altman!$I8+BL$58*Altman!$J8+BL$59*Altman!$K8+BL$60*Altman!$L8</f>
        <v>0</v>
      </c>
      <c r="BM66" s="15">
        <f>BM$56*Altman!$H8+BM$57*Altman!$I8+BM$58*Altman!$J8+BM$59*Altman!$K8+BM$60*Altman!$L8</f>
        <v>4.965588324</v>
      </c>
      <c r="BN66" s="15">
        <f>BN$56*Altman!$H8+BN$57*Altman!$I8+BN$58*Altman!$J8+BN$59*Altman!$K8+BN$60*Altman!$L8</f>
        <v>6.479641539</v>
      </c>
      <c r="BO66" s="15">
        <f>BO$56*Altman!$H8+BO$57*Altman!$I8+BO$58*Altman!$J8+BO$59*Altman!$K8+BO$60*Altman!$L8</f>
        <v>4.328535346</v>
      </c>
      <c r="BP66" s="15">
        <f>BP$56*Altman!$H8+BP$57*Altman!$I8+BP$58*Altman!$J8+BP$59*Altman!$K8+BP$60*Altman!$L8</f>
        <v>0</v>
      </c>
      <c r="BQ66" s="15">
        <f>BQ$56*Altman!$H8+BQ$57*Altman!$I8+BQ$58*Altman!$J8+BQ$59*Altman!$K8+BQ$60*Altman!$L8</f>
        <v>7.772371948</v>
      </c>
      <c r="BR66" s="15">
        <f>BR$56*Altman!$H8+BR$57*Altman!$I8+BR$58*Altman!$J8+BR$59*Altman!$K8+BR$60*Altman!$L8</f>
        <v>2.834191811</v>
      </c>
      <c r="BS66" s="15">
        <f>BS$56*Altman!$H8+BS$57*Altman!$I8+BS$58*Altman!$J8+BS$59*Altman!$K8+BS$60*Altman!$L8</f>
        <v>0</v>
      </c>
      <c r="BT66" s="15">
        <f>BT$56*Altman!$H8+BT$57*Altman!$I8+BT$58*Altman!$J8+BT$59*Altman!$K8+BT$60*Altman!$L8</f>
        <v>3.841897786</v>
      </c>
      <c r="BU66" s="15">
        <f>BU$56*Altman!$H8+BU$57*Altman!$I8+BU$58*Altman!$J8+BU$59*Altman!$K8+BU$60*Altman!$L8</f>
        <v>3.092678231</v>
      </c>
      <c r="BV66" s="15">
        <f>BV$56*Altman!$H8+BV$57*Altman!$I8+BV$58*Altman!$J8+BV$59*Altman!$K8+BV$60*Altman!$L8</f>
        <v>3.353484428</v>
      </c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</row>
    <row r="67" ht="15.75" customHeight="1">
      <c r="A67" s="7" t="s">
        <v>107</v>
      </c>
      <c r="B67" s="7"/>
      <c r="C67" s="7">
        <v>6.0</v>
      </c>
      <c r="D67" s="15">
        <f>D$56*Altman!$H9+D$57*Altman!$I9+D$58*Altman!$J9+D$59*Altman!$K9+D$60*Altman!$L9</f>
        <v>0.5502354513</v>
      </c>
      <c r="E67" s="15">
        <f>E$56*Altman!$H9+E$57*Altman!$I9+E$58*Altman!$J9+E$59*Altman!$K9+E$60*Altman!$L9</f>
        <v>0.1172008081</v>
      </c>
      <c r="F67" s="15">
        <f>F$56*Altman!$H9+F$57*Altman!$I9+F$58*Altman!$J9+F$59*Altman!$K9+F$60*Altman!$L9</f>
        <v>1.0202474</v>
      </c>
      <c r="G67" s="15">
        <f>G$56*Altman!$H9+G$57*Altman!$I9+G$58*Altman!$J9+G$59*Altman!$K9+G$60*Altman!$L9</f>
        <v>2.201389496</v>
      </c>
      <c r="H67" s="15">
        <f>H$56*Altman!$H9+H$57*Altman!$I9+H$58*Altman!$J9+H$59*Altman!$K9+H$60*Altman!$L9</f>
        <v>1.329194677</v>
      </c>
      <c r="I67" s="15">
        <f>I$56*Altman!$H9+I$57*Altman!$I9+I$58*Altman!$J9+I$59*Altman!$K9+I$60*Altman!$L9</f>
        <v>0</v>
      </c>
      <c r="J67" s="15">
        <f>J$56*Altman!$H9+J$57*Altman!$I9+J$58*Altman!$J9+J$59*Altman!$K9+J$60*Altman!$L9</f>
        <v>4.804835509</v>
      </c>
      <c r="K67" s="15">
        <f>K$56*Altman!$H9+K$57*Altman!$I9+K$58*Altman!$J9+K$59*Altman!$K9+K$60*Altman!$L9</f>
        <v>4.253855989</v>
      </c>
      <c r="L67" s="15">
        <f>L$56*Altman!$H9+L$57*Altman!$I9+L$58*Altman!$J9+L$59*Altman!$K9+L$60*Altman!$L9</f>
        <v>4.812345677</v>
      </c>
      <c r="M67" s="15">
        <f>M$56*Altman!$H9+M$57*Altman!$I9+M$58*Altman!$J9+M$59*Altman!$K9+M$60*Altman!$L9</f>
        <v>4.518941714</v>
      </c>
      <c r="N67" s="15">
        <f>N$56*Altman!$H9+N$57*Altman!$I9+N$58*Altman!$J9+N$59*Altman!$K9+N$60*Altman!$L9</f>
        <v>3.370696848</v>
      </c>
      <c r="O67" s="15">
        <f>O$56*Altman!$H9+O$57*Altman!$I9+O$58*Altman!$J9+O$59*Altman!$K9+O$60*Altman!$L9</f>
        <v>0</v>
      </c>
      <c r="P67" s="15">
        <f>P$56*Altman!$H9+P$57*Altman!$I9+P$58*Altman!$J9+P$59*Altman!$K9+P$60*Altman!$L9</f>
        <v>5.325112183</v>
      </c>
      <c r="Q67" s="15">
        <f>Q$56*Altman!$H9+Q$57*Altman!$I9+Q$58*Altman!$J9+Q$59*Altman!$K9+Q$60*Altman!$L9</f>
        <v>1.782246336</v>
      </c>
      <c r="R67" s="15">
        <f>R$56*Altman!$H9+R$57*Altman!$I9+R$58*Altman!$J9+R$59*Altman!$K9+R$60*Altman!$L9</f>
        <v>2.025882791</v>
      </c>
      <c r="S67" s="15">
        <f>S$56*Altman!$H9+S$57*Altman!$I9+S$58*Altman!$J9+S$59*Altman!$K9+S$60*Altman!$L9</f>
        <v>2.129344349</v>
      </c>
      <c r="T67" s="15">
        <f>T$56*Altman!$H9+T$57*Altman!$I9+T$58*Altman!$J9+T$59*Altman!$K9+T$60*Altman!$L9</f>
        <v>1.238844968</v>
      </c>
      <c r="U67" s="15">
        <f>U$56*Altman!$H9+U$57*Altman!$I9+U$58*Altman!$J9+U$59*Altman!$K9+U$60*Altman!$L9</f>
        <v>0</v>
      </c>
      <c r="V67" s="15">
        <f>V$56*Altman!$H9+V$57*Altman!$I9+V$58*Altman!$J9+V$59*Altman!$K9+V$60*Altman!$L9</f>
        <v>-1.916315205</v>
      </c>
      <c r="W67" s="15">
        <f>W$56*Altman!$H9+W$57*Altman!$I9+W$58*Altman!$J9+W$59*Altman!$K9+W$60*Altman!$L9</f>
        <v>6.307903323</v>
      </c>
      <c r="X67" s="15">
        <f>X$56*Altman!$H9+X$57*Altman!$I9+X$58*Altman!$J9+X$59*Altman!$K9+X$60*Altman!$L9</f>
        <v>3.216829066</v>
      </c>
      <c r="Y67" s="15">
        <f>Y$56*Altman!$H9+Y$57*Altman!$I9+Y$58*Altman!$J9+Y$59*Altman!$K9+Y$60*Altman!$L9</f>
        <v>0.6636472932</v>
      </c>
      <c r="Z67" s="15">
        <f>Z$56*Altman!$H9+Z$57*Altman!$I9+Z$58*Altman!$J9+Z$59*Altman!$K9+Z$60*Altman!$L9</f>
        <v>0</v>
      </c>
      <c r="AA67" s="15">
        <f>AA$56*Altman!$H9+AA$57*Altman!$I9+AA$58*Altman!$J9+AA$59*Altman!$K9+AA$60*Altman!$L9</f>
        <v>0</v>
      </c>
      <c r="AB67" s="15">
        <f>AB$56*Altman!$H9+AB$57*Altman!$I9+AB$58*Altman!$J9+AB$59*Altman!$K9+AB$60*Altman!$L9</f>
        <v>4.736312114</v>
      </c>
      <c r="AC67" s="15">
        <f>AC$56*Altman!$H9+AC$57*Altman!$I9+AC$58*Altman!$J9+AC$59*Altman!$K9+AC$60*Altman!$L9</f>
        <v>4.436482251</v>
      </c>
      <c r="AD67" s="15">
        <f>AD$56*Altman!$H9+AD$57*Altman!$I9+AD$58*Altman!$J9+AD$59*Altman!$K9+AD$60*Altman!$L9</f>
        <v>5.594433365</v>
      </c>
      <c r="AE67" s="15">
        <f>AE$56*Altman!$H9+AE$57*Altman!$I9+AE$58*Altman!$J9+AE$59*Altman!$K9+AE$60*Altman!$L9</f>
        <v>0</v>
      </c>
      <c r="AF67" s="15">
        <f>AF$56*Altman!$H9+AF$57*Altman!$I9+AF$58*Altman!$J9+AF$59*Altman!$K9+AF$60*Altman!$L9</f>
        <v>6.067696208</v>
      </c>
      <c r="AG67" s="15">
        <f>AG$56*Altman!$H9+AG$57*Altman!$I9+AG$58*Altman!$J9+AG$59*Altman!$K9+AG$60*Altman!$L9</f>
        <v>6.070282104</v>
      </c>
      <c r="AH67" s="15">
        <f>AH$56*Altman!$H9+AH$57*Altman!$I9+AH$58*Altman!$J9+AH$59*Altman!$K9+AH$60*Altman!$L9</f>
        <v>6.069338633</v>
      </c>
      <c r="AI67" s="15">
        <f>AI$56*Altman!$H9+AI$57*Altman!$I9+AI$58*Altman!$J9+AI$59*Altman!$K9+AI$60*Altman!$L9</f>
        <v>0</v>
      </c>
      <c r="AJ67" s="15">
        <f>AJ$56*Altman!$H9+AJ$57*Altman!$I9+AJ$58*Altman!$J9+AJ$59*Altman!$K9+AJ$60*Altman!$L9</f>
        <v>-227.0411743</v>
      </c>
      <c r="AK67" s="15">
        <f>AK$56*Altman!$H9+AK$57*Altman!$I9+AK$58*Altman!$J9+AK$59*Altman!$K9+AK$60*Altman!$L9</f>
        <v>2.13277598</v>
      </c>
      <c r="AL67" s="15">
        <f>AL$56*Altman!$H9+AL$57*Altman!$I9+AL$58*Altman!$J9+AL$59*Altman!$K9+AL$60*Altman!$L9</f>
        <v>0</v>
      </c>
      <c r="AM67" s="15">
        <f>AM$56*Altman!$H9+AM$57*Altman!$I9+AM$58*Altman!$J9+AM$59*Altman!$K9+AM$60*Altman!$L9</f>
        <v>3.091521272</v>
      </c>
      <c r="AN67" s="15">
        <f>AN$56*Altman!$H9+AN$57*Altman!$I9+AN$58*Altman!$J9+AN$59*Altman!$K9+AN$60*Altman!$L9</f>
        <v>3.735142658</v>
      </c>
      <c r="AO67" s="15">
        <f>AO$56*Altman!$H9+AO$57*Altman!$I9+AO$58*Altman!$J9+AO$59*Altman!$K9+AO$60*Altman!$L9</f>
        <v>2.918680073</v>
      </c>
      <c r="AP67" s="15">
        <f>AP$56*Altman!$H9+AP$57*Altman!$I9+AP$58*Altman!$J9+AP$59*Altman!$K9+AP$60*Altman!$L9</f>
        <v>0</v>
      </c>
      <c r="AQ67" s="15">
        <f>AQ$56*Altman!$H9+AQ$57*Altman!$I9+AQ$58*Altman!$J9+AQ$59*Altman!$K9+AQ$60*Altman!$L9</f>
        <v>8.323118844</v>
      </c>
      <c r="AR67" s="15">
        <f>AR$56*Altman!$H9+AR$57*Altman!$I9+AR$58*Altman!$J9+AR$59*Altman!$K9+AR$60*Altman!$L9</f>
        <v>7.935563828</v>
      </c>
      <c r="AS67" s="15">
        <f>AS$56*Altman!$H9+AS$57*Altman!$I9+AS$58*Altman!$J9+AS$59*Altman!$K9+AS$60*Altman!$L9</f>
        <v>7.962367569</v>
      </c>
      <c r="AT67" s="15">
        <f>AT$56*Altman!$H9+AT$57*Altman!$I9+AT$58*Altman!$J9+AT$59*Altman!$K9+AT$60*Altman!$L9</f>
        <v>0</v>
      </c>
      <c r="AU67" s="15">
        <f>AU$56*Altman!$H9+AU$57*Altman!$I9+AU$58*Altman!$J9+AU$59*Altman!$K9+AU$60*Altman!$L9</f>
        <v>6.264082403</v>
      </c>
      <c r="AV67" s="15">
        <f>AV$56*Altman!$H9+AV$57*Altman!$I9+AV$58*Altman!$J9+AV$59*Altman!$K9+AV$60*Altman!$L9</f>
        <v>6.014823775</v>
      </c>
      <c r="AW67" s="15">
        <f>AW$56*Altman!$H9+AW$57*Altman!$I9+AW$58*Altman!$J9+AW$59*Altman!$K9+AW$60*Altman!$L9</f>
        <v>5.960705375</v>
      </c>
      <c r="AX67" s="15">
        <f>AX$56*Altman!$H9+AX$57*Altman!$I9+AX$58*Altman!$J9+AX$59*Altman!$K9+AX$60*Altman!$L9</f>
        <v>0</v>
      </c>
      <c r="AY67" s="15">
        <f>AY$56*Altman!$H9+AY$57*Altman!$I9+AY$58*Altman!$J9+AY$59*Altman!$K9+AY$60*Altman!$L9</f>
        <v>6.908867972</v>
      </c>
      <c r="AZ67" s="15">
        <f>AZ$56*Altman!$H9+AZ$57*Altman!$I9+AZ$58*Altman!$J9+AZ$59*Altman!$K9+AZ$60*Altman!$L9</f>
        <v>5.692604186</v>
      </c>
      <c r="BA67" s="15">
        <f>BA$56*Altman!$H9+BA$57*Altman!$I9+BA$58*Altman!$J9+BA$59*Altman!$K9+BA$60*Altman!$L9</f>
        <v>5.195133822</v>
      </c>
      <c r="BB67" s="15">
        <f>BB$56*Altman!$H9+BB$57*Altman!$I9+BB$58*Altman!$J9+BB$59*Altman!$K9+BB$60*Altman!$L9</f>
        <v>5.647645127</v>
      </c>
      <c r="BC67" s="15">
        <f>BC$56*Altman!$H9+BC$57*Altman!$I9+BC$58*Altman!$J9+BC$59*Altman!$K9+BC$60*Altman!$L9</f>
        <v>0</v>
      </c>
      <c r="BD67" s="15">
        <f>BD$56*Altman!$H9+BD$57*Altman!$I9+BD$58*Altman!$J9+BD$59*Altman!$K9+BD$60*Altman!$L9</f>
        <v>3.218927293</v>
      </c>
      <c r="BE67" s="15">
        <f>BE$56*Altman!$H9+BE$57*Altman!$I9+BE$58*Altman!$J9+BE$59*Altman!$K9+BE$60*Altman!$L9</f>
        <v>3.342770127</v>
      </c>
      <c r="BF67" s="15">
        <f>BF$56*Altman!$H9+BF$57*Altman!$I9+BF$58*Altman!$J9+BF$59*Altman!$K9+BF$60*Altman!$L9</f>
        <v>3.413000095</v>
      </c>
      <c r="BG67" s="15">
        <f>BG$56*Altman!$H9+BG$57*Altman!$I9+BG$58*Altman!$J9+BG$59*Altman!$K9+BG$60*Altman!$L9</f>
        <v>2.38664768</v>
      </c>
      <c r="BH67" s="15">
        <f>BH$56*Altman!$H9+BH$57*Altman!$I9+BH$58*Altman!$J9+BH$59*Altman!$K9+BH$60*Altman!$L9</f>
        <v>0</v>
      </c>
      <c r="BI67" s="15">
        <f>BI$56*Altman!$H9+BI$57*Altman!$I9+BI$58*Altman!$J9+BI$59*Altman!$K9+BI$60*Altman!$L9</f>
        <v>0.1217660605</v>
      </c>
      <c r="BJ67" s="15">
        <f>BJ$56*Altman!$H9+BJ$57*Altman!$I9+BJ$58*Altman!$J9+BJ$59*Altman!$K9+BJ$60*Altman!$L9</f>
        <v>-1.180219277</v>
      </c>
      <c r="BK67" s="15">
        <f>BK$56*Altman!$H9+BK$57*Altman!$I9+BK$58*Altman!$J9+BK$59*Altman!$K9+BK$60*Altman!$L9</f>
        <v>1.354311304</v>
      </c>
      <c r="BL67" s="15">
        <f>BL$56*Altman!$H9+BL$57*Altman!$I9+BL$58*Altman!$J9+BL$59*Altman!$K9+BL$60*Altman!$L9</f>
        <v>0</v>
      </c>
      <c r="BM67" s="15">
        <f>BM$56*Altman!$H9+BM$57*Altman!$I9+BM$58*Altman!$J9+BM$59*Altman!$K9+BM$60*Altman!$L9</f>
        <v>13.26537927</v>
      </c>
      <c r="BN67" s="15">
        <f>BN$56*Altman!$H9+BN$57*Altman!$I9+BN$58*Altman!$J9+BN$59*Altman!$K9+BN$60*Altman!$L9</f>
        <v>16.87130315</v>
      </c>
      <c r="BO67" s="15">
        <f>BO$56*Altman!$H9+BO$57*Altman!$I9+BO$58*Altman!$J9+BO$59*Altman!$K9+BO$60*Altman!$L9</f>
        <v>11.80358704</v>
      </c>
      <c r="BP67" s="15">
        <f>BP$56*Altman!$H9+BP$57*Altman!$I9+BP$58*Altman!$J9+BP$59*Altman!$K9+BP$60*Altman!$L9</f>
        <v>0</v>
      </c>
      <c r="BQ67" s="15">
        <f>BQ$56*Altman!$H9+BQ$57*Altman!$I9+BQ$58*Altman!$J9+BQ$59*Altman!$K9+BQ$60*Altman!$L9</f>
        <v>2.931436709</v>
      </c>
      <c r="BR67" s="15">
        <f>BR$56*Altman!$H9+BR$57*Altman!$I9+BR$58*Altman!$J9+BR$59*Altman!$K9+BR$60*Altman!$L9</f>
        <v>6.632521043</v>
      </c>
      <c r="BS67" s="15">
        <f>BS$56*Altman!$H9+BS$57*Altman!$I9+BS$58*Altman!$J9+BS$59*Altman!$K9+BS$60*Altman!$L9</f>
        <v>0</v>
      </c>
      <c r="BT67" s="15">
        <f>BT$56*Altman!$H9+BT$57*Altman!$I9+BT$58*Altman!$J9+BT$59*Altman!$K9+BT$60*Altman!$L9</f>
        <v>7.866533472</v>
      </c>
      <c r="BU67" s="15">
        <f>BU$56*Altman!$H9+BU$57*Altman!$I9+BU$58*Altman!$J9+BU$59*Altman!$K9+BU$60*Altman!$L9</f>
        <v>4.011021564</v>
      </c>
      <c r="BV67" s="15">
        <f>BV$56*Altman!$H9+BV$57*Altman!$I9+BV$58*Altman!$J9+BV$59*Altman!$K9+BV$60*Altman!$L9</f>
        <v>8.175296677</v>
      </c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</row>
    <row r="68" ht="15.75" customHeight="1">
      <c r="A68" s="7" t="s">
        <v>108</v>
      </c>
      <c r="B68" s="7"/>
      <c r="C68" s="7">
        <v>7.0</v>
      </c>
      <c r="D68" s="15">
        <f>D$56*Altman!$H10+D$57*Altman!$I10+D$58*Altman!$J10+D$59*Altman!$K10+D$60*Altman!$L10</f>
        <v>0.7913593843</v>
      </c>
      <c r="E68" s="15">
        <f>E$56*Altman!$H10+E$57*Altman!$I10+E$58*Altman!$J10+E$59*Altman!$K10+E$60*Altman!$L10</f>
        <v>0.8346332816</v>
      </c>
      <c r="F68" s="15">
        <f>F$56*Altman!$H10+F$57*Altman!$I10+F$58*Altman!$J10+F$59*Altman!$K10+F$60*Altman!$L10</f>
        <v>1.127781728</v>
      </c>
      <c r="G68" s="15">
        <f>G$56*Altman!$H10+G$57*Altman!$I10+G$58*Altman!$J10+G$59*Altman!$K10+G$60*Altman!$L10</f>
        <v>1.368359981</v>
      </c>
      <c r="H68" s="15">
        <f>H$56*Altman!$H10+H$57*Altman!$I10+H$58*Altman!$J10+H$59*Altman!$K10+H$60*Altman!$L10</f>
        <v>1.146436562</v>
      </c>
      <c r="I68" s="15">
        <f>I$56*Altman!$H10+I$57*Altman!$I10+I$58*Altman!$J10+I$59*Altman!$K10+I$60*Altman!$L10</f>
        <v>0</v>
      </c>
      <c r="J68" s="15">
        <f>J$56*Altman!$H10+J$57*Altman!$I10+J$58*Altman!$J10+J$59*Altman!$K10+J$60*Altman!$L10</f>
        <v>2.061041843</v>
      </c>
      <c r="K68" s="15">
        <f>K$56*Altman!$H10+K$57*Altman!$I10+K$58*Altman!$J10+K$59*Altman!$K10+K$60*Altman!$L10</f>
        <v>1.895769809</v>
      </c>
      <c r="L68" s="15">
        <f>L$56*Altman!$H10+L$57*Altman!$I10+L$58*Altman!$J10+L$59*Altman!$K10+L$60*Altman!$L10</f>
        <v>1.985128246</v>
      </c>
      <c r="M68" s="15">
        <f>M$56*Altman!$H10+M$57*Altman!$I10+M$58*Altman!$J10+M$59*Altman!$K10+M$60*Altman!$L10</f>
        <v>1.866951232</v>
      </c>
      <c r="N68" s="15">
        <f>N$56*Altman!$H10+N$57*Altman!$I10+N$58*Altman!$J10+N$59*Altman!$K10+N$60*Altman!$L10</f>
        <v>1.470623035</v>
      </c>
      <c r="O68" s="15">
        <f>O$56*Altman!$H10+O$57*Altman!$I10+O$58*Altman!$J10+O$59*Altman!$K10+O$60*Altman!$L10</f>
        <v>0</v>
      </c>
      <c r="P68" s="15">
        <f>P$56*Altman!$H10+P$57*Altman!$I10+P$58*Altman!$J10+P$59*Altman!$K10+P$60*Altman!$L10</f>
        <v>2.238221099</v>
      </c>
      <c r="Q68" s="15">
        <f>Q$56*Altman!$H10+Q$57*Altman!$I10+Q$58*Altman!$J10+Q$59*Altman!$K10+Q$60*Altman!$L10</f>
        <v>1.702043897</v>
      </c>
      <c r="R68" s="15">
        <f>R$56*Altman!$H10+R$57*Altman!$I10+R$58*Altman!$J10+R$59*Altman!$K10+R$60*Altman!$L10</f>
        <v>1.882091427</v>
      </c>
      <c r="S68" s="15">
        <f>S$56*Altman!$H10+S$57*Altman!$I10+S$58*Altman!$J10+S$59*Altman!$K10+S$60*Altman!$L10</f>
        <v>1.828491331</v>
      </c>
      <c r="T68" s="15">
        <f>T$56*Altman!$H10+T$57*Altman!$I10+T$58*Altman!$J10+T$59*Altman!$K10+T$60*Altman!$L10</f>
        <v>1.309077455</v>
      </c>
      <c r="U68" s="15">
        <f>U$56*Altman!$H10+U$57*Altman!$I10+U$58*Altman!$J10+U$59*Altman!$K10+U$60*Altman!$L10</f>
        <v>0</v>
      </c>
      <c r="V68" s="15">
        <f>V$56*Altman!$H10+V$57*Altman!$I10+V$58*Altman!$J10+V$59*Altman!$K10+V$60*Altman!$L10</f>
        <v>0.4822391082</v>
      </c>
      <c r="W68" s="15">
        <f>W$56*Altman!$H10+W$57*Altman!$I10+W$58*Altman!$J10+W$59*Altman!$K10+W$60*Altman!$L10</f>
        <v>4.710673504</v>
      </c>
      <c r="X68" s="15">
        <f>X$56*Altman!$H10+X$57*Altman!$I10+X$58*Altman!$J10+X$59*Altman!$K10+X$60*Altman!$L10</f>
        <v>2.066101357</v>
      </c>
      <c r="Y68" s="15">
        <f>Y$56*Altman!$H10+Y$57*Altman!$I10+Y$58*Altman!$J10+Y$59*Altman!$K10+Y$60*Altman!$L10</f>
        <v>1.134197297</v>
      </c>
      <c r="Z68" s="15">
        <f>Z$56*Altman!$H10+Z$57*Altman!$I10+Z$58*Altman!$J10+Z$59*Altman!$K10+Z$60*Altman!$L10</f>
        <v>0</v>
      </c>
      <c r="AA68" s="15">
        <f>AA$56*Altman!$H10+AA$57*Altman!$I10+AA$58*Altman!$J10+AA$59*Altman!$K10+AA$60*Altman!$L10</f>
        <v>0</v>
      </c>
      <c r="AB68" s="15">
        <f>AB$56*Altman!$H10+AB$57*Altman!$I10+AB$58*Altman!$J10+AB$59*Altman!$K10+AB$60*Altman!$L10</f>
        <v>2.054939872</v>
      </c>
      <c r="AC68" s="15">
        <f>AC$56*Altman!$H10+AC$57*Altman!$I10+AC$58*Altman!$J10+AC$59*Altman!$K10+AC$60*Altman!$L10</f>
        <v>2.230559923</v>
      </c>
      <c r="AD68" s="15">
        <f>AD$56*Altman!$H10+AD$57*Altman!$I10+AD$58*Altman!$J10+AD$59*Altman!$K10+AD$60*Altman!$L10</f>
        <v>2.492654813</v>
      </c>
      <c r="AE68" s="15">
        <f>AE$56*Altman!$H10+AE$57*Altman!$I10+AE$58*Altman!$J10+AE$59*Altman!$K10+AE$60*Altman!$L10</f>
        <v>0</v>
      </c>
      <c r="AF68" s="15">
        <f>AF$56*Altman!$H10+AF$57*Altman!$I10+AF$58*Altman!$J10+AF$59*Altman!$K10+AF$60*Altman!$L10</f>
        <v>0.957384998</v>
      </c>
      <c r="AG68" s="15">
        <f>AG$56*Altman!$H10+AG$57*Altman!$I10+AG$58*Altman!$J10+AG$59*Altman!$K10+AG$60*Altman!$L10</f>
        <v>0.9626285728</v>
      </c>
      <c r="AH68" s="15">
        <f>AH$56*Altman!$H10+AH$57*Altman!$I10+AH$58*Altman!$J10+AH$59*Altman!$K10+AH$60*Altman!$L10</f>
        <v>0.9601519229</v>
      </c>
      <c r="AI68" s="15">
        <f>AI$56*Altman!$H10+AI$57*Altman!$I10+AI$58*Altman!$J10+AI$59*Altman!$K10+AI$60*Altman!$L10</f>
        <v>0</v>
      </c>
      <c r="AJ68" s="15">
        <f>AJ$56*Altman!$H10+AJ$57*Altman!$I10+AJ$58*Altman!$J10+AJ$59*Altman!$K10+AJ$60*Altman!$L10</f>
        <v>-33.22815093</v>
      </c>
      <c r="AK68" s="15">
        <f>AK$56*Altman!$H10+AK$57*Altman!$I10+AK$58*Altman!$J10+AK$59*Altman!$K10+AK$60*Altman!$L10</f>
        <v>0.9870618945</v>
      </c>
      <c r="AL68" s="15">
        <f>AL$56*Altman!$H10+AL$57*Altman!$I10+AL$58*Altman!$J10+AL$59*Altman!$K10+AL$60*Altman!$L10</f>
        <v>0</v>
      </c>
      <c r="AM68" s="15">
        <f>AM$56*Altman!$H10+AM$57*Altman!$I10+AM$58*Altman!$J10+AM$59*Altman!$K10+AM$60*Altman!$L10</f>
        <v>2.169020863</v>
      </c>
      <c r="AN68" s="15">
        <f>AN$56*Altman!$H10+AN$57*Altman!$I10+AN$58*Altman!$J10+AN$59*Altman!$K10+AN$60*Altman!$L10</f>
        <v>2.170239018</v>
      </c>
      <c r="AO68" s="15">
        <f>AO$56*Altman!$H10+AO$57*Altman!$I10+AO$58*Altman!$J10+AO$59*Altman!$K10+AO$60*Altman!$L10</f>
        <v>1.593288731</v>
      </c>
      <c r="AP68" s="15">
        <f>AP$56*Altman!$H10+AP$57*Altman!$I10+AP$58*Altman!$J10+AP$59*Altman!$K10+AP$60*Altman!$L10</f>
        <v>0</v>
      </c>
      <c r="AQ68" s="15">
        <f>AQ$56*Altman!$H10+AQ$57*Altman!$I10+AQ$58*Altman!$J10+AQ$59*Altman!$K10+AQ$60*Altman!$L10</f>
        <v>3.43435865</v>
      </c>
      <c r="AR68" s="15">
        <f>AR$56*Altman!$H10+AR$57*Altman!$I10+AR$58*Altman!$J10+AR$59*Altman!$K10+AR$60*Altman!$L10</f>
        <v>2.690678649</v>
      </c>
      <c r="AS68" s="15">
        <f>AS$56*Altman!$H10+AS$57*Altman!$I10+AS$58*Altman!$J10+AS$59*Altman!$K10+AS$60*Altman!$L10</f>
        <v>2.176129783</v>
      </c>
      <c r="AT68" s="15">
        <f>AT$56*Altman!$H10+AT$57*Altman!$I10+AT$58*Altman!$J10+AT$59*Altman!$K10+AT$60*Altman!$L10</f>
        <v>0</v>
      </c>
      <c r="AU68" s="15">
        <f>AU$56*Altman!$H10+AU$57*Altman!$I10+AU$58*Altman!$J10+AU$59*Altman!$K10+AU$60*Altman!$L10</f>
        <v>1.474397093</v>
      </c>
      <c r="AV68" s="15">
        <f>AV$56*Altman!$H10+AV$57*Altman!$I10+AV$58*Altman!$J10+AV$59*Altman!$K10+AV$60*Altman!$L10</f>
        <v>1.610267576</v>
      </c>
      <c r="AW68" s="15">
        <f>AW$56*Altman!$H10+AW$57*Altman!$I10+AW$58*Altman!$J10+AW$59*Altman!$K10+AW$60*Altman!$L10</f>
        <v>1.710026995</v>
      </c>
      <c r="AX68" s="15">
        <f>AX$56*Altman!$H10+AX$57*Altman!$I10+AX$58*Altman!$J10+AX$59*Altman!$K10+AX$60*Altman!$L10</f>
        <v>0</v>
      </c>
      <c r="AY68" s="15">
        <f>AY$56*Altman!$H10+AY$57*Altman!$I10+AY$58*Altman!$J10+AY$59*Altman!$K10+AY$60*Altman!$L10</f>
        <v>2.385247921</v>
      </c>
      <c r="AZ68" s="15">
        <f>AZ$56*Altman!$H10+AZ$57*Altman!$I10+AZ$58*Altman!$J10+AZ$59*Altman!$K10+AZ$60*Altman!$L10</f>
        <v>1.280392231</v>
      </c>
      <c r="BA68" s="15">
        <f>BA$56*Altman!$H10+BA$57*Altman!$I10+BA$58*Altman!$J10+BA$59*Altman!$K10+BA$60*Altman!$L10</f>
        <v>1.389666857</v>
      </c>
      <c r="BB68" s="15">
        <f>BB$56*Altman!$H10+BB$57*Altman!$I10+BB$58*Altman!$J10+BB$59*Altman!$K10+BB$60*Altman!$L10</f>
        <v>1.783025355</v>
      </c>
      <c r="BC68" s="15">
        <f>BC$56*Altman!$H10+BC$57*Altman!$I10+BC$58*Altman!$J10+BC$59*Altman!$K10+BC$60*Altman!$L10</f>
        <v>0</v>
      </c>
      <c r="BD68" s="15">
        <f>BD$56*Altman!$H10+BD$57*Altman!$I10+BD$58*Altman!$J10+BD$59*Altman!$K10+BD$60*Altman!$L10</f>
        <v>1.37517863</v>
      </c>
      <c r="BE68" s="15">
        <f>BE$56*Altman!$H10+BE$57*Altman!$I10+BE$58*Altman!$J10+BE$59*Altman!$K10+BE$60*Altman!$L10</f>
        <v>1.454339077</v>
      </c>
      <c r="BF68" s="15">
        <f>BF$56*Altman!$H10+BF$57*Altman!$I10+BF$58*Altman!$J10+BF$59*Altman!$K10+BF$60*Altman!$L10</f>
        <v>1.449678989</v>
      </c>
      <c r="BG68" s="15">
        <f>BG$56*Altman!$H10+BG$57*Altman!$I10+BG$58*Altman!$J10+BG$59*Altman!$K10+BG$60*Altman!$L10</f>
        <v>1.042430066</v>
      </c>
      <c r="BH68" s="15">
        <f>BH$56*Altman!$H10+BH$57*Altman!$I10+BH$58*Altman!$J10+BH$59*Altman!$K10+BH$60*Altman!$L10</f>
        <v>0</v>
      </c>
      <c r="BI68" s="15">
        <f>BI$56*Altman!$H10+BI$57*Altman!$I10+BI$58*Altman!$J10+BI$59*Altman!$K10+BI$60*Altman!$L10</f>
        <v>3.017058567</v>
      </c>
      <c r="BJ68" s="15">
        <f>BJ$56*Altman!$H10+BJ$57*Altman!$I10+BJ$58*Altman!$J10+BJ$59*Altman!$K10+BJ$60*Altman!$L10</f>
        <v>2.718960619</v>
      </c>
      <c r="BK68" s="15">
        <f>BK$56*Altman!$H10+BK$57*Altman!$I10+BK$58*Altman!$J10+BK$59*Altman!$K10+BK$60*Altman!$L10</f>
        <v>3.179864461</v>
      </c>
      <c r="BL68" s="15">
        <f>BL$56*Altman!$H10+BL$57*Altman!$I10+BL$58*Altman!$J10+BL$59*Altman!$K10+BL$60*Altman!$L10</f>
        <v>0</v>
      </c>
      <c r="BM68" s="15">
        <f>BM$56*Altman!$H10+BM$57*Altman!$I10+BM$58*Altman!$J10+BM$59*Altman!$K10+BM$60*Altman!$L10</f>
        <v>8.100608069</v>
      </c>
      <c r="BN68" s="15">
        <f>BN$56*Altman!$H10+BN$57*Altman!$I10+BN$58*Altman!$J10+BN$59*Altman!$K10+BN$60*Altman!$L10</f>
        <v>11.22003749</v>
      </c>
      <c r="BO68" s="15">
        <f>BO$56*Altman!$H10+BO$57*Altman!$I10+BO$58*Altman!$J10+BO$59*Altman!$K10+BO$60*Altman!$L10</f>
        <v>6.358316346</v>
      </c>
      <c r="BP68" s="15">
        <f>BP$56*Altman!$H10+BP$57*Altman!$I10+BP$58*Altman!$J10+BP$59*Altman!$K10+BP$60*Altman!$L10</f>
        <v>0</v>
      </c>
      <c r="BQ68" s="15">
        <f>BQ$56*Altman!$H10+BQ$57*Altman!$I10+BQ$58*Altman!$J10+BQ$59*Altman!$K10+BQ$60*Altman!$L10</f>
        <v>7.607611359</v>
      </c>
      <c r="BR68" s="15">
        <f>BR$56*Altman!$H10+BR$57*Altman!$I10+BR$58*Altman!$J10+BR$59*Altman!$K10+BR$60*Altman!$L10</f>
        <v>2.957721722</v>
      </c>
      <c r="BS68" s="15">
        <f>BS$56*Altman!$H10+BS$57*Altman!$I10+BS$58*Altman!$J10+BS$59*Altman!$K10+BS$60*Altman!$L10</f>
        <v>0</v>
      </c>
      <c r="BT68" s="15">
        <f>BT$56*Altman!$H10+BT$57*Altman!$I10+BT$58*Altman!$J10+BT$59*Altman!$K10+BT$60*Altman!$L10</f>
        <v>4.778373775</v>
      </c>
      <c r="BU68" s="15">
        <f>BU$56*Altman!$H10+BU$57*Altman!$I10+BU$58*Altman!$J10+BU$59*Altman!$K10+BU$60*Altman!$L10</f>
        <v>2.961764181</v>
      </c>
      <c r="BV68" s="15">
        <f>BV$56*Altman!$H10+BV$57*Altman!$I10+BV$58*Altman!$J10+BV$59*Altman!$K10+BV$60*Altman!$L10</f>
        <v>3.357073688</v>
      </c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</row>
    <row r="69" ht="15.75" customHeight="1">
      <c r="A69" s="7" t="s">
        <v>109</v>
      </c>
      <c r="B69" s="7"/>
      <c r="C69" s="7">
        <v>8.0</v>
      </c>
      <c r="D69" s="15">
        <f>D$56*Altman!$H11+D$57*Altman!$I11+D$58*Altman!$J11+D$59*Altman!$K11+D$60*Altman!$L11</f>
        <v>0.8339081448</v>
      </c>
      <c r="E69" s="15">
        <f>E$56*Altman!$H11+E$57*Altman!$I11+E$58*Altman!$J11+E$59*Altman!$K11+E$60*Altman!$L11</f>
        <v>0.606209422</v>
      </c>
      <c r="F69" s="15">
        <f>F$56*Altman!$H11+F$57*Altman!$I11+F$58*Altman!$J11+F$59*Altman!$K11+F$60*Altman!$L11</f>
        <v>0.9291309483</v>
      </c>
      <c r="G69" s="15">
        <f>G$56*Altman!$H11+G$57*Altman!$I11+G$58*Altman!$J11+G$59*Altman!$K11+G$60*Altman!$L11</f>
        <v>1.209408657</v>
      </c>
      <c r="H69" s="15">
        <f>H$56*Altman!$H11+H$57*Altman!$I11+H$58*Altman!$J11+H$59*Altman!$K11+H$60*Altman!$L11</f>
        <v>0.8329242465</v>
      </c>
      <c r="I69" s="15">
        <f>I$56*Altman!$H11+I$57*Altman!$I11+I$58*Altman!$J11+I$59*Altman!$K11+I$60*Altman!$L11</f>
        <v>0</v>
      </c>
      <c r="J69" s="15">
        <f>J$56*Altman!$H11+J$57*Altman!$I11+J$58*Altman!$J11+J$59*Altman!$K11+J$60*Altman!$L11</f>
        <v>1.853441818</v>
      </c>
      <c r="K69" s="15">
        <f>K$56*Altman!$H11+K$57*Altman!$I11+K$58*Altman!$J11+K$59*Altman!$K11+K$60*Altman!$L11</f>
        <v>1.667687717</v>
      </c>
      <c r="L69" s="15">
        <f>L$56*Altman!$H11+L$57*Altman!$I11+L$58*Altman!$J11+L$59*Altman!$K11+L$60*Altman!$L11</f>
        <v>1.780779653</v>
      </c>
      <c r="M69" s="15">
        <f>M$56*Altman!$H11+M$57*Altman!$I11+M$58*Altman!$J11+M$59*Altman!$K11+M$60*Altman!$L11</f>
        <v>1.685519664</v>
      </c>
      <c r="N69" s="15">
        <f>N$56*Altman!$H11+N$57*Altman!$I11+N$58*Altman!$J11+N$59*Altman!$K11+N$60*Altman!$L11</f>
        <v>1.298517607</v>
      </c>
      <c r="O69" s="15">
        <f>O$56*Altman!$H11+O$57*Altman!$I11+O$58*Altman!$J11+O$59*Altman!$K11+O$60*Altman!$L11</f>
        <v>0</v>
      </c>
      <c r="P69" s="15">
        <f>P$56*Altman!$H11+P$57*Altman!$I11+P$58*Altman!$J11+P$59*Altman!$K11+P$60*Altman!$L11</f>
        <v>1.660374711</v>
      </c>
      <c r="Q69" s="15">
        <f>Q$56*Altman!$H11+Q$57*Altman!$I11+Q$58*Altman!$J11+Q$59*Altman!$K11+Q$60*Altman!$L11</f>
        <v>1.076968497</v>
      </c>
      <c r="R69" s="15">
        <f>R$56*Altman!$H11+R$57*Altman!$I11+R$58*Altman!$J11+R$59*Altman!$K11+R$60*Altman!$L11</f>
        <v>1.270930605</v>
      </c>
      <c r="S69" s="15">
        <f>S$56*Altman!$H11+S$57*Altman!$I11+S$58*Altman!$J11+S$59*Altman!$K11+S$60*Altman!$L11</f>
        <v>1.274776894</v>
      </c>
      <c r="T69" s="15">
        <f>T$56*Altman!$H11+T$57*Altman!$I11+T$58*Altman!$J11+T$59*Altman!$K11+T$60*Altman!$L11</f>
        <v>0.8312821634</v>
      </c>
      <c r="U69" s="15">
        <f>U$56*Altman!$H11+U$57*Altman!$I11+U$58*Altman!$J11+U$59*Altman!$K11+U$60*Altman!$L11</f>
        <v>0</v>
      </c>
      <c r="V69" s="15">
        <f>V$56*Altman!$H11+V$57*Altman!$I11+V$58*Altman!$J11+V$59*Altman!$K11+V$60*Altman!$L11</f>
        <v>0.02779957452</v>
      </c>
      <c r="W69" s="15">
        <f>W$56*Altman!$H11+W$57*Altman!$I11+W$58*Altman!$J11+W$59*Altman!$K11+W$60*Altman!$L11</f>
        <v>3.410356109</v>
      </c>
      <c r="X69" s="15">
        <f>X$56*Altman!$H11+X$57*Altman!$I11+X$58*Altman!$J11+X$59*Altman!$K11+X$60*Altman!$L11</f>
        <v>1.898227961</v>
      </c>
      <c r="Y69" s="15">
        <f>Y$56*Altman!$H11+Y$57*Altman!$I11+Y$58*Altman!$J11+Y$59*Altman!$K11+Y$60*Altman!$L11</f>
        <v>0.8892428547</v>
      </c>
      <c r="Z69" s="15">
        <f>Z$56*Altman!$H11+Z$57*Altman!$I11+Z$58*Altman!$J11+Z$59*Altman!$K11+Z$60*Altman!$L11</f>
        <v>0</v>
      </c>
      <c r="AA69" s="15">
        <f>AA$56*Altman!$H11+AA$57*Altman!$I11+AA$58*Altman!$J11+AA$59*Altman!$K11+AA$60*Altman!$L11</f>
        <v>0</v>
      </c>
      <c r="AB69" s="15">
        <f>AB$56*Altman!$H11+AB$57*Altman!$I11+AB$58*Altman!$J11+AB$59*Altman!$K11+AB$60*Altman!$L11</f>
        <v>1.908189298</v>
      </c>
      <c r="AC69" s="15">
        <f>AC$56*Altman!$H11+AC$57*Altman!$I11+AC$58*Altman!$J11+AC$59*Altman!$K11+AC$60*Altman!$L11</f>
        <v>2.048678645</v>
      </c>
      <c r="AD69" s="15">
        <f>AD$56*Altman!$H11+AD$57*Altman!$I11+AD$58*Altman!$J11+AD$59*Altman!$K11+AD$60*Altman!$L11</f>
        <v>2.378856529</v>
      </c>
      <c r="AE69" s="15">
        <f>AE$56*Altman!$H11+AE$57*Altman!$I11+AE$58*Altman!$J11+AE$59*Altman!$K11+AE$60*Altman!$L11</f>
        <v>0</v>
      </c>
      <c r="AF69" s="15">
        <f>AF$56*Altman!$H11+AF$57*Altman!$I11+AF$58*Altman!$J11+AF$59*Altman!$K11+AF$60*Altman!$L11</f>
        <v>1.403827645</v>
      </c>
      <c r="AG69" s="15">
        <f>AG$56*Altman!$H11+AG$57*Altman!$I11+AG$58*Altman!$J11+AG$59*Altman!$K11+AG$60*Altman!$L11</f>
        <v>1.409491228</v>
      </c>
      <c r="AH69" s="15">
        <f>AH$56*Altman!$H11+AH$57*Altman!$I11+AH$58*Altman!$J11+AH$59*Altman!$K11+AH$60*Altman!$L11</f>
        <v>1.406714555</v>
      </c>
      <c r="AI69" s="15">
        <f>AI$56*Altman!$H11+AI$57*Altman!$I11+AI$58*Altman!$J11+AI$59*Altman!$K11+AI$60*Altman!$L11</f>
        <v>0</v>
      </c>
      <c r="AJ69" s="15">
        <f>AJ$56*Altman!$H11+AJ$57*Altman!$I11+AJ$58*Altman!$J11+AJ$59*Altman!$K11+AJ$60*Altman!$L11</f>
        <v>-84.20371067</v>
      </c>
      <c r="AK69" s="15">
        <f>AK$56*Altman!$H11+AK$57*Altman!$I11+AK$58*Altman!$J11+AK$59*Altman!$K11+AK$60*Altman!$L11</f>
        <v>1.056855549</v>
      </c>
      <c r="AL69" s="15">
        <f>AL$56*Altman!$H11+AL$57*Altman!$I11+AL$58*Altman!$J11+AL$59*Altman!$K11+AL$60*Altman!$L11</f>
        <v>0</v>
      </c>
      <c r="AM69" s="15">
        <f>AM$56*Altman!$H11+AM$57*Altman!$I11+AM$58*Altman!$J11+AM$59*Altman!$K11+AM$60*Altman!$L11</f>
        <v>2.122104942</v>
      </c>
      <c r="AN69" s="15">
        <f>AN$56*Altman!$H11+AN$57*Altman!$I11+AN$58*Altman!$J11+AN$59*Altman!$K11+AN$60*Altman!$L11</f>
        <v>2.192169385</v>
      </c>
      <c r="AO69" s="15">
        <f>AO$56*Altman!$H11+AO$57*Altman!$I11+AO$58*Altman!$J11+AO$59*Altman!$K11+AO$60*Altman!$L11</f>
        <v>1.470832929</v>
      </c>
      <c r="AP69" s="15">
        <f>AP$56*Altman!$H11+AP$57*Altman!$I11+AP$58*Altman!$J11+AP$59*Altman!$K11+AP$60*Altman!$L11</f>
        <v>0</v>
      </c>
      <c r="AQ69" s="15">
        <f>AQ$56*Altman!$H11+AQ$57*Altman!$I11+AQ$58*Altman!$J11+AQ$59*Altman!$K11+AQ$60*Altman!$L11</f>
        <v>3.68592792</v>
      </c>
      <c r="AR69" s="15">
        <f>AR$56*Altman!$H11+AR$57*Altman!$I11+AR$58*Altman!$J11+AR$59*Altman!$K11+AR$60*Altman!$L11</f>
        <v>2.989506383</v>
      </c>
      <c r="AS69" s="15">
        <f>AS$56*Altman!$H11+AS$57*Altman!$I11+AS$58*Altman!$J11+AS$59*Altman!$K11+AS$60*Altman!$L11</f>
        <v>2.347321071</v>
      </c>
      <c r="AT69" s="15">
        <f>AT$56*Altman!$H11+AT$57*Altman!$I11+AT$58*Altman!$J11+AT$59*Altman!$K11+AT$60*Altman!$L11</f>
        <v>0</v>
      </c>
      <c r="AU69" s="15">
        <f>AU$56*Altman!$H11+AU$57*Altman!$I11+AU$58*Altman!$J11+AU$59*Altman!$K11+AU$60*Altman!$L11</f>
        <v>1.830907643</v>
      </c>
      <c r="AV69" s="15">
        <f>AV$56*Altman!$H11+AV$57*Altman!$I11+AV$58*Altman!$J11+AV$59*Altman!$K11+AV$60*Altman!$L11</f>
        <v>1.944795936</v>
      </c>
      <c r="AW69" s="15">
        <f>AW$56*Altman!$H11+AW$57*Altman!$I11+AW$58*Altman!$J11+AW$59*Altman!$K11+AW$60*Altman!$L11</f>
        <v>2.067187414</v>
      </c>
      <c r="AX69" s="15">
        <f>AX$56*Altman!$H11+AX$57*Altman!$I11+AX$58*Altman!$J11+AX$59*Altman!$K11+AX$60*Altman!$L11</f>
        <v>0</v>
      </c>
      <c r="AY69" s="15">
        <f>AY$56*Altman!$H11+AY$57*Altman!$I11+AY$58*Altman!$J11+AY$59*Altman!$K11+AY$60*Altman!$L11</f>
        <v>2.169731342</v>
      </c>
      <c r="AZ69" s="15">
        <f>AZ$56*Altman!$H11+AZ$57*Altman!$I11+AZ$58*Altman!$J11+AZ$59*Altman!$K11+AZ$60*Altman!$L11</f>
        <v>1.494870838</v>
      </c>
      <c r="BA69" s="15">
        <f>BA$56*Altman!$H11+BA$57*Altman!$I11+BA$58*Altman!$J11+BA$59*Altman!$K11+BA$60*Altman!$L11</f>
        <v>1.559023014</v>
      </c>
      <c r="BB69" s="15">
        <f>BB$56*Altman!$H11+BB$57*Altman!$I11+BB$58*Altman!$J11+BB$59*Altman!$K11+BB$60*Altman!$L11</f>
        <v>1.894107187</v>
      </c>
      <c r="BC69" s="15">
        <f>BC$56*Altman!$H11+BC$57*Altman!$I11+BC$58*Altman!$J11+BC$59*Altman!$K11+BC$60*Altman!$L11</f>
        <v>0</v>
      </c>
      <c r="BD69" s="15">
        <f>BD$56*Altman!$H11+BD$57*Altman!$I11+BD$58*Altman!$J11+BD$59*Altman!$K11+BD$60*Altman!$L11</f>
        <v>1.296844467</v>
      </c>
      <c r="BE69" s="15">
        <f>BE$56*Altman!$H11+BE$57*Altman!$I11+BE$58*Altman!$J11+BE$59*Altman!$K11+BE$60*Altman!$L11</f>
        <v>1.410679821</v>
      </c>
      <c r="BF69" s="15">
        <f>BF$56*Altman!$H11+BF$57*Altman!$I11+BF$58*Altman!$J11+BF$59*Altman!$K11+BF$60*Altman!$L11</f>
        <v>1.455288275</v>
      </c>
      <c r="BG69" s="15">
        <f>BG$56*Altman!$H11+BG$57*Altman!$I11+BG$58*Altman!$J11+BG$59*Altman!$K11+BG$60*Altman!$L11</f>
        <v>1.083680597</v>
      </c>
      <c r="BH69" s="15">
        <f>BH$56*Altman!$H11+BH$57*Altman!$I11+BH$58*Altman!$J11+BH$59*Altman!$K11+BH$60*Altman!$L11</f>
        <v>0</v>
      </c>
      <c r="BI69" s="15">
        <f>BI$56*Altman!$H11+BI$57*Altman!$I11+BI$58*Altman!$J11+BI$59*Altman!$K11+BI$60*Altman!$L11</f>
        <v>2.936687115</v>
      </c>
      <c r="BJ69" s="15">
        <f>BJ$56*Altman!$H11+BJ$57*Altman!$I11+BJ$58*Altman!$J11+BJ$59*Altman!$K11+BJ$60*Altman!$L11</f>
        <v>2.626520988</v>
      </c>
      <c r="BK69" s="15">
        <f>BK$56*Altman!$H11+BK$57*Altman!$I11+BK$58*Altman!$J11+BK$59*Altman!$K11+BK$60*Altman!$L11</f>
        <v>3.224965675</v>
      </c>
      <c r="BL69" s="15">
        <f>BL$56*Altman!$H11+BL$57*Altman!$I11+BL$58*Altman!$J11+BL$59*Altman!$K11+BL$60*Altman!$L11</f>
        <v>0</v>
      </c>
      <c r="BM69" s="15">
        <f>BM$56*Altman!$H11+BM$57*Altman!$I11+BM$58*Altman!$J11+BM$59*Altman!$K11+BM$60*Altman!$L11</f>
        <v>5.926533754</v>
      </c>
      <c r="BN69" s="15">
        <f>BN$56*Altman!$H11+BN$57*Altman!$I11+BN$58*Altman!$J11+BN$59*Altman!$K11+BN$60*Altman!$L11</f>
        <v>7.674866412</v>
      </c>
      <c r="BO69" s="15">
        <f>BO$56*Altman!$H11+BO$57*Altman!$I11+BO$58*Altman!$J11+BO$59*Altman!$K11+BO$60*Altman!$L11</f>
        <v>5.119694553</v>
      </c>
      <c r="BP69" s="15">
        <f>BP$56*Altman!$H11+BP$57*Altman!$I11+BP$58*Altman!$J11+BP$59*Altman!$K11+BP$60*Altman!$L11</f>
        <v>0</v>
      </c>
      <c r="BQ69" s="15">
        <f>BQ$56*Altman!$H11+BQ$57*Altman!$I11+BQ$58*Altman!$J11+BQ$59*Altman!$K11+BQ$60*Altman!$L11</f>
        <v>7.846259365</v>
      </c>
      <c r="BR69" s="15">
        <f>BR$56*Altman!$H11+BR$57*Altman!$I11+BR$58*Altman!$J11+BR$59*Altman!$K11+BR$60*Altman!$L11</f>
        <v>3.440948655</v>
      </c>
      <c r="BS69" s="15">
        <f>BS$56*Altman!$H11+BS$57*Altman!$I11+BS$58*Altman!$J11+BS$59*Altman!$K11+BS$60*Altman!$L11</f>
        <v>0</v>
      </c>
      <c r="BT69" s="15">
        <f>BT$56*Altman!$H11+BT$57*Altman!$I11+BT$58*Altman!$J11+BT$59*Altman!$K11+BT$60*Altman!$L11</f>
        <v>4.463089213</v>
      </c>
      <c r="BU69" s="15">
        <f>BU$56*Altman!$H11+BU$57*Altman!$I11+BU$58*Altman!$J11+BU$59*Altman!$K11+BU$60*Altman!$L11</f>
        <v>3.225989374</v>
      </c>
      <c r="BV69" s="15">
        <f>BV$56*Altman!$H11+BV$57*Altman!$I11+BV$58*Altman!$J11+BV$59*Altman!$K11+BV$60*Altman!$L11</f>
        <v>3.926740524</v>
      </c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</row>
    <row r="70" ht="15.75" customHeight="1">
      <c r="A70" s="16"/>
      <c r="B70" s="16"/>
      <c r="C70" s="16"/>
      <c r="D70" s="17">
        <f t="array" ref="D70">index(D62:D70,sel)</f>
        <v>0.5502354513</v>
      </c>
      <c r="E70" s="17">
        <f t="array" ref="E70">index(E62:E70,sel)</f>
        <v>0.1172008081</v>
      </c>
      <c r="F70" s="17">
        <f t="array" ref="F70">index(F62:F70,sel)</f>
        <v>1.0202474</v>
      </c>
      <c r="G70" s="17">
        <f t="array" ref="G70">index(G62:G70,sel)</f>
        <v>2.201389496</v>
      </c>
      <c r="H70" s="17">
        <f t="array" ref="H70">index(H62:H70,sel)</f>
        <v>1.329194677</v>
      </c>
      <c r="I70" s="17">
        <f t="array" ref="I70">index(I62:I70,sel)</f>
        <v>0</v>
      </c>
      <c r="J70" s="17">
        <f t="array" ref="J70">index(J62:J70,sel)</f>
        <v>4.804835509</v>
      </c>
      <c r="K70" s="17">
        <f t="array" ref="K70">index(K62:K70,sel)</f>
        <v>4.253855989</v>
      </c>
      <c r="L70" s="17">
        <f t="array" ref="L70">index(L62:L70,sel)</f>
        <v>4.812345677</v>
      </c>
      <c r="M70" s="17">
        <f t="array" ref="M70">index(M62:M70,sel)</f>
        <v>4.518941714</v>
      </c>
      <c r="N70" s="17">
        <f t="array" ref="N70">index(N62:N70,sel)</f>
        <v>3.370696848</v>
      </c>
      <c r="O70" s="17">
        <f t="array" ref="O70">index(O62:O70,sel)</f>
        <v>0</v>
      </c>
      <c r="P70" s="17">
        <f t="array" ref="P70">index(P62:P70,sel)</f>
        <v>5.325112183</v>
      </c>
      <c r="Q70" s="17">
        <f t="array" ref="Q70">index(Q62:Q70,sel)</f>
        <v>1.782246336</v>
      </c>
      <c r="R70" s="17">
        <f t="array" ref="R70">index(R62:R70,sel)</f>
        <v>2.025882791</v>
      </c>
      <c r="S70" s="17">
        <f t="array" ref="S70">index(S62:S70,sel)</f>
        <v>2.129344349</v>
      </c>
      <c r="T70" s="17">
        <f t="array" ref="T70">index(T62:T70,sel)</f>
        <v>1.238844968</v>
      </c>
      <c r="U70" s="17">
        <f t="array" ref="U70">index(U62:U70,sel)</f>
        <v>0</v>
      </c>
      <c r="V70" s="17">
        <f t="array" ref="V70">index(V62:V70,sel)</f>
        <v>-1.916315205</v>
      </c>
      <c r="W70" s="17">
        <f t="array" ref="W70">index(W62:W70,sel)</f>
        <v>6.307903323</v>
      </c>
      <c r="X70" s="17">
        <f t="array" ref="X70">index(X62:X70,sel)</f>
        <v>3.216829066</v>
      </c>
      <c r="Y70" s="17">
        <f t="array" ref="Y70">index(Y62:Y70,sel)</f>
        <v>0.6636472932</v>
      </c>
      <c r="Z70" s="17">
        <f t="array" ref="Z70">index(Z62:Z70,sel)</f>
        <v>0</v>
      </c>
      <c r="AA70" s="17">
        <f t="array" ref="AA70">index(AA62:AA70,sel)</f>
        <v>0</v>
      </c>
      <c r="AB70" s="17">
        <f t="array" ref="AB70">index(AB62:AB70,sel)</f>
        <v>4.736312114</v>
      </c>
      <c r="AC70" s="17">
        <f t="array" ref="AC70">index(AC62:AC70,sel)</f>
        <v>4.436482251</v>
      </c>
      <c r="AD70" s="17">
        <f t="array" ref="AD70">index(AD62:AD70,sel)</f>
        <v>5.594433365</v>
      </c>
      <c r="AE70" s="17">
        <f t="array" ref="AE70">index(AE62:AE70,sel)</f>
        <v>0</v>
      </c>
      <c r="AF70" s="17">
        <f t="array" ref="AF70">index(AF62:AF70,sel)</f>
        <v>6.067696208</v>
      </c>
      <c r="AG70" s="17">
        <f t="array" ref="AG70">index(AG62:AG70,sel)</f>
        <v>6.070282104</v>
      </c>
      <c r="AH70" s="17">
        <f t="array" ref="AH70">index(AH62:AH70,sel)</f>
        <v>6.069338633</v>
      </c>
      <c r="AI70" s="17">
        <f t="array" ref="AI70">index(AI62:AI70,sel)</f>
        <v>0</v>
      </c>
      <c r="AJ70" s="17">
        <f t="array" ref="AJ70">index(AJ62:AJ70,sel)</f>
        <v>-227.0411743</v>
      </c>
      <c r="AK70" s="17">
        <f t="array" ref="AK70">index(AK62:AK70,sel)</f>
        <v>2.13277598</v>
      </c>
      <c r="AL70" s="17">
        <f t="array" ref="AL70">index(AL62:AL70,sel)</f>
        <v>0</v>
      </c>
      <c r="AM70" s="17">
        <f t="array" ref="AM70">index(AM62:AM70,sel)</f>
        <v>3.091521272</v>
      </c>
      <c r="AN70" s="17">
        <f t="array" ref="AN70">index(AN62:AN70,sel)</f>
        <v>3.735142658</v>
      </c>
      <c r="AO70" s="17">
        <f t="array" ref="AO70">index(AO62:AO70,sel)</f>
        <v>2.918680073</v>
      </c>
      <c r="AP70" s="17">
        <f t="array" ref="AP70">index(AP62:AP70,sel)</f>
        <v>0</v>
      </c>
      <c r="AQ70" s="17">
        <f t="array" ref="AQ70">index(AQ62:AQ70,sel)</f>
        <v>8.323118844</v>
      </c>
      <c r="AR70" s="17">
        <f t="array" ref="AR70">index(AR62:AR70,sel)</f>
        <v>7.935563828</v>
      </c>
      <c r="AS70" s="17">
        <f t="array" ref="AS70">index(AS62:AS70,sel)</f>
        <v>7.962367569</v>
      </c>
      <c r="AT70" s="17">
        <f t="array" ref="AT70">index(AT62:AT70,sel)</f>
        <v>0</v>
      </c>
      <c r="AU70" s="17">
        <f t="array" ref="AU70">index(AU62:AU70,sel)</f>
        <v>6.264082403</v>
      </c>
      <c r="AV70" s="17">
        <f t="array" ref="AV70">index(AV62:AV70,sel)</f>
        <v>6.014823775</v>
      </c>
      <c r="AW70" s="17">
        <f t="array" ref="AW70">index(AW62:AW70,sel)</f>
        <v>5.960705375</v>
      </c>
      <c r="AX70" s="17">
        <f t="array" ref="AX70">index(AX62:AX70,sel)</f>
        <v>0</v>
      </c>
      <c r="AY70" s="17">
        <f t="array" ref="AY70">index(AY62:AY70,sel)</f>
        <v>6.908867972</v>
      </c>
      <c r="AZ70" s="17">
        <f t="array" ref="AZ70">index(AZ62:AZ70,sel)</f>
        <v>5.692604186</v>
      </c>
      <c r="BA70" s="17">
        <f t="array" ref="BA70">index(BA62:BA70,sel)</f>
        <v>5.195133822</v>
      </c>
      <c r="BB70" s="17">
        <f t="array" ref="BB70">index(BB62:BB70,sel)</f>
        <v>5.647645127</v>
      </c>
      <c r="BC70" s="17">
        <f t="array" ref="BC70">index(BC62:BC70,sel)</f>
        <v>0</v>
      </c>
      <c r="BD70" s="17">
        <f t="array" ref="BD70">index(BD62:BD70,sel)</f>
        <v>3.218927293</v>
      </c>
      <c r="BE70" s="17">
        <f t="array" ref="BE70">index(BE62:BE70,sel)</f>
        <v>3.342770127</v>
      </c>
      <c r="BF70" s="17">
        <f t="array" ref="BF70">index(BF62:BF70,sel)</f>
        <v>3.413000095</v>
      </c>
      <c r="BG70" s="17">
        <f t="array" ref="BG70">index(BG62:BG70,sel)</f>
        <v>2.38664768</v>
      </c>
      <c r="BH70" s="17">
        <f t="array" ref="BH70">index(BH62:BH70,sel)</f>
        <v>0</v>
      </c>
      <c r="BI70" s="17">
        <f t="array" ref="BI70">index(BI62:BI70,sel)</f>
        <v>0.1217660605</v>
      </c>
      <c r="BJ70" s="17">
        <f t="array" ref="BJ70">index(BJ62:BJ70,sel)</f>
        <v>-1.180219277</v>
      </c>
      <c r="BK70" s="17">
        <f t="array" ref="BK70">index(BK62:BK70,sel)</f>
        <v>1.354311304</v>
      </c>
      <c r="BL70" s="17">
        <f t="array" ref="BL70">index(BL62:BL70,sel)</f>
        <v>0</v>
      </c>
      <c r="BM70" s="17">
        <f t="array" ref="BM70">index(BM62:BM70,sel)</f>
        <v>13.26537927</v>
      </c>
      <c r="BN70" s="17">
        <f t="array" ref="BN70">index(BN62:BN70,sel)</f>
        <v>16.87130315</v>
      </c>
      <c r="BO70" s="17">
        <f t="array" ref="BO70">index(BO62:BO70,sel)</f>
        <v>11.80358704</v>
      </c>
      <c r="BP70" s="17">
        <f t="array" ref="BP70">index(BP62:BP70,sel)</f>
        <v>0</v>
      </c>
      <c r="BQ70" s="17">
        <f t="array" ref="BQ70">index(BQ62:BQ70,sel)</f>
        <v>2.931436709</v>
      </c>
      <c r="BR70" s="17">
        <f t="array" ref="BR70">index(BR62:BR70,sel)</f>
        <v>6.632521043</v>
      </c>
      <c r="BS70" s="17">
        <f t="array" ref="BS70">index(BS62:BS70,sel)</f>
        <v>0</v>
      </c>
      <c r="BT70" s="17">
        <f t="array" ref="BT70">index(BT62:BT70,sel)</f>
        <v>7.866533472</v>
      </c>
      <c r="BU70" s="17">
        <f t="array" ref="BU70">index(BU62:BU70,sel)</f>
        <v>4.011021564</v>
      </c>
      <c r="BV70" s="17">
        <f t="array" ref="BV70">index(BV62:BV70,sel)</f>
        <v>8.175296677</v>
      </c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</row>
    <row r="71" ht="15.75" customHeight="1">
      <c r="A71" s="19" t="str">
        <f t="array" ref="A71">index(A62:A69,sel)</f>
        <v>3. Z'' para No Manufactureras y Mercados Emergentes</v>
      </c>
      <c r="B71" s="20">
        <v>3.0</v>
      </c>
      <c r="D71" s="21" t="str">
        <f t="array" ref="D71">if(D70&lt;index(low,sel),"Mal",if(D70&gt;index(high,sel),"Bien","Soso"))</f>
        <v>Mal</v>
      </c>
      <c r="E71" s="21" t="str">
        <f t="array" ref="E71">if(E70&lt;index(low,sel),"Mal",if(E70&gt;index(high,sel),"Bien","Soso"))</f>
        <v>Mal</v>
      </c>
      <c r="F71" s="21" t="str">
        <f t="array" ref="F71">if(F70&lt;index(low,sel),"Mal",if(F70&gt;index(high,sel),"Bien","Soso"))</f>
        <v>Mal</v>
      </c>
      <c r="G71" s="21" t="str">
        <f t="array" ref="G71">if(G70&lt;index(low,sel),"Mal",if(G70&gt;index(high,sel),"Bien","Soso"))</f>
        <v>Soso</v>
      </c>
      <c r="H71" s="21" t="str">
        <f t="array" ref="H71">if(H70&lt;index(low,sel),"Mal",if(H70&gt;index(high,sel),"Bien","Soso"))</f>
        <v>Soso</v>
      </c>
      <c r="I71" s="21"/>
      <c r="J71" s="21" t="str">
        <f t="array" ref="J71">if(J70&lt;index(low,sel),"Mal",if(J70&gt;index(high,sel),"Bien","Soso"))</f>
        <v>Bien</v>
      </c>
      <c r="K71" s="21" t="str">
        <f t="array" ref="K71">if(K70&lt;index(low,sel),"Mal",if(K70&gt;index(high,sel),"Bien","Soso"))</f>
        <v>Bien</v>
      </c>
      <c r="L71" s="21" t="str">
        <f t="array" ref="L71">if(L70&lt;index(low,sel),"Mal",if(L70&gt;index(high,sel),"Bien","Soso"))</f>
        <v>Bien</v>
      </c>
      <c r="M71" s="21" t="str">
        <f t="array" ref="M71">if(M70&lt;index(low,sel),"Mal",if(M70&gt;index(high,sel),"Bien","Soso"))</f>
        <v>Bien</v>
      </c>
      <c r="N71" s="21" t="str">
        <f t="array" ref="N71">if(N70&lt;index(low,sel),"Mal",if(N70&gt;index(high,sel),"Bien","Soso"))</f>
        <v>Bien</v>
      </c>
      <c r="O71" s="21"/>
      <c r="P71" s="21" t="str">
        <f t="array" ref="P71">if(P70&lt;index(low,sel),"Mal",if(P70&gt;index(high,sel),"Bien","Soso"))</f>
        <v>Bien</v>
      </c>
      <c r="Q71" s="21" t="str">
        <f t="array" ref="Q71">if(Q70&lt;index(low,sel),"Mal",if(Q70&gt;index(high,sel),"Bien","Soso"))</f>
        <v>Soso</v>
      </c>
      <c r="R71" s="21" t="str">
        <f t="array" ref="R71">if(R70&lt;index(low,sel),"Mal",if(R70&gt;index(high,sel),"Bien","Soso"))</f>
        <v>Soso</v>
      </c>
      <c r="S71" s="21" t="str">
        <f t="array" ref="S71">if(S70&lt;index(low,sel),"Mal",if(S70&gt;index(high,sel),"Bien","Soso"))</f>
        <v>Soso</v>
      </c>
      <c r="T71" s="21" t="str">
        <f t="array" ref="T71">if(T70&lt;index(low,sel),"Mal",if(T70&gt;index(high,sel),"Bien","Soso"))</f>
        <v>Soso</v>
      </c>
      <c r="U71" s="21"/>
      <c r="V71" s="21" t="str">
        <f t="array" ref="V71">if(V70&lt;index(low,sel),"Mal",if(V70&gt;index(high,sel),"Bien","Soso"))</f>
        <v>Mal</v>
      </c>
      <c r="W71" s="21" t="str">
        <f t="array" ref="W71">if(W70&lt;index(low,sel),"Mal",if(W70&gt;index(high,sel),"Bien","Soso"))</f>
        <v>Bien</v>
      </c>
      <c r="X71" s="21" t="str">
        <f t="array" ref="X71">if(X70&lt;index(low,sel),"Mal",if(X70&gt;index(high,sel),"Bien","Soso"))</f>
        <v>Bien</v>
      </c>
      <c r="Y71" s="21" t="str">
        <f t="array" ref="Y71">if(Y70&lt;index(low,sel),"Mal",if(Y70&gt;index(high,sel),"Bien","Soso"))</f>
        <v>Mal</v>
      </c>
      <c r="Z71" s="21"/>
      <c r="AA71" s="21"/>
      <c r="AB71" s="21" t="str">
        <f t="array" ref="AB71">if(AB70&lt;index(low,sel),"Mal",if(AB70&gt;index(high,sel),"Bien","Soso"))</f>
        <v>Bien</v>
      </c>
      <c r="AC71" s="21" t="str">
        <f t="array" ref="AC71">if(AC70&lt;index(low,sel),"Mal",if(AC70&gt;index(high,sel),"Bien","Soso"))</f>
        <v>Bien</v>
      </c>
      <c r="AD71" s="21" t="str">
        <f t="array" ref="AD71">if(AD70&lt;index(low,sel),"Mal",if(AD70&gt;index(high,sel),"Bien","Soso"))</f>
        <v>Bien</v>
      </c>
      <c r="AE71" s="21"/>
      <c r="AF71" s="21" t="str">
        <f t="array" ref="AF71">if(AF70&lt;index(low,sel),"Mal",if(AF70&gt;index(high,sel),"Bien","Soso"))</f>
        <v>Bien</v>
      </c>
      <c r="AG71" s="21" t="str">
        <f t="array" ref="AG71">if(AG70&lt;index(low,sel),"Mal",if(AG70&gt;index(high,sel),"Bien","Soso"))</f>
        <v>Bien</v>
      </c>
      <c r="AH71" s="21" t="str">
        <f t="array" ref="AH71">if(AH70&lt;index(low,sel),"Mal",if(AH70&gt;index(high,sel),"Bien","Soso"))</f>
        <v>Bien</v>
      </c>
      <c r="AI71" s="21"/>
      <c r="AJ71" s="21" t="str">
        <f t="array" ref="AJ71">if(AJ70&lt;index(low,sel),"Mal",if(AJ70&gt;index(high,sel),"Bien","Soso"))</f>
        <v>Mal</v>
      </c>
      <c r="AK71" s="21" t="str">
        <f t="array" ref="AK71">if(AK70&lt;index(low,sel),"Mal",if(AK70&gt;index(high,sel),"Bien","Soso"))</f>
        <v>Soso</v>
      </c>
      <c r="AL71" s="21"/>
      <c r="AM71" s="21" t="str">
        <f t="array" ref="AM71">if(AM70&lt;index(low,sel),"Mal",if(AM70&gt;index(high,sel),"Bien","Soso"))</f>
        <v>Bien</v>
      </c>
      <c r="AN71" s="21" t="str">
        <f t="array" ref="AN71">if(AN70&lt;index(low,sel),"Mal",if(AN70&gt;index(high,sel),"Bien","Soso"))</f>
        <v>Bien</v>
      </c>
      <c r="AO71" s="21" t="str">
        <f t="array" ref="AO71">if(AO70&lt;index(low,sel),"Mal",if(AO70&gt;index(high,sel),"Bien","Soso"))</f>
        <v>Bien</v>
      </c>
      <c r="AP71" s="21"/>
      <c r="AQ71" s="21" t="str">
        <f t="array" ref="AQ71">if(AQ70&lt;index(low,sel),"Mal",if(AQ70&gt;index(high,sel),"Bien","Soso"))</f>
        <v>Bien</v>
      </c>
      <c r="AR71" s="21" t="str">
        <f t="array" ref="AR71">if(AR70&lt;index(low,sel),"Mal",if(AR70&gt;index(high,sel),"Bien","Soso"))</f>
        <v>Bien</v>
      </c>
      <c r="AS71" s="21" t="str">
        <f t="array" ref="AS71">if(AS70&lt;index(low,sel),"Mal",if(AS70&gt;index(high,sel),"Bien","Soso"))</f>
        <v>Bien</v>
      </c>
      <c r="AT71" s="21"/>
      <c r="AU71" s="21" t="str">
        <f t="array" ref="AU71">if(AU70&lt;index(low,sel),"Mal",if(AU70&gt;index(high,sel),"Bien","Soso"))</f>
        <v>Bien</v>
      </c>
      <c r="AV71" s="21" t="str">
        <f t="array" ref="AV71">if(AV70&lt;index(low,sel),"Mal",if(AV70&gt;index(high,sel),"Bien","Soso"))</f>
        <v>Bien</v>
      </c>
      <c r="AW71" s="21" t="str">
        <f t="array" ref="AW71">if(AW70&lt;index(low,sel),"Mal",if(AW70&gt;index(high,sel),"Bien","Soso"))</f>
        <v>Bien</v>
      </c>
      <c r="AX71" s="21"/>
      <c r="AY71" s="21" t="str">
        <f t="array" ref="AY71">if(AY70&lt;index(low,sel),"Mal",if(AY70&gt;index(high,sel),"Bien","Soso"))</f>
        <v>Bien</v>
      </c>
      <c r="AZ71" s="21" t="str">
        <f t="array" ref="AZ71">if(AZ70&lt;index(low,sel),"Mal",if(AZ70&gt;index(high,sel),"Bien","Soso"))</f>
        <v>Bien</v>
      </c>
      <c r="BA71" s="21" t="str">
        <f t="array" ref="BA71">if(BA70&lt;index(low,sel),"Mal",if(BA70&gt;index(high,sel),"Bien","Soso"))</f>
        <v>Bien</v>
      </c>
      <c r="BB71" s="21" t="str">
        <f t="array" ref="BB71">if(BB70&lt;index(low,sel),"Mal",if(BB70&gt;index(high,sel),"Bien","Soso"))</f>
        <v>Bien</v>
      </c>
      <c r="BC71" s="21"/>
      <c r="BD71" s="21" t="str">
        <f t="array" ref="BD71">if(BD70&lt;index(low,sel),"Mal",if(BD70&gt;index(high,sel),"Bien","Soso"))</f>
        <v>Bien</v>
      </c>
      <c r="BE71" s="21" t="str">
        <f t="array" ref="BE71">if(BE70&lt;index(low,sel),"Mal",if(BE70&gt;index(high,sel),"Bien","Soso"))</f>
        <v>Bien</v>
      </c>
      <c r="BF71" s="21" t="str">
        <f t="array" ref="BF71">if(BF70&lt;index(low,sel),"Mal",if(BF70&gt;index(high,sel),"Bien","Soso"))</f>
        <v>Bien</v>
      </c>
      <c r="BG71" s="21" t="str">
        <f t="array" ref="BG71">if(BG70&lt;index(low,sel),"Mal",if(BG70&gt;index(high,sel),"Bien","Soso"))</f>
        <v>Soso</v>
      </c>
      <c r="BH71" s="21"/>
      <c r="BI71" s="21" t="str">
        <f t="array" ref="BI71">if(BI70&lt;index(low,sel),"Mal",if(BI70&gt;index(high,sel),"Bien","Soso"))</f>
        <v>Mal</v>
      </c>
      <c r="BJ71" s="21" t="str">
        <f t="array" ref="BJ71">if(BJ70&lt;index(low,sel),"Mal",if(BJ70&gt;index(high,sel),"Bien","Soso"))</f>
        <v>Mal</v>
      </c>
      <c r="BK71" s="21" t="str">
        <f t="array" ref="BK71">if(BK70&lt;index(low,sel),"Mal",if(BK70&gt;index(high,sel),"Bien","Soso"))</f>
        <v>Soso</v>
      </c>
      <c r="BL71" s="21"/>
      <c r="BM71" s="21" t="str">
        <f t="array" ref="BM71">if(BM70&lt;index(low,sel),"Mal",if(BM70&gt;index(high,sel),"Bien","Soso"))</f>
        <v>Bien</v>
      </c>
      <c r="BN71" s="21" t="str">
        <f t="array" ref="BN71">if(BN70&lt;index(low,sel),"Mal",if(BN70&gt;index(high,sel),"Bien","Soso"))</f>
        <v>Bien</v>
      </c>
      <c r="BO71" s="21" t="str">
        <f t="array" ref="BO71">if(BO70&lt;index(low,sel),"Mal",if(BO70&gt;index(high,sel),"Bien","Soso"))</f>
        <v>Bien</v>
      </c>
      <c r="BP71" s="21"/>
      <c r="BQ71" s="21" t="str">
        <f t="array" ref="BQ71">if(BQ70&lt;index(low,sel),"Mal",if(BQ70&gt;index(high,sel),"Bien","Soso"))</f>
        <v>Bien</v>
      </c>
      <c r="BR71" s="21" t="str">
        <f t="array" ref="BR71">if(BR70&lt;index(low,sel),"Mal",if(BR70&gt;index(high,sel),"Bien","Soso"))</f>
        <v>Bien</v>
      </c>
      <c r="BS71" s="21"/>
      <c r="BT71" s="21" t="str">
        <f t="array" ref="BT71">if(BT70&lt;index(low,sel),"Mal",if(BT70&gt;index(high,sel),"Bien","Soso"))</f>
        <v>Bien</v>
      </c>
      <c r="BU71" s="21" t="str">
        <f t="array" ref="BU71">if(BU70&lt;index(low,sel),"Mal",if(BU70&gt;index(high,sel),"Bien","Soso"))</f>
        <v>Bien</v>
      </c>
      <c r="BV71" s="21" t="str">
        <f t="array" ref="BV71">if(BV70&lt;index(low,sel),"Mal",if(BV70&gt;index(high,sel),"Bien","Soso"))</f>
        <v>Bien</v>
      </c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</row>
    <row r="72" ht="15.75" customHeight="1"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</row>
    <row r="73" ht="15.75" customHeight="1"/>
    <row r="74" ht="15.75" customHeight="1">
      <c r="A74" s="13" t="s">
        <v>110</v>
      </c>
    </row>
    <row r="75" ht="15.75" customHeight="1"/>
    <row r="76" ht="15.75" customHeight="1">
      <c r="A76" s="7" t="s">
        <v>63</v>
      </c>
      <c r="D76" s="12">
        <f t="shared" ref="D76:H76" si="6">D10/D$10</f>
        <v>1</v>
      </c>
      <c r="E76" s="12">
        <f t="shared" si="6"/>
        <v>1</v>
      </c>
      <c r="F76" s="12">
        <f t="shared" si="6"/>
        <v>1</v>
      </c>
      <c r="G76" s="12">
        <f t="shared" si="6"/>
        <v>1</v>
      </c>
      <c r="H76" s="12">
        <f t="shared" si="6"/>
        <v>1</v>
      </c>
      <c r="I76" s="12"/>
      <c r="J76" s="12">
        <f t="shared" ref="J76:N76" si="7">J10/J$10</f>
        <v>1</v>
      </c>
      <c r="K76" s="12">
        <f t="shared" si="7"/>
        <v>1</v>
      </c>
      <c r="L76" s="12">
        <f t="shared" si="7"/>
        <v>1</v>
      </c>
      <c r="M76" s="12">
        <f t="shared" si="7"/>
        <v>1</v>
      </c>
      <c r="N76" s="12">
        <f t="shared" si="7"/>
        <v>1</v>
      </c>
      <c r="O76" s="12"/>
      <c r="P76" s="12">
        <f t="shared" ref="P76:T76" si="8">P10/P$10</f>
        <v>1</v>
      </c>
      <c r="Q76" s="12">
        <f t="shared" si="8"/>
        <v>1</v>
      </c>
      <c r="R76" s="12">
        <f t="shared" si="8"/>
        <v>1</v>
      </c>
      <c r="S76" s="12">
        <f t="shared" si="8"/>
        <v>1</v>
      </c>
      <c r="T76" s="12">
        <f t="shared" si="8"/>
        <v>1</v>
      </c>
      <c r="U76" s="12"/>
      <c r="V76" s="12">
        <f t="shared" ref="V76:Y76" si="9">V10/V$10</f>
        <v>1</v>
      </c>
      <c r="W76" s="12">
        <f t="shared" si="9"/>
        <v>1</v>
      </c>
      <c r="X76" s="12">
        <f t="shared" si="9"/>
        <v>1</v>
      </c>
      <c r="Y76" s="12">
        <f t="shared" si="9"/>
        <v>1</v>
      </c>
      <c r="Z76" s="12"/>
      <c r="AA76" s="12"/>
      <c r="AB76" s="12">
        <f t="shared" ref="AB76:AD76" si="10">AB10/AB$10</f>
        <v>1</v>
      </c>
      <c r="AC76" s="12">
        <f t="shared" si="10"/>
        <v>1</v>
      </c>
      <c r="AD76" s="12">
        <f t="shared" si="10"/>
        <v>1</v>
      </c>
      <c r="AE76" s="12"/>
      <c r="AF76" s="12"/>
      <c r="AG76" s="12">
        <f t="shared" ref="AG76:AH76" si="11">AG10/AG$10</f>
        <v>1</v>
      </c>
      <c r="AH76" s="12">
        <f t="shared" si="11"/>
        <v>1</v>
      </c>
      <c r="AI76" s="12"/>
      <c r="AJ76" s="12"/>
      <c r="AK76" s="12">
        <f t="shared" ref="AK76:AK77" si="27">AK10/AK$10</f>
        <v>1</v>
      </c>
      <c r="AL76" s="12"/>
      <c r="AM76" s="12">
        <f t="shared" ref="AM76:AO76" si="12">AM10/AM$10</f>
        <v>1</v>
      </c>
      <c r="AN76" s="12">
        <f t="shared" si="12"/>
        <v>1</v>
      </c>
      <c r="AO76" s="12">
        <f t="shared" si="12"/>
        <v>1</v>
      </c>
      <c r="AP76" s="12"/>
      <c r="AQ76" s="12">
        <f t="shared" ref="AQ76:AS76" si="13">AQ10/AQ$10</f>
        <v>1</v>
      </c>
      <c r="AR76" s="12">
        <f t="shared" si="13"/>
        <v>1</v>
      </c>
      <c r="AS76" s="12">
        <f t="shared" si="13"/>
        <v>1</v>
      </c>
      <c r="AT76" s="12"/>
      <c r="AU76" s="12">
        <f t="shared" ref="AU76:AW76" si="14">AU10/AU$10</f>
        <v>1</v>
      </c>
      <c r="AV76" s="12">
        <f t="shared" si="14"/>
        <v>1</v>
      </c>
      <c r="AW76" s="12">
        <f t="shared" si="14"/>
        <v>1</v>
      </c>
      <c r="AX76" s="12"/>
      <c r="AY76" s="12">
        <f t="shared" ref="AY76:BB76" si="15">AY10/AY$10</f>
        <v>1</v>
      </c>
      <c r="AZ76" s="12">
        <f t="shared" si="15"/>
        <v>1</v>
      </c>
      <c r="BA76" s="12">
        <f t="shared" si="15"/>
        <v>1</v>
      </c>
      <c r="BB76" s="12">
        <f t="shared" si="15"/>
        <v>1</v>
      </c>
      <c r="BC76" s="12"/>
      <c r="BD76" s="12">
        <f t="shared" ref="BD76:BG76" si="16">BD10/BD$10</f>
        <v>1</v>
      </c>
      <c r="BE76" s="12">
        <f t="shared" si="16"/>
        <v>1</v>
      </c>
      <c r="BF76" s="12">
        <f t="shared" si="16"/>
        <v>1</v>
      </c>
      <c r="BG76" s="12">
        <f t="shared" si="16"/>
        <v>1</v>
      </c>
      <c r="BH76" s="12"/>
      <c r="BI76" s="12">
        <f t="shared" ref="BI76:BK76" si="17">BI10/BI$10</f>
        <v>1</v>
      </c>
      <c r="BJ76" s="12">
        <f t="shared" si="17"/>
        <v>1</v>
      </c>
      <c r="BK76" s="12">
        <f t="shared" si="17"/>
        <v>1</v>
      </c>
      <c r="BL76" s="12"/>
      <c r="BM76" s="12">
        <f t="shared" ref="BM76:BO76" si="18">BM10/BM$10</f>
        <v>1</v>
      </c>
      <c r="BN76" s="12">
        <f t="shared" si="18"/>
        <v>1</v>
      </c>
      <c r="BO76" s="12">
        <f t="shared" si="18"/>
        <v>1</v>
      </c>
      <c r="BP76" s="12"/>
      <c r="BQ76" s="12">
        <f t="shared" ref="BQ76:BR76" si="19">BQ10/BQ$10</f>
        <v>1</v>
      </c>
      <c r="BR76" s="12">
        <f t="shared" si="19"/>
        <v>1</v>
      </c>
      <c r="BS76" s="12"/>
      <c r="BT76" s="12">
        <f t="shared" ref="BT76:BV76" si="20">BT10/BT$10</f>
        <v>1</v>
      </c>
      <c r="BU76" s="12">
        <f t="shared" si="20"/>
        <v>1</v>
      </c>
      <c r="BV76" s="12">
        <f t="shared" si="20"/>
        <v>1</v>
      </c>
    </row>
    <row r="77" ht="15.75" customHeight="1">
      <c r="A77" s="7" t="s">
        <v>64</v>
      </c>
      <c r="D77" s="12">
        <f t="shared" ref="D77:H77" si="21">D11/D$10</f>
        <v>0.6025321779</v>
      </c>
      <c r="E77" s="12">
        <f t="shared" si="21"/>
        <v>0.1227325163</v>
      </c>
      <c r="F77" s="12">
        <f t="shared" si="21"/>
        <v>0.1756992919</v>
      </c>
      <c r="G77" s="12">
        <f t="shared" si="21"/>
        <v>0.1898036026</v>
      </c>
      <c r="H77" s="12">
        <f t="shared" si="21"/>
        <v>0.1569826599</v>
      </c>
      <c r="I77" s="12"/>
      <c r="J77" s="12">
        <f t="shared" ref="J77:N77" si="22">J11/J$10</f>
        <v>0.05759098694</v>
      </c>
      <c r="K77" s="12">
        <f t="shared" si="22"/>
        <v>0.06488147179</v>
      </c>
      <c r="L77" s="12">
        <f t="shared" si="22"/>
        <v>0.04466467435</v>
      </c>
      <c r="M77" s="12">
        <f t="shared" si="22"/>
        <v>0.01718777729</v>
      </c>
      <c r="N77" s="12">
        <f t="shared" si="22"/>
        <v>0.00689494387</v>
      </c>
      <c r="O77" s="12"/>
      <c r="P77" s="12">
        <f t="shared" ref="P77:T77" si="23">P11/P$10</f>
        <v>-0.6940004633</v>
      </c>
      <c r="Q77" s="12">
        <f t="shared" si="23"/>
        <v>0.0181137823</v>
      </c>
      <c r="R77" s="12">
        <f t="shared" si="23"/>
        <v>0.024909934</v>
      </c>
      <c r="S77" s="12">
        <f t="shared" si="23"/>
        <v>0.0417144146</v>
      </c>
      <c r="T77" s="12">
        <f t="shared" si="23"/>
        <v>-0.03741540093</v>
      </c>
      <c r="U77" s="12"/>
      <c r="V77" s="12">
        <f t="shared" ref="V77:Y77" si="24">V11/V$10</f>
        <v>-0.001738197087</v>
      </c>
      <c r="W77" s="12">
        <f t="shared" si="24"/>
        <v>-0.08027132151</v>
      </c>
      <c r="X77" s="12">
        <f t="shared" si="24"/>
        <v>0.01656742545</v>
      </c>
      <c r="Y77" s="12">
        <f t="shared" si="24"/>
        <v>0.03282211826</v>
      </c>
      <c r="Z77" s="12"/>
      <c r="AA77" s="12"/>
      <c r="AB77" s="12">
        <f t="shared" ref="AB77:AD77" si="25">AB11/AB$10</f>
        <v>0.02953721528</v>
      </c>
      <c r="AC77" s="12">
        <f t="shared" si="25"/>
        <v>0.0170302857</v>
      </c>
      <c r="AD77" s="12">
        <f t="shared" si="25"/>
        <v>0.05455165485</v>
      </c>
      <c r="AE77" s="12"/>
      <c r="AF77" s="12"/>
      <c r="AG77" s="12">
        <f t="shared" ref="AG77:AH77" si="26">AG11/AG$10</f>
        <v>0.0655910115</v>
      </c>
      <c r="AH77" s="12">
        <f t="shared" si="26"/>
        <v>0.04506789973</v>
      </c>
      <c r="AI77" s="12"/>
      <c r="AJ77" s="12"/>
      <c r="AK77" s="12">
        <f t="shared" si="27"/>
        <v>0.1579461667</v>
      </c>
      <c r="AL77" s="12"/>
      <c r="AM77" s="12">
        <f t="shared" ref="AM77:AO77" si="28">AM11/AM$10</f>
        <v>0.05581494345</v>
      </c>
      <c r="AN77" s="12">
        <f t="shared" si="28"/>
        <v>0.05240740575</v>
      </c>
      <c r="AO77" s="12">
        <f t="shared" si="28"/>
        <v>0.04677887477</v>
      </c>
      <c r="AP77" s="12"/>
      <c r="AQ77" s="12">
        <f t="shared" ref="AQ77:AS77" si="29">AQ11/AQ$10</f>
        <v>0.08578049149</v>
      </c>
      <c r="AR77" s="12">
        <f t="shared" si="29"/>
        <v>0.06016248303</v>
      </c>
      <c r="AS77" s="12">
        <f t="shared" si="29"/>
        <v>0.06788830719</v>
      </c>
      <c r="AT77" s="12"/>
      <c r="AU77" s="12">
        <f t="shared" ref="AU77:AW77" si="30">AU11/AU$10</f>
        <v>0.1059081444</v>
      </c>
      <c r="AV77" s="12">
        <f t="shared" si="30"/>
        <v>0.1165571157</v>
      </c>
      <c r="AW77" s="12">
        <f t="shared" si="30"/>
        <v>0.1298308974</v>
      </c>
      <c r="AX77" s="12"/>
      <c r="AY77" s="12">
        <f t="shared" ref="AY77:BB77" si="31">AY11/AY$10</f>
        <v>0.003780780304</v>
      </c>
      <c r="AZ77" s="12">
        <f t="shared" si="31"/>
        <v>0.2847530185</v>
      </c>
      <c r="BA77" s="12">
        <f t="shared" si="31"/>
        <v>0.2493065177</v>
      </c>
      <c r="BB77" s="12">
        <f t="shared" si="31"/>
        <v>0.2034665429</v>
      </c>
      <c r="BC77" s="12"/>
      <c r="BD77" s="12">
        <f t="shared" ref="BD77:BG77" si="32">BD11/BD$10</f>
        <v>0.008173407146</v>
      </c>
      <c r="BE77" s="12">
        <f t="shared" si="32"/>
        <v>0.01660334706</v>
      </c>
      <c r="BF77" s="12">
        <f t="shared" si="32"/>
        <v>0.04076674832</v>
      </c>
      <c r="BG77" s="12">
        <f t="shared" si="32"/>
        <v>0.003332699435</v>
      </c>
      <c r="BH77" s="12"/>
      <c r="BI77" s="12">
        <f t="shared" ref="BI77:BK77" si="33">BI11/BI$10</f>
        <v>-0.008849650485</v>
      </c>
      <c r="BJ77" s="12">
        <f t="shared" si="33"/>
        <v>-0.02218851449</v>
      </c>
      <c r="BK77" s="12">
        <f t="shared" si="33"/>
        <v>0.005761257602</v>
      </c>
      <c r="BL77" s="12"/>
      <c r="BM77" s="12">
        <f t="shared" ref="BM77:BO77" si="34">BM11/BM$10</f>
        <v>0.1117179155</v>
      </c>
      <c r="BN77" s="12">
        <f t="shared" si="34"/>
        <v>0.1218815874</v>
      </c>
      <c r="BO77" s="12">
        <f t="shared" si="34"/>
        <v>0.1523927087</v>
      </c>
      <c r="BP77" s="12"/>
      <c r="BQ77" s="12">
        <f t="shared" ref="BQ77:BR77" si="35">BQ11/BQ$10</f>
        <v>0.0226214278</v>
      </c>
      <c r="BR77" s="12">
        <f t="shared" si="35"/>
        <v>0.05965549221</v>
      </c>
      <c r="BS77" s="12"/>
      <c r="BT77" s="12">
        <f t="shared" ref="BT77:BV77" si="36">BT11/BT$10</f>
        <v>0.02623286632</v>
      </c>
      <c r="BU77" s="12">
        <f t="shared" si="36"/>
        <v>0.0985761324</v>
      </c>
      <c r="BV77" s="12">
        <f t="shared" si="36"/>
        <v>0.08067316014</v>
      </c>
    </row>
    <row r="78" ht="15.75" customHeight="1"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</row>
    <row r="79" ht="15.75" customHeight="1">
      <c r="A79" s="7" t="s">
        <v>65</v>
      </c>
      <c r="D79" s="12">
        <f t="shared" ref="D79:H79" si="37">D13/D$16</f>
        <v>0.3283976311</v>
      </c>
      <c r="E79" s="12">
        <f t="shared" si="37"/>
        <v>0.2536613174</v>
      </c>
      <c r="F79" s="12">
        <f t="shared" si="37"/>
        <v>0.3862236351</v>
      </c>
      <c r="G79" s="12">
        <f t="shared" si="37"/>
        <v>0.3703329297</v>
      </c>
      <c r="H79" s="12">
        <f t="shared" si="37"/>
        <v>0.2831610405</v>
      </c>
      <c r="I79" s="12"/>
      <c r="J79" s="12">
        <f t="shared" ref="J79:N79" si="38">J13/J$16</f>
        <v>0.530077458</v>
      </c>
      <c r="K79" s="12">
        <f t="shared" si="38"/>
        <v>0.5610716665</v>
      </c>
      <c r="L79" s="12">
        <f t="shared" si="38"/>
        <v>0.5921924691</v>
      </c>
      <c r="M79" s="12">
        <f t="shared" si="38"/>
        <v>0.5977168079</v>
      </c>
      <c r="N79" s="12">
        <f t="shared" si="38"/>
        <v>0.5762649101</v>
      </c>
      <c r="O79" s="12"/>
      <c r="P79" s="12">
        <f t="shared" ref="P79:T79" si="39">P13/P$16</f>
        <v>0.7219680906</v>
      </c>
      <c r="Q79" s="12">
        <f t="shared" si="39"/>
        <v>0.2102702694</v>
      </c>
      <c r="R79" s="12">
        <f t="shared" si="39"/>
        <v>0.2865342841</v>
      </c>
      <c r="S79" s="12">
        <f t="shared" si="39"/>
        <v>0.3044581896</v>
      </c>
      <c r="T79" s="12">
        <f t="shared" si="39"/>
        <v>0.3102915886</v>
      </c>
      <c r="U79" s="12"/>
      <c r="V79" s="12">
        <f t="shared" ref="V79:Y79" si="40">V13/V$16</f>
        <v>0.2752273872</v>
      </c>
      <c r="W79" s="12">
        <f t="shared" si="40"/>
        <v>0.8946724681</v>
      </c>
      <c r="X79" s="12">
        <f t="shared" si="40"/>
        <v>0.9287635409</v>
      </c>
      <c r="Y79" s="12">
        <f t="shared" si="40"/>
        <v>0.3771281979</v>
      </c>
      <c r="Z79" s="12"/>
      <c r="AA79" s="12"/>
      <c r="AB79" s="12">
        <f t="shared" ref="AB79:AD79" si="41">AB13/AB$16</f>
        <v>0.7059267023</v>
      </c>
      <c r="AC79" s="12">
        <f t="shared" si="41"/>
        <v>0.6064108715</v>
      </c>
      <c r="AD79" s="12">
        <f t="shared" si="41"/>
        <v>0.6743517952</v>
      </c>
      <c r="AE79" s="12"/>
      <c r="AF79" s="12">
        <f t="shared" ref="AF79:AH79" si="42">AF13/AF$16</f>
        <v>0.8929317126</v>
      </c>
      <c r="AG79" s="12">
        <f t="shared" si="42"/>
        <v>0.8928072494</v>
      </c>
      <c r="AH79" s="12">
        <f t="shared" si="42"/>
        <v>0.8928179341</v>
      </c>
      <c r="AI79" s="12"/>
      <c r="AJ79" s="12">
        <f t="shared" ref="AJ79:AK79" si="43">AJ13/AJ$16</f>
        <v>0.4</v>
      </c>
      <c r="AK79" s="12">
        <f t="shared" si="43"/>
        <v>0.9924798485</v>
      </c>
      <c r="AL79" s="12"/>
      <c r="AM79" s="12">
        <f t="shared" ref="AM79:AO79" si="44">AM13/AM$16</f>
        <v>0.7058828866</v>
      </c>
      <c r="AN79" s="12">
        <f t="shared" si="44"/>
        <v>0.7529736259</v>
      </c>
      <c r="AO79" s="12">
        <f t="shared" si="44"/>
        <v>0.7107338899</v>
      </c>
      <c r="AP79" s="12"/>
      <c r="AQ79" s="12">
        <f t="shared" ref="AQ79:AS79" si="45">AQ13/AQ$16</f>
        <v>0.9704716535</v>
      </c>
      <c r="AR79" s="12">
        <f t="shared" si="45"/>
        <v>0.974895796</v>
      </c>
      <c r="AS79" s="12">
        <f t="shared" si="45"/>
        <v>0.973169499</v>
      </c>
      <c r="AT79" s="12"/>
      <c r="AU79" s="12">
        <f t="shared" ref="AU79:AW79" si="46">AU13/AU$16</f>
        <v>0.8674082987</v>
      </c>
      <c r="AV79" s="12">
        <f t="shared" si="46"/>
        <v>0.8222128165</v>
      </c>
      <c r="AW79" s="12">
        <f t="shared" si="46"/>
        <v>0.7913590315</v>
      </c>
      <c r="AX79" s="12"/>
      <c r="AY79" s="12">
        <f t="shared" ref="AY79:BB79" si="47">AY13/AY$16</f>
        <v>0.8876571481</v>
      </c>
      <c r="AZ79" s="12">
        <f t="shared" si="47"/>
        <v>0.9458663807</v>
      </c>
      <c r="BA79" s="12">
        <f t="shared" si="47"/>
        <v>0.9466303937</v>
      </c>
      <c r="BB79" s="12">
        <f t="shared" si="47"/>
        <v>0.9375143812</v>
      </c>
      <c r="BC79" s="12"/>
      <c r="BD79" s="12">
        <f t="shared" ref="BD79:BG79" si="48">BD13/BD$16</f>
        <v>0.5001677757</v>
      </c>
      <c r="BE79" s="12">
        <f t="shared" si="48"/>
        <v>0.5260143491</v>
      </c>
      <c r="BF79" s="12">
        <f t="shared" si="48"/>
        <v>0.5300411302</v>
      </c>
      <c r="BG79" s="12">
        <f t="shared" si="48"/>
        <v>0.5330111725</v>
      </c>
      <c r="BH79" s="12"/>
      <c r="BI79" s="12">
        <f t="shared" ref="BI79:BK79" si="49">BI13/BI$16</f>
        <v>0.9802874943</v>
      </c>
      <c r="BJ79" s="12">
        <f t="shared" si="49"/>
        <v>0.9781327269</v>
      </c>
      <c r="BK79" s="12">
        <f t="shared" si="49"/>
        <v>0.9659207422</v>
      </c>
      <c r="BL79" s="12"/>
      <c r="BM79" s="12">
        <f t="shared" ref="BM79:BO79" si="50">BM13/BM$16</f>
        <v>0.7395430113</v>
      </c>
      <c r="BN79" s="12">
        <f t="shared" si="50"/>
        <v>0.7577502663</v>
      </c>
      <c r="BO79" s="12">
        <f t="shared" si="50"/>
        <v>0.7276010404</v>
      </c>
      <c r="BP79" s="12"/>
      <c r="BQ79" s="12">
        <f t="shared" ref="BQ79:BR79" si="51">BQ13/BQ$16</f>
        <v>0.9918917856</v>
      </c>
      <c r="BR79" s="12">
        <f t="shared" si="51"/>
        <v>0.9892944505</v>
      </c>
      <c r="BS79" s="12"/>
      <c r="BT79" s="12">
        <f t="shared" ref="BT79:BV79" si="52">BT13/BT$16</f>
        <v>0.9936084695</v>
      </c>
      <c r="BU79" s="12">
        <f t="shared" si="52"/>
        <v>0.9957713487</v>
      </c>
      <c r="BV79" s="12">
        <f t="shared" si="52"/>
        <v>0.9921058245</v>
      </c>
    </row>
    <row r="80" ht="15.75" customHeight="1">
      <c r="A80" s="7" t="s">
        <v>66</v>
      </c>
      <c r="D80" s="12">
        <f t="shared" ref="D80:H80" si="53">D14/D$16</f>
        <v>0</v>
      </c>
      <c r="E80" s="12">
        <f t="shared" si="53"/>
        <v>0</v>
      </c>
      <c r="F80" s="12">
        <f t="shared" si="53"/>
        <v>0</v>
      </c>
      <c r="G80" s="12">
        <f t="shared" si="53"/>
        <v>0</v>
      </c>
      <c r="H80" s="12">
        <f t="shared" si="53"/>
        <v>0</v>
      </c>
      <c r="I80" s="12"/>
      <c r="J80" s="12">
        <f t="shared" ref="J80:N80" si="54">J14/J$16</f>
        <v>0.1270855664</v>
      </c>
      <c r="K80" s="12">
        <f t="shared" si="54"/>
        <v>0.1056946708</v>
      </c>
      <c r="L80" s="12">
        <f t="shared" si="54"/>
        <v>0.1654117197</v>
      </c>
      <c r="M80" s="12">
        <f t="shared" si="54"/>
        <v>0.1767072379</v>
      </c>
      <c r="N80" s="12">
        <f t="shared" si="54"/>
        <v>0.07531999477</v>
      </c>
      <c r="O80" s="12"/>
      <c r="P80" s="12">
        <f t="shared" ref="P80:T80" si="55">P14/P$16</f>
        <v>0.1195204186</v>
      </c>
      <c r="Q80" s="12">
        <f t="shared" si="55"/>
        <v>0.1098506083</v>
      </c>
      <c r="R80" s="12">
        <f t="shared" si="55"/>
        <v>0.09812345292</v>
      </c>
      <c r="S80" s="12">
        <f t="shared" si="55"/>
        <v>0.1083163197</v>
      </c>
      <c r="T80" s="12">
        <f t="shared" si="55"/>
        <v>0.1018665811</v>
      </c>
      <c r="U80" s="12"/>
      <c r="V80" s="12">
        <f t="shared" ref="V80:Y80" si="56">V14/V$16</f>
        <v>0.7247726128</v>
      </c>
      <c r="W80" s="12">
        <f t="shared" si="56"/>
        <v>0.1053275319</v>
      </c>
      <c r="X80" s="12">
        <f t="shared" si="56"/>
        <v>0.0712364591</v>
      </c>
      <c r="Y80" s="12">
        <f t="shared" si="56"/>
        <v>0.08711425301</v>
      </c>
      <c r="Z80" s="12"/>
      <c r="AA80" s="12"/>
      <c r="AB80" s="12">
        <f t="shared" ref="AB80:AD80" si="57">AB14/AB$16</f>
        <v>0.1510319095</v>
      </c>
      <c r="AC80" s="12">
        <f t="shared" si="57"/>
        <v>0.1358624046</v>
      </c>
      <c r="AD80" s="12">
        <f t="shared" si="57"/>
        <v>0.1375919043</v>
      </c>
      <c r="AE80" s="12"/>
      <c r="AF80" s="12">
        <f t="shared" ref="AF80:AH80" si="58">AF14/AF$16</f>
        <v>0.1070682874</v>
      </c>
      <c r="AG80" s="12">
        <f t="shared" si="58"/>
        <v>0.1071927506</v>
      </c>
      <c r="AH80" s="12">
        <f t="shared" si="58"/>
        <v>0.1071820659</v>
      </c>
      <c r="AI80" s="12"/>
      <c r="AJ80" s="12">
        <f t="shared" ref="AJ80:AK80" si="59">AJ14/AJ$16</f>
        <v>0</v>
      </c>
      <c r="AK80" s="12">
        <f t="shared" si="59"/>
        <v>0.007107204077</v>
      </c>
      <c r="AL80" s="12"/>
      <c r="AM80" s="12">
        <f t="shared" ref="AM80:AO80" si="60">AM14/AM$16</f>
        <v>0.2320501338</v>
      </c>
      <c r="AN80" s="12">
        <f t="shared" si="60"/>
        <v>0.2215723999</v>
      </c>
      <c r="AO80" s="12">
        <f t="shared" si="60"/>
        <v>0.2624259176</v>
      </c>
      <c r="AP80" s="12"/>
      <c r="AQ80" s="12">
        <f t="shared" ref="AQ80:AS80" si="61">AQ14/AQ$16</f>
        <v>0.0293204865</v>
      </c>
      <c r="AR80" s="12">
        <f t="shared" si="61"/>
        <v>0.02195446017</v>
      </c>
      <c r="AS80" s="12">
        <f t="shared" si="61"/>
        <v>0.02374121992</v>
      </c>
      <c r="AT80" s="12"/>
      <c r="AU80" s="12">
        <f t="shared" ref="AU80:AW80" si="62">AU14/AU$16</f>
        <v>0.126745612</v>
      </c>
      <c r="AV80" s="12">
        <f t="shared" si="62"/>
        <v>0.1703911506</v>
      </c>
      <c r="AW80" s="12">
        <f t="shared" si="62"/>
        <v>0.199394211</v>
      </c>
      <c r="AX80" s="12"/>
      <c r="AY80" s="12">
        <f t="shared" ref="AY80:BB80" si="63">AY14/AY$16</f>
        <v>0.02111403978</v>
      </c>
      <c r="AZ80" s="12">
        <f t="shared" si="63"/>
        <v>0.004914444208</v>
      </c>
      <c r="BA80" s="12">
        <f t="shared" si="63"/>
        <v>0.02419895597</v>
      </c>
      <c r="BB80" s="12">
        <f t="shared" si="63"/>
        <v>0.04079004857</v>
      </c>
      <c r="BC80" s="12"/>
      <c r="BD80" s="12">
        <f t="shared" ref="BD80:BG80" si="64">BD14/BD$16</f>
        <v>0.445063974</v>
      </c>
      <c r="BE80" s="12">
        <f t="shared" si="64"/>
        <v>0.4168989852</v>
      </c>
      <c r="BF80" s="12">
        <f t="shared" si="64"/>
        <v>0.4195488714</v>
      </c>
      <c r="BG80" s="12">
        <f t="shared" si="64"/>
        <v>0.4263435638</v>
      </c>
      <c r="BH80" s="12"/>
      <c r="BI80" s="12">
        <f t="shared" ref="BI80:BK80" si="65">BI14/BI$16</f>
        <v>0.005245298868</v>
      </c>
      <c r="BJ80" s="12">
        <f t="shared" si="65"/>
        <v>0.01104064535</v>
      </c>
      <c r="BK80" s="12">
        <f t="shared" si="65"/>
        <v>0.02599331878</v>
      </c>
      <c r="BL80" s="12"/>
      <c r="BM80" s="12">
        <f t="shared" ref="BM80:BO80" si="66">BM14/BM$16</f>
        <v>0.2604569887</v>
      </c>
      <c r="BN80" s="12">
        <f t="shared" si="66"/>
        <v>0.2422497337</v>
      </c>
      <c r="BO80" s="12">
        <f t="shared" si="66"/>
        <v>0.2723989596</v>
      </c>
      <c r="BP80" s="12"/>
      <c r="BQ80" s="12">
        <f t="shared" ref="BQ80:BR80" si="67">BQ14/BQ$16</f>
        <v>0.008108214375</v>
      </c>
      <c r="BR80" s="12">
        <f t="shared" si="67"/>
        <v>0.01070554952</v>
      </c>
      <c r="BS80" s="12"/>
      <c r="BT80" s="12">
        <f t="shared" ref="BT80:BV80" si="68">BT14/BT$16</f>
        <v>0.006391530512</v>
      </c>
      <c r="BU80" s="12">
        <f t="shared" si="68"/>
        <v>0.004228651254</v>
      </c>
      <c r="BV80" s="12">
        <f t="shared" si="68"/>
        <v>0.007894175465</v>
      </c>
    </row>
    <row r="81" ht="15.75" customHeight="1">
      <c r="A81" s="7" t="s">
        <v>67</v>
      </c>
      <c r="D81" s="12">
        <f t="shared" ref="D81:H81" si="69">D15/D$16</f>
        <v>0.6716023689</v>
      </c>
      <c r="E81" s="12">
        <f t="shared" si="69"/>
        <v>0.7463386826</v>
      </c>
      <c r="F81" s="12">
        <f t="shared" si="69"/>
        <v>0.6137763649</v>
      </c>
      <c r="G81" s="12">
        <f t="shared" si="69"/>
        <v>0.6296670703</v>
      </c>
      <c r="H81" s="12">
        <f t="shared" si="69"/>
        <v>0.7168389595</v>
      </c>
      <c r="I81" s="12"/>
      <c r="J81" s="12">
        <f t="shared" ref="J81:N81" si="70">J15/J$16</f>
        <v>0.3428369756</v>
      </c>
      <c r="K81" s="12">
        <f t="shared" si="70"/>
        <v>0.3332336627</v>
      </c>
      <c r="L81" s="12">
        <f t="shared" si="70"/>
        <v>0.2423958112</v>
      </c>
      <c r="M81" s="12">
        <f t="shared" si="70"/>
        <v>0.2255759542</v>
      </c>
      <c r="N81" s="12">
        <f t="shared" si="70"/>
        <v>0.3484150951</v>
      </c>
      <c r="O81" s="12"/>
      <c r="P81" s="12">
        <f t="shared" ref="P81:T81" si="71">P15/P$16</f>
        <v>0.1585114908</v>
      </c>
      <c r="Q81" s="12">
        <f t="shared" si="71"/>
        <v>0.6798791223</v>
      </c>
      <c r="R81" s="12">
        <f t="shared" si="71"/>
        <v>0.615342263</v>
      </c>
      <c r="S81" s="12">
        <f t="shared" si="71"/>
        <v>0.5872254907</v>
      </c>
      <c r="T81" s="12">
        <f t="shared" si="71"/>
        <v>0.5878418303</v>
      </c>
      <c r="U81" s="12"/>
      <c r="V81" s="12">
        <f t="shared" ref="V81:Y81" si="72">V15/V$16</f>
        <v>0</v>
      </c>
      <c r="W81" s="12">
        <f t="shared" si="72"/>
        <v>0</v>
      </c>
      <c r="X81" s="12">
        <f t="shared" si="72"/>
        <v>0</v>
      </c>
      <c r="Y81" s="12">
        <f t="shared" si="72"/>
        <v>0.5357575491</v>
      </c>
      <c r="Z81" s="12"/>
      <c r="AA81" s="12"/>
      <c r="AB81" s="12">
        <f t="shared" ref="AB81:AD81" si="73">AB15/AB$16</f>
        <v>0.1430413882</v>
      </c>
      <c r="AC81" s="12">
        <f t="shared" si="73"/>
        <v>0.2577267239</v>
      </c>
      <c r="AD81" s="12">
        <f t="shared" si="73"/>
        <v>0.1880563005</v>
      </c>
      <c r="AE81" s="12"/>
      <c r="AF81" s="12">
        <f t="shared" ref="AF81:AH81" si="74">AF15/AF$16</f>
        <v>0</v>
      </c>
      <c r="AG81" s="12">
        <f t="shared" si="74"/>
        <v>0</v>
      </c>
      <c r="AH81" s="12">
        <f t="shared" si="74"/>
        <v>0</v>
      </c>
      <c r="AI81" s="12"/>
      <c r="AJ81" s="12">
        <f t="shared" ref="AJ81:AK81" si="75">AJ15/AJ$16</f>
        <v>0.6</v>
      </c>
      <c r="AK81" s="12">
        <f t="shared" si="75"/>
        <v>0.0004129474618</v>
      </c>
      <c r="AL81" s="12"/>
      <c r="AM81" s="12">
        <f t="shared" ref="AM81:AO81" si="76">AM15/AM$16</f>
        <v>0.06206697959</v>
      </c>
      <c r="AN81" s="12">
        <f t="shared" si="76"/>
        <v>0.02545397421</v>
      </c>
      <c r="AO81" s="12">
        <f t="shared" si="76"/>
        <v>0.02684019257</v>
      </c>
      <c r="AP81" s="12"/>
      <c r="AQ81" s="12">
        <f t="shared" ref="AQ81:AS81" si="77">AQ15/AQ$16</f>
        <v>0.0002078599487</v>
      </c>
      <c r="AR81" s="12">
        <f t="shared" si="77"/>
        <v>0.003149743874</v>
      </c>
      <c r="AS81" s="12">
        <f t="shared" si="77"/>
        <v>0.003089281108</v>
      </c>
      <c r="AT81" s="12"/>
      <c r="AU81" s="12">
        <f t="shared" ref="AU81:AW81" si="78">AU15/AU$16</f>
        <v>0.005846089373</v>
      </c>
      <c r="AV81" s="12">
        <f t="shared" si="78"/>
        <v>0.007396032872</v>
      </c>
      <c r="AW81" s="12">
        <f t="shared" si="78"/>
        <v>0.009246757494</v>
      </c>
      <c r="AX81" s="12"/>
      <c r="AY81" s="12">
        <f t="shared" ref="AY81:BB81" si="79">AY15/AY$16</f>
        <v>0.09122881211</v>
      </c>
      <c r="AZ81" s="12">
        <f t="shared" si="79"/>
        <v>0.04921917506</v>
      </c>
      <c r="BA81" s="12">
        <f t="shared" si="79"/>
        <v>0.02917065036</v>
      </c>
      <c r="BB81" s="12">
        <f t="shared" si="79"/>
        <v>0.0216955702</v>
      </c>
      <c r="BC81" s="12"/>
      <c r="BD81" s="12">
        <f t="shared" ref="BD81:BG81" si="80">BD15/BD$16</f>
        <v>0.05476825026</v>
      </c>
      <c r="BE81" s="12">
        <f t="shared" si="80"/>
        <v>0.05708666566</v>
      </c>
      <c r="BF81" s="12">
        <f t="shared" si="80"/>
        <v>0.05040999834</v>
      </c>
      <c r="BG81" s="12">
        <f t="shared" si="80"/>
        <v>0.04064526364</v>
      </c>
      <c r="BH81" s="12"/>
      <c r="BI81" s="12">
        <f t="shared" ref="BI81:BK81" si="81">BI15/BI$16</f>
        <v>0.01446720688</v>
      </c>
      <c r="BJ81" s="12">
        <f t="shared" si="81"/>
        <v>0.01082662778</v>
      </c>
      <c r="BK81" s="12">
        <f t="shared" si="81"/>
        <v>0.008085938996</v>
      </c>
      <c r="BL81" s="12"/>
      <c r="BM81" s="12">
        <f t="shared" ref="BM81:BO81" si="82">BM15/BM$16</f>
        <v>0</v>
      </c>
      <c r="BN81" s="12">
        <f t="shared" si="82"/>
        <v>0</v>
      </c>
      <c r="BO81" s="12">
        <f t="shared" si="82"/>
        <v>0</v>
      </c>
      <c r="BP81" s="12"/>
      <c r="BQ81" s="12">
        <f t="shared" ref="BQ81:BR81" si="83">BQ15/BQ$16</f>
        <v>0</v>
      </c>
      <c r="BR81" s="12">
        <f t="shared" si="83"/>
        <v>0</v>
      </c>
      <c r="BS81" s="12"/>
      <c r="BT81" s="12">
        <f t="shared" ref="BT81:BV81" si="84">BT15/BT$16</f>
        <v>0</v>
      </c>
      <c r="BU81" s="12">
        <f t="shared" si="84"/>
        <v>0</v>
      </c>
      <c r="BV81" s="12">
        <f t="shared" si="84"/>
        <v>0</v>
      </c>
    </row>
    <row r="82" ht="15.75" customHeight="1">
      <c r="A82" s="7" t="s">
        <v>68</v>
      </c>
      <c r="D82" s="12">
        <f t="shared" ref="D82:H82" si="85">D16/D$16</f>
        <v>1</v>
      </c>
      <c r="E82" s="12">
        <f t="shared" si="85"/>
        <v>1</v>
      </c>
      <c r="F82" s="12">
        <f t="shared" si="85"/>
        <v>1</v>
      </c>
      <c r="G82" s="12">
        <f t="shared" si="85"/>
        <v>1</v>
      </c>
      <c r="H82" s="12">
        <f t="shared" si="85"/>
        <v>1</v>
      </c>
      <c r="I82" s="12"/>
      <c r="J82" s="12">
        <f t="shared" ref="J82:N82" si="86">J16/J$16</f>
        <v>1</v>
      </c>
      <c r="K82" s="12">
        <f t="shared" si="86"/>
        <v>1</v>
      </c>
      <c r="L82" s="12">
        <f t="shared" si="86"/>
        <v>1</v>
      </c>
      <c r="M82" s="12">
        <f t="shared" si="86"/>
        <v>1</v>
      </c>
      <c r="N82" s="12">
        <f t="shared" si="86"/>
        <v>1</v>
      </c>
      <c r="O82" s="12"/>
      <c r="P82" s="12">
        <f t="shared" ref="P82:T82" si="87">P16/P$16</f>
        <v>1</v>
      </c>
      <c r="Q82" s="12">
        <f t="shared" si="87"/>
        <v>1</v>
      </c>
      <c r="R82" s="12">
        <f t="shared" si="87"/>
        <v>1</v>
      </c>
      <c r="S82" s="12">
        <f t="shared" si="87"/>
        <v>1</v>
      </c>
      <c r="T82" s="12">
        <f t="shared" si="87"/>
        <v>1</v>
      </c>
      <c r="U82" s="12"/>
      <c r="V82" s="12">
        <f t="shared" ref="V82:Y82" si="88">V16/V$16</f>
        <v>1</v>
      </c>
      <c r="W82" s="12">
        <f t="shared" si="88"/>
        <v>1</v>
      </c>
      <c r="X82" s="12">
        <f t="shared" si="88"/>
        <v>1</v>
      </c>
      <c r="Y82" s="12">
        <f t="shared" si="88"/>
        <v>1</v>
      </c>
      <c r="Z82" s="12"/>
      <c r="AA82" s="12"/>
      <c r="AB82" s="12">
        <f t="shared" ref="AB82:AD82" si="89">AB16/AB$16</f>
        <v>1</v>
      </c>
      <c r="AC82" s="12">
        <f t="shared" si="89"/>
        <v>1</v>
      </c>
      <c r="AD82" s="12">
        <f t="shared" si="89"/>
        <v>1</v>
      </c>
      <c r="AE82" s="12"/>
      <c r="AF82" s="12">
        <f t="shared" ref="AF82:AH82" si="90">AF16/AF$16</f>
        <v>1</v>
      </c>
      <c r="AG82" s="12">
        <f t="shared" si="90"/>
        <v>1</v>
      </c>
      <c r="AH82" s="12">
        <f t="shared" si="90"/>
        <v>1</v>
      </c>
      <c r="AI82" s="12"/>
      <c r="AJ82" s="12">
        <f t="shared" ref="AJ82:AK82" si="91">AJ16/AJ$16</f>
        <v>1</v>
      </c>
      <c r="AK82" s="12">
        <f t="shared" si="91"/>
        <v>1</v>
      </c>
      <c r="AL82" s="12"/>
      <c r="AM82" s="12">
        <f t="shared" ref="AM82:AO82" si="92">AM16/AM$16</f>
        <v>1</v>
      </c>
      <c r="AN82" s="12">
        <f t="shared" si="92"/>
        <v>1</v>
      </c>
      <c r="AO82" s="12">
        <f t="shared" si="92"/>
        <v>1</v>
      </c>
      <c r="AP82" s="12"/>
      <c r="AQ82" s="12">
        <f t="shared" ref="AQ82:AS82" si="93">AQ16/AQ$16</f>
        <v>1</v>
      </c>
      <c r="AR82" s="12">
        <f t="shared" si="93"/>
        <v>1</v>
      </c>
      <c r="AS82" s="12">
        <f t="shared" si="93"/>
        <v>1</v>
      </c>
      <c r="AT82" s="12"/>
      <c r="AU82" s="12">
        <f t="shared" ref="AU82:AW82" si="94">AU16/AU$16</f>
        <v>1</v>
      </c>
      <c r="AV82" s="12">
        <f t="shared" si="94"/>
        <v>1</v>
      </c>
      <c r="AW82" s="12">
        <f t="shared" si="94"/>
        <v>1</v>
      </c>
      <c r="AX82" s="12"/>
      <c r="AY82" s="12">
        <f t="shared" ref="AY82:BB82" si="95">AY16/AY$16</f>
        <v>1</v>
      </c>
      <c r="AZ82" s="12">
        <f t="shared" si="95"/>
        <v>1</v>
      </c>
      <c r="BA82" s="12">
        <f t="shared" si="95"/>
        <v>1</v>
      </c>
      <c r="BB82" s="12">
        <f t="shared" si="95"/>
        <v>1</v>
      </c>
      <c r="BC82" s="12"/>
      <c r="BD82" s="12">
        <f t="shared" ref="BD82:BG82" si="96">BD16/BD$16</f>
        <v>1</v>
      </c>
      <c r="BE82" s="12">
        <f t="shared" si="96"/>
        <v>1</v>
      </c>
      <c r="BF82" s="12">
        <f t="shared" si="96"/>
        <v>1</v>
      </c>
      <c r="BG82" s="12">
        <f t="shared" si="96"/>
        <v>1</v>
      </c>
      <c r="BH82" s="12"/>
      <c r="BI82" s="12">
        <f t="shared" ref="BI82:BK82" si="97">BI16/BI$16</f>
        <v>1</v>
      </c>
      <c r="BJ82" s="12">
        <f t="shared" si="97"/>
        <v>1</v>
      </c>
      <c r="BK82" s="12">
        <f t="shared" si="97"/>
        <v>1</v>
      </c>
      <c r="BL82" s="12"/>
      <c r="BM82" s="12">
        <f t="shared" ref="BM82:BO82" si="98">BM16/BM$16</f>
        <v>1</v>
      </c>
      <c r="BN82" s="12">
        <f t="shared" si="98"/>
        <v>1</v>
      </c>
      <c r="BO82" s="12">
        <f t="shared" si="98"/>
        <v>1</v>
      </c>
      <c r="BP82" s="12"/>
      <c r="BQ82" s="12">
        <f t="shared" ref="BQ82:BR82" si="99">BQ16/BQ$16</f>
        <v>1</v>
      </c>
      <c r="BR82" s="12">
        <f t="shared" si="99"/>
        <v>1</v>
      </c>
      <c r="BS82" s="12"/>
      <c r="BT82" s="12">
        <f t="shared" ref="BT82:BV82" si="100">BT16/BT$16</f>
        <v>1</v>
      </c>
      <c r="BU82" s="12">
        <f t="shared" si="100"/>
        <v>1</v>
      </c>
      <c r="BV82" s="12">
        <f t="shared" si="100"/>
        <v>1</v>
      </c>
    </row>
    <row r="83" ht="15.75" customHeight="1"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</row>
    <row r="84" ht="15.75" customHeight="1">
      <c r="A84" s="7" t="s">
        <v>69</v>
      </c>
      <c r="D84" s="12">
        <f t="shared" ref="D84:H84" si="101">D18/D$16</f>
        <v>0.6247146528</v>
      </c>
      <c r="E84" s="12">
        <f t="shared" si="101"/>
        <v>0.4761222411</v>
      </c>
      <c r="F84" s="12">
        <f t="shared" si="101"/>
        <v>0.5394543243</v>
      </c>
      <c r="G84" s="12">
        <f t="shared" si="101"/>
        <v>0.3745506228</v>
      </c>
      <c r="H84" s="12">
        <f t="shared" si="101"/>
        <v>0.4063032484</v>
      </c>
      <c r="I84" s="12"/>
      <c r="J84" s="12">
        <f t="shared" ref="J84:N84" si="102">J18/J$16</f>
        <v>0.1759967994</v>
      </c>
      <c r="K84" s="12">
        <f t="shared" si="102"/>
        <v>0.2693665364</v>
      </c>
      <c r="L84" s="12">
        <f t="shared" si="102"/>
        <v>0.2111882235</v>
      </c>
      <c r="M84" s="12">
        <f t="shared" si="102"/>
        <v>0.2217280523</v>
      </c>
      <c r="N84" s="12">
        <f t="shared" si="102"/>
        <v>0.348713914</v>
      </c>
      <c r="O84" s="12"/>
      <c r="P84" s="12">
        <f t="shared" ref="P84:T84" si="103">P18/P$16</f>
        <v>0.1612429387</v>
      </c>
      <c r="Q84" s="12">
        <f t="shared" si="103"/>
        <v>0.1779010804</v>
      </c>
      <c r="R84" s="12">
        <f t="shared" si="103"/>
        <v>0.2217686919</v>
      </c>
      <c r="S84" s="12">
        <f t="shared" si="103"/>
        <v>0.2348067966</v>
      </c>
      <c r="T84" s="12">
        <f t="shared" si="103"/>
        <v>0.2999218774</v>
      </c>
      <c r="U84" s="12"/>
      <c r="V84" s="12">
        <f t="shared" ref="V84:Y84" si="104">V18/V$16</f>
        <v>0.6523155547</v>
      </c>
      <c r="W84" s="12">
        <f t="shared" si="104"/>
        <v>0.2411419595</v>
      </c>
      <c r="X84" s="12">
        <f t="shared" si="104"/>
        <v>0.5614772444</v>
      </c>
      <c r="Y84" s="12">
        <f t="shared" si="104"/>
        <v>0.3760215049</v>
      </c>
      <c r="Z84" s="12"/>
      <c r="AA84" s="12"/>
      <c r="AB84" s="12">
        <f t="shared" ref="AB84:AD84" si="105">AB18/AB$16</f>
        <v>0.2785179778</v>
      </c>
      <c r="AC84" s="12">
        <f t="shared" si="105"/>
        <v>0.2650448665</v>
      </c>
      <c r="AD84" s="12">
        <f t="shared" si="105"/>
        <v>0.1837811821</v>
      </c>
      <c r="AE84" s="12"/>
      <c r="AF84" s="12">
        <f t="shared" ref="AF84:AH84" si="106">AF18/AF$16</f>
        <v>0</v>
      </c>
      <c r="AG84" s="12">
        <f t="shared" si="106"/>
        <v>0</v>
      </c>
      <c r="AH84" s="12">
        <f t="shared" si="106"/>
        <v>0</v>
      </c>
      <c r="AI84" s="12"/>
      <c r="AJ84" s="12">
        <f t="shared" ref="AJ84:AK84" si="107">AJ18/AJ$16</f>
        <v>0.6</v>
      </c>
      <c r="AK84" s="12">
        <f t="shared" si="107"/>
        <v>0.7890149227</v>
      </c>
      <c r="AL84" s="12"/>
      <c r="AM84" s="12">
        <f t="shared" ref="AM84:AO84" si="108">AM18/AM$16</f>
        <v>0.5207516455</v>
      </c>
      <c r="AN84" s="12">
        <f t="shared" si="108"/>
        <v>0.4710712502</v>
      </c>
      <c r="AO84" s="12">
        <f t="shared" si="108"/>
        <v>0.4979733035</v>
      </c>
      <c r="AP84" s="12"/>
      <c r="AQ84" s="12">
        <f t="shared" ref="AQ84:AS84" si="109">AQ18/AQ$16</f>
        <v>0.1230638793</v>
      </c>
      <c r="AR84" s="12">
        <f t="shared" si="109"/>
        <v>0.06000191601</v>
      </c>
      <c r="AS84" s="12">
        <f t="shared" si="109"/>
        <v>0.007884355041</v>
      </c>
      <c r="AT84" s="12"/>
      <c r="AU84" s="12">
        <f t="shared" ref="AU84:AW84" si="110">AU18/AU$16</f>
        <v>0.07631324107</v>
      </c>
      <c r="AV84" s="12">
        <f t="shared" si="110"/>
        <v>0.1248213277</v>
      </c>
      <c r="AW84" s="12">
        <f t="shared" si="110"/>
        <v>0.1212249918</v>
      </c>
      <c r="AX84" s="12"/>
      <c r="AY84" s="12">
        <f t="shared" ref="AY84:BB84" si="111">AY18/AY$16</f>
        <v>0.07231539079</v>
      </c>
      <c r="AZ84" s="12">
        <f t="shared" si="111"/>
        <v>0.1867767498</v>
      </c>
      <c r="BA84" s="12">
        <f t="shared" si="111"/>
        <v>0.3173555144</v>
      </c>
      <c r="BB84" s="12">
        <f t="shared" si="111"/>
        <v>0.3139376374</v>
      </c>
      <c r="BC84" s="12"/>
      <c r="BD84" s="12">
        <f t="shared" ref="BD84:BG84" si="112">BD18/BD$16</f>
        <v>0.1457946026</v>
      </c>
      <c r="BE84" s="12">
        <f t="shared" si="112"/>
        <v>0.155578671</v>
      </c>
      <c r="BF84" s="12">
        <f t="shared" si="112"/>
        <v>0.1711888099</v>
      </c>
      <c r="BG84" s="12">
        <f t="shared" si="112"/>
        <v>0.2829758398</v>
      </c>
      <c r="BH84" s="12"/>
      <c r="BI84" s="12">
        <f t="shared" ref="BI84:BK84" si="113">BI18/BI$16</f>
        <v>0.6556305685</v>
      </c>
      <c r="BJ84" s="12">
        <f t="shared" si="113"/>
        <v>0.8215782219</v>
      </c>
      <c r="BK84" s="12">
        <f t="shared" si="113"/>
        <v>0.85052333</v>
      </c>
      <c r="BL84" s="12"/>
      <c r="BM84" s="12">
        <f t="shared" ref="BM84:BO84" si="114">BM18/BM$16</f>
        <v>0.05920329964</v>
      </c>
      <c r="BN84" s="12">
        <f t="shared" si="114"/>
        <v>0.05672303339</v>
      </c>
      <c r="BO84" s="12">
        <f t="shared" si="114"/>
        <v>0.05619276189</v>
      </c>
      <c r="BP84" s="12"/>
      <c r="BQ84" s="12">
        <f t="shared" ref="BQ84:BR84" si="115">BQ18/BQ$16</f>
        <v>0.8320637728</v>
      </c>
      <c r="BR84" s="12">
        <f t="shared" si="115"/>
        <v>0.1798444828</v>
      </c>
      <c r="BS84" s="12"/>
      <c r="BT84" s="12">
        <f t="shared" ref="BT84:BV84" si="116">BT18/BT$16</f>
        <v>0.4049408003</v>
      </c>
      <c r="BU84" s="12">
        <f t="shared" si="116"/>
        <v>0.7524519191</v>
      </c>
      <c r="BV84" s="12">
        <f t="shared" si="116"/>
        <v>0.1740905456</v>
      </c>
    </row>
    <row r="85" ht="15.75" customHeight="1">
      <c r="A85" s="7" t="s">
        <v>70</v>
      </c>
      <c r="D85" s="12">
        <f t="shared" ref="D85:H85" si="117">D19/D$16</f>
        <v>0.1559150278</v>
      </c>
      <c r="E85" s="12">
        <f t="shared" si="117"/>
        <v>0.2533975832</v>
      </c>
      <c r="F85" s="12">
        <f t="shared" si="117"/>
        <v>0.142406168</v>
      </c>
      <c r="G85" s="12">
        <f t="shared" si="117"/>
        <v>0.2737162957</v>
      </c>
      <c r="H85" s="12">
        <f t="shared" si="117"/>
        <v>0.2128127227</v>
      </c>
      <c r="I85" s="12"/>
      <c r="J85" s="12">
        <f t="shared" ref="J85:N85" si="118">J19/J$16</f>
        <v>0.3369669841</v>
      </c>
      <c r="K85" s="12">
        <f t="shared" si="118"/>
        <v>0.258045225</v>
      </c>
      <c r="L85" s="12">
        <f t="shared" si="118"/>
        <v>0.3161187134</v>
      </c>
      <c r="M85" s="12">
        <f t="shared" si="118"/>
        <v>0.3289999921</v>
      </c>
      <c r="N85" s="12">
        <f t="shared" si="118"/>
        <v>0.2482091386</v>
      </c>
      <c r="O85" s="12"/>
      <c r="P85" s="12">
        <f t="shared" ref="P85:T85" si="119">P19/P$16</f>
        <v>0.2115927805</v>
      </c>
      <c r="Q85" s="12">
        <f t="shared" si="119"/>
        <v>0.2461909614</v>
      </c>
      <c r="R85" s="12">
        <f t="shared" si="119"/>
        <v>0.2016963963</v>
      </c>
      <c r="S85" s="12">
        <f t="shared" si="119"/>
        <v>0.2043876527</v>
      </c>
      <c r="T85" s="12">
        <f t="shared" si="119"/>
        <v>0.1928770659</v>
      </c>
      <c r="U85" s="12"/>
      <c r="V85" s="12">
        <f t="shared" ref="V85:Y85" si="120">V19/V$16</f>
        <v>0.001245708967</v>
      </c>
      <c r="W85" s="12">
        <f t="shared" si="120"/>
        <v>0.01313953572</v>
      </c>
      <c r="X85" s="12">
        <f t="shared" si="120"/>
        <v>0.004414529713</v>
      </c>
      <c r="Y85" s="12">
        <f t="shared" si="120"/>
        <v>0.2699062294</v>
      </c>
      <c r="Z85" s="12"/>
      <c r="AA85" s="12"/>
      <c r="AB85" s="12">
        <f t="shared" ref="AB85:AD85" si="121">AB19/AB$16</f>
        <v>0.2550971531</v>
      </c>
      <c r="AC85" s="12">
        <f t="shared" si="121"/>
        <v>0.2529558225</v>
      </c>
      <c r="AD85" s="12">
        <f t="shared" si="121"/>
        <v>0.3067495255</v>
      </c>
      <c r="AE85" s="12"/>
      <c r="AF85" s="12">
        <f t="shared" ref="AF85:AH85" si="122">AF19/AF$16</f>
        <v>0.0003257506364</v>
      </c>
      <c r="AG85" s="12">
        <f t="shared" si="122"/>
        <v>0</v>
      </c>
      <c r="AH85" s="12">
        <f t="shared" si="122"/>
        <v>0</v>
      </c>
      <c r="AI85" s="12"/>
      <c r="AJ85" s="12">
        <f t="shared" ref="AJ85:AK85" si="123">AJ19/AJ$16</f>
        <v>0</v>
      </c>
      <c r="AK85" s="12">
        <f t="shared" si="123"/>
        <v>0</v>
      </c>
      <c r="AL85" s="12"/>
      <c r="AM85" s="12">
        <f t="shared" ref="AM85:AO85" si="124">AM19/AM$16</f>
        <v>0.1032103756</v>
      </c>
      <c r="AN85" s="12">
        <f t="shared" si="124"/>
        <v>0.1689592613</v>
      </c>
      <c r="AO85" s="12">
        <f t="shared" si="124"/>
        <v>0.1279352042</v>
      </c>
      <c r="AP85" s="12"/>
      <c r="AQ85" s="12">
        <f t="shared" ref="AQ85:AS85" si="125">AQ19/AQ$16</f>
        <v>0.410853239</v>
      </c>
      <c r="AR85" s="12">
        <f t="shared" si="125"/>
        <v>0.5547107874</v>
      </c>
      <c r="AS85" s="12">
        <f t="shared" si="125"/>
        <v>0.5741095183</v>
      </c>
      <c r="AT85" s="12"/>
      <c r="AU85" s="12">
        <f t="shared" ref="AU85:AW85" si="126">AU19/AU$16</f>
        <v>0.6685926256</v>
      </c>
      <c r="AV85" s="12">
        <f t="shared" si="126"/>
        <v>0.5971188984</v>
      </c>
      <c r="AW85" s="12">
        <f t="shared" si="126"/>
        <v>0.5982994321</v>
      </c>
      <c r="AX85" s="12"/>
      <c r="AY85" s="12">
        <f t="shared" ref="AY85:BB85" si="127">AY19/AY$16</f>
        <v>0.3642776016</v>
      </c>
      <c r="AZ85" s="12">
        <f t="shared" si="127"/>
        <v>0.5238644006</v>
      </c>
      <c r="BA85" s="12">
        <f t="shared" si="127"/>
        <v>0.3701535086</v>
      </c>
      <c r="BB85" s="12">
        <f t="shared" si="127"/>
        <v>0.3024414935</v>
      </c>
      <c r="BC85" s="12"/>
      <c r="BD85" s="12">
        <f t="shared" ref="BD85:BG85" si="128">BD19/BD$16</f>
        <v>0.4648470846</v>
      </c>
      <c r="BE85" s="12">
        <f t="shared" si="128"/>
        <v>0.4688329027</v>
      </c>
      <c r="BF85" s="12">
        <f t="shared" si="128"/>
        <v>0.4762193186</v>
      </c>
      <c r="BG85" s="12">
        <f t="shared" si="128"/>
        <v>0.4699420911</v>
      </c>
      <c r="BH85" s="12"/>
      <c r="BI85" s="12">
        <f t="shared" ref="BI85:BK85" si="129">BI19/BI$16</f>
        <v>0.008611738658</v>
      </c>
      <c r="BJ85" s="12">
        <f t="shared" si="129"/>
        <v>0.0005847982397</v>
      </c>
      <c r="BK85" s="12">
        <f t="shared" si="129"/>
        <v>0.0004367604564</v>
      </c>
      <c r="BL85" s="12"/>
      <c r="BM85" s="12">
        <f t="shared" ref="BM85:BO85" si="130">BM19/BM$16</f>
        <v>0.09369422418</v>
      </c>
      <c r="BN85" s="12">
        <f t="shared" si="130"/>
        <v>0.04953212631</v>
      </c>
      <c r="BO85" s="12">
        <f t="shared" si="130"/>
        <v>0.1520730495</v>
      </c>
      <c r="BP85" s="12"/>
      <c r="BQ85" s="12">
        <f t="shared" ref="BQ85:BR85" si="131">BQ19/BQ$16</f>
        <v>0</v>
      </c>
      <c r="BR85" s="12">
        <f t="shared" si="131"/>
        <v>0.6820817576</v>
      </c>
      <c r="BS85" s="12"/>
      <c r="BT85" s="12">
        <f t="shared" ref="BT85:BV85" si="132">BT19/BT$16</f>
        <v>0</v>
      </c>
      <c r="BU85" s="12">
        <f t="shared" si="132"/>
        <v>0.008723836681</v>
      </c>
      <c r="BV85" s="12">
        <f t="shared" si="132"/>
        <v>0.553455868</v>
      </c>
    </row>
    <row r="86" ht="15.75" customHeight="1">
      <c r="A86" s="7" t="s">
        <v>71</v>
      </c>
      <c r="D86" s="12">
        <f t="shared" ref="D86:H86" si="133">D20/D$16</f>
        <v>0.7806296805</v>
      </c>
      <c r="E86" s="12">
        <f t="shared" si="133"/>
        <v>0.7295198243</v>
      </c>
      <c r="F86" s="12">
        <f t="shared" si="133"/>
        <v>0.6818604923</v>
      </c>
      <c r="G86" s="12">
        <f t="shared" si="133"/>
        <v>0.6482669185</v>
      </c>
      <c r="H86" s="12">
        <f t="shared" si="133"/>
        <v>0.6191159711</v>
      </c>
      <c r="I86" s="12"/>
      <c r="J86" s="12">
        <f t="shared" ref="J86:N86" si="134">J20/J$16</f>
        <v>0.5129637835</v>
      </c>
      <c r="K86" s="12">
        <f t="shared" si="134"/>
        <v>0.5274117614</v>
      </c>
      <c r="L86" s="12">
        <f t="shared" si="134"/>
        <v>0.527306937</v>
      </c>
      <c r="M86" s="12">
        <f t="shared" si="134"/>
        <v>0.5507280444</v>
      </c>
      <c r="N86" s="12">
        <f t="shared" si="134"/>
        <v>0.5969230527</v>
      </c>
      <c r="O86" s="12"/>
      <c r="P86" s="12">
        <f t="shared" ref="P86:T86" si="135">P20/P$16</f>
        <v>0.3728357191</v>
      </c>
      <c r="Q86" s="12">
        <f t="shared" si="135"/>
        <v>0.4240920418</v>
      </c>
      <c r="R86" s="12">
        <f t="shared" si="135"/>
        <v>0.4234650882</v>
      </c>
      <c r="S86" s="12">
        <f t="shared" si="135"/>
        <v>0.4391944493</v>
      </c>
      <c r="T86" s="12">
        <f t="shared" si="135"/>
        <v>0.4927989433</v>
      </c>
      <c r="U86" s="12"/>
      <c r="V86" s="12">
        <f t="shared" ref="V86:Y86" si="136">V20/V$16</f>
        <v>0.6535612636</v>
      </c>
      <c r="W86" s="12">
        <f t="shared" si="136"/>
        <v>0.2542814952</v>
      </c>
      <c r="X86" s="12">
        <f t="shared" si="136"/>
        <v>0.5658917741</v>
      </c>
      <c r="Y86" s="12">
        <f t="shared" si="136"/>
        <v>0.6459277343</v>
      </c>
      <c r="Z86" s="12"/>
      <c r="AA86" s="12"/>
      <c r="AB86" s="12">
        <f t="shared" ref="AB86:AD86" si="137">AB20/AB$16</f>
        <v>0.5336151309</v>
      </c>
      <c r="AC86" s="12">
        <f t="shared" si="137"/>
        <v>0.518000689</v>
      </c>
      <c r="AD86" s="12">
        <f t="shared" si="137"/>
        <v>0.4905307076</v>
      </c>
      <c r="AE86" s="12"/>
      <c r="AF86" s="12">
        <f t="shared" ref="AF86:AH86" si="138">AF20/AF$16</f>
        <v>0.0003257506364</v>
      </c>
      <c r="AG86" s="12">
        <f t="shared" si="138"/>
        <v>0</v>
      </c>
      <c r="AH86" s="12">
        <f t="shared" si="138"/>
        <v>0</v>
      </c>
      <c r="AI86" s="12"/>
      <c r="AJ86" s="12">
        <f t="shared" ref="AJ86:AK86" si="139">AJ20/AJ$16</f>
        <v>0.6</v>
      </c>
      <c r="AK86" s="12">
        <f t="shared" si="139"/>
        <v>0.7890149227</v>
      </c>
      <c r="AL86" s="12"/>
      <c r="AM86" s="12">
        <f t="shared" ref="AM86:AO86" si="140">AM20/AM$16</f>
        <v>0.6239620211</v>
      </c>
      <c r="AN86" s="12">
        <f t="shared" si="140"/>
        <v>0.6400305115</v>
      </c>
      <c r="AO86" s="12">
        <f t="shared" si="140"/>
        <v>0.6259085077</v>
      </c>
      <c r="AP86" s="12"/>
      <c r="AQ86" s="12">
        <f t="shared" ref="AQ86:AS86" si="141">AQ20/AQ$16</f>
        <v>0.5339171184</v>
      </c>
      <c r="AR86" s="12">
        <f t="shared" si="141"/>
        <v>0.6147127034</v>
      </c>
      <c r="AS86" s="12">
        <f t="shared" si="141"/>
        <v>0.5819938733</v>
      </c>
      <c r="AT86" s="12"/>
      <c r="AU86" s="12">
        <f t="shared" ref="AU86:AW86" si="142">AU20/AU$16</f>
        <v>0.7449058667</v>
      </c>
      <c r="AV86" s="12">
        <f t="shared" si="142"/>
        <v>0.7219402261</v>
      </c>
      <c r="AW86" s="12">
        <f t="shared" si="142"/>
        <v>0.7195244239</v>
      </c>
      <c r="AX86" s="12"/>
      <c r="AY86" s="12">
        <f t="shared" ref="AY86:BB86" si="143">AY20/AY$16</f>
        <v>0.4365929924</v>
      </c>
      <c r="AZ86" s="12">
        <f t="shared" si="143"/>
        <v>0.7106411504</v>
      </c>
      <c r="BA86" s="12">
        <f t="shared" si="143"/>
        <v>0.687509023</v>
      </c>
      <c r="BB86" s="12">
        <f t="shared" si="143"/>
        <v>0.6163791309</v>
      </c>
      <c r="BC86" s="12"/>
      <c r="BD86" s="12">
        <f t="shared" ref="BD86:BG86" si="144">BD20/BD$16</f>
        <v>0.6106416872</v>
      </c>
      <c r="BE86" s="12">
        <f t="shared" si="144"/>
        <v>0.6244115736</v>
      </c>
      <c r="BF86" s="12">
        <f t="shared" si="144"/>
        <v>0.6474081285</v>
      </c>
      <c r="BG86" s="12">
        <f t="shared" si="144"/>
        <v>0.7529179308</v>
      </c>
      <c r="BH86" s="12"/>
      <c r="BI86" s="12">
        <f t="shared" ref="BI86:BK86" si="145">BI20/BI$16</f>
        <v>0.6642423072</v>
      </c>
      <c r="BJ86" s="12">
        <f t="shared" si="145"/>
        <v>0.8221630201</v>
      </c>
      <c r="BK86" s="12">
        <f t="shared" si="145"/>
        <v>0.8509600904</v>
      </c>
      <c r="BL86" s="12"/>
      <c r="BM86" s="12">
        <f t="shared" ref="BM86:BO86" si="146">BM20/BM$16</f>
        <v>0.1528975238</v>
      </c>
      <c r="BN86" s="12">
        <f t="shared" si="146"/>
        <v>0.1062551597</v>
      </c>
      <c r="BO86" s="12">
        <f t="shared" si="146"/>
        <v>0.2082658114</v>
      </c>
      <c r="BP86" s="12"/>
      <c r="BQ86" s="12">
        <f t="shared" ref="BQ86:BR86" si="147">BQ20/BQ$16</f>
        <v>0.8320637728</v>
      </c>
      <c r="BR86" s="12">
        <f t="shared" si="147"/>
        <v>0.8619262404</v>
      </c>
      <c r="BS86" s="12"/>
      <c r="BT86" s="12">
        <f t="shared" ref="BT86:BV86" si="148">BT20/BT$16</f>
        <v>0.4049408003</v>
      </c>
      <c r="BU86" s="12">
        <f t="shared" si="148"/>
        <v>0.7611757558</v>
      </c>
      <c r="BV86" s="12">
        <f t="shared" si="148"/>
        <v>0.7275464136</v>
      </c>
    </row>
    <row r="87" ht="15.75" customHeight="1"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</row>
    <row r="88" ht="15.75" customHeight="1">
      <c r="A88" s="7" t="s">
        <v>72</v>
      </c>
      <c r="D88" s="12">
        <f t="shared" ref="D88:H88" si="149">D22/D$16</f>
        <v>0</v>
      </c>
      <c r="E88" s="12">
        <f t="shared" si="149"/>
        <v>0</v>
      </c>
      <c r="F88" s="12">
        <f t="shared" si="149"/>
        <v>0</v>
      </c>
      <c r="G88" s="12">
        <f t="shared" si="149"/>
        <v>0</v>
      </c>
      <c r="H88" s="12">
        <f t="shared" si="149"/>
        <v>0</v>
      </c>
      <c r="I88" s="12"/>
      <c r="J88" s="12">
        <f t="shared" ref="J88:N88" si="150">J22/J$16</f>
        <v>0.1245896746</v>
      </c>
      <c r="K88" s="12">
        <f t="shared" si="150"/>
        <v>0.1153854644</v>
      </c>
      <c r="L88" s="12">
        <f t="shared" si="150"/>
        <v>0.1034330896</v>
      </c>
      <c r="M88" s="12">
        <f t="shared" si="150"/>
        <v>0.09192609506</v>
      </c>
      <c r="N88" s="12">
        <f t="shared" si="150"/>
        <v>0.09058615363</v>
      </c>
      <c r="O88" s="12"/>
      <c r="P88" s="12">
        <f t="shared" ref="P88:T88" si="151">P22/P$16</f>
        <v>0.59119033</v>
      </c>
      <c r="Q88" s="12">
        <f t="shared" si="151"/>
        <v>0.5361677691</v>
      </c>
      <c r="R88" s="12">
        <f t="shared" si="151"/>
        <v>0.5312546396</v>
      </c>
      <c r="S88" s="12">
        <f t="shared" si="151"/>
        <v>0.4868403339</v>
      </c>
      <c r="T88" s="12">
        <f t="shared" si="151"/>
        <v>0.4476488614</v>
      </c>
      <c r="U88" s="12"/>
      <c r="V88" s="12">
        <f t="shared" ref="V88:Y88" si="152">V22/V$16</f>
        <v>0.3438678308</v>
      </c>
      <c r="W88" s="12">
        <f t="shared" si="152"/>
        <v>0.8465679503</v>
      </c>
      <c r="X88" s="12">
        <f t="shared" si="152"/>
        <v>0.4748916684</v>
      </c>
      <c r="Y88" s="12">
        <f t="shared" si="152"/>
        <v>0.3664986573</v>
      </c>
      <c r="Z88" s="12"/>
      <c r="AA88" s="12"/>
      <c r="AB88" s="12">
        <f t="shared" ref="AB88:AD88" si="153">AB22/AB$16</f>
        <v>0.2602938687</v>
      </c>
      <c r="AC88" s="12">
        <f t="shared" si="153"/>
        <v>0.262592461</v>
      </c>
      <c r="AD88" s="12">
        <f t="shared" si="153"/>
        <v>0.2583197832</v>
      </c>
      <c r="AE88" s="12"/>
      <c r="AF88" s="12">
        <f t="shared" ref="AF88:AH88" si="154">AF22/AF$16</f>
        <v>0.1105221031</v>
      </c>
      <c r="AG88" s="12">
        <f t="shared" si="154"/>
        <v>0.1106505812</v>
      </c>
      <c r="AH88" s="12">
        <f t="shared" si="154"/>
        <v>0.1106395519</v>
      </c>
      <c r="AI88" s="12"/>
      <c r="AJ88" s="12">
        <f t="shared" ref="AJ88:AK88" si="155">AJ22/AJ$16</f>
        <v>0.4</v>
      </c>
      <c r="AK88" s="12">
        <f t="shared" si="155"/>
        <v>0.02697923417</v>
      </c>
      <c r="AL88" s="12"/>
      <c r="AM88" s="12">
        <f t="shared" ref="AM88:AO88" si="156">AM22/AM$16</f>
        <v>0.2129198773</v>
      </c>
      <c r="AN88" s="12">
        <f t="shared" si="156"/>
        <v>0.1796426918</v>
      </c>
      <c r="AO88" s="12">
        <f t="shared" si="156"/>
        <v>0.1894258749</v>
      </c>
      <c r="AP88" s="12"/>
      <c r="AQ88" s="12">
        <f t="shared" ref="AQ88:AS88" si="157">AQ22/AQ$16</f>
        <v>0.08120670075</v>
      </c>
      <c r="AR88" s="12">
        <f t="shared" si="157"/>
        <v>0.06304803687</v>
      </c>
      <c r="AS88" s="12">
        <f t="shared" si="157"/>
        <v>0.06553992728</v>
      </c>
      <c r="AT88" s="12"/>
      <c r="AU88" s="12">
        <f t="shared" ref="AU88:AW88" si="158">AU22/AU$16</f>
        <v>0.1978116656</v>
      </c>
      <c r="AV88" s="12">
        <f t="shared" si="158"/>
        <v>0.1852230848</v>
      </c>
      <c r="AW88" s="12">
        <f t="shared" si="158"/>
        <v>0.1916222147</v>
      </c>
      <c r="AX88" s="12"/>
      <c r="AY88" s="12">
        <f t="shared" ref="AY88:BB88" si="159">AY22/AY$16</f>
        <v>0.3226178778</v>
      </c>
      <c r="AZ88" s="12">
        <f t="shared" si="159"/>
        <v>0.1905312629</v>
      </c>
      <c r="BA88" s="12">
        <f t="shared" si="159"/>
        <v>0.1247273787</v>
      </c>
      <c r="BB88" s="12">
        <f t="shared" si="159"/>
        <v>0.220342491</v>
      </c>
      <c r="BC88" s="12"/>
      <c r="BD88" s="12">
        <f t="shared" ref="BD88:BG88" si="160">BD22/BD$16</f>
        <v>0.05553411341</v>
      </c>
      <c r="BE88" s="12">
        <f t="shared" si="160"/>
        <v>0.05652137225</v>
      </c>
      <c r="BF88" s="12">
        <f t="shared" si="160"/>
        <v>0.05672186068</v>
      </c>
      <c r="BG88" s="12">
        <f t="shared" si="160"/>
        <v>0.05520600776</v>
      </c>
      <c r="BH88" s="12"/>
      <c r="BI88" s="12">
        <f t="shared" ref="BI88:BK88" si="161">BI22/BI$16</f>
        <v>1.120571439</v>
      </c>
      <c r="BJ88" s="12">
        <f t="shared" si="161"/>
        <v>0.8385868796</v>
      </c>
      <c r="BK88" s="12">
        <f t="shared" si="161"/>
        <v>0.1252608381</v>
      </c>
      <c r="BL88" s="12"/>
      <c r="BM88" s="12">
        <f t="shared" ref="BM88:BO88" si="162">BM22/BM$16</f>
        <v>0.2251782217</v>
      </c>
      <c r="BN88" s="12">
        <f t="shared" si="162"/>
        <v>0.19579826</v>
      </c>
      <c r="BO88" s="12">
        <f t="shared" si="162"/>
        <v>0.1376911925</v>
      </c>
      <c r="BP88" s="12"/>
      <c r="BQ88" s="12">
        <f t="shared" ref="BQ88:BR88" si="163">BQ22/BQ$16</f>
        <v>0.01216543591</v>
      </c>
      <c r="BR88" s="12">
        <f t="shared" si="163"/>
        <v>0.00193616106</v>
      </c>
      <c r="BS88" s="12"/>
      <c r="BT88" s="12">
        <f t="shared" ref="BT88:BV88" si="164">BT22/BT$16</f>
        <v>0.0008694382668</v>
      </c>
      <c r="BU88" s="12">
        <f t="shared" si="164"/>
        <v>0.0005370496732</v>
      </c>
      <c r="BV88" s="12">
        <f t="shared" si="164"/>
        <v>0.0003891827352</v>
      </c>
    </row>
    <row r="89" ht="15.75" customHeight="1">
      <c r="A89" s="7" t="s">
        <v>73</v>
      </c>
      <c r="D89" s="12">
        <f t="shared" ref="D89:H89" si="165">D23/D$16</f>
        <v>0</v>
      </c>
      <c r="E89" s="12">
        <f t="shared" si="165"/>
        <v>0</v>
      </c>
      <c r="F89" s="12">
        <f t="shared" si="165"/>
        <v>0</v>
      </c>
      <c r="G89" s="12">
        <f t="shared" si="165"/>
        <v>0</v>
      </c>
      <c r="H89" s="12">
        <f t="shared" si="165"/>
        <v>0</v>
      </c>
      <c r="I89" s="12"/>
      <c r="J89" s="12">
        <f t="shared" ref="J89:N89" si="166">J23/J$16</f>
        <v>0</v>
      </c>
      <c r="K89" s="12">
        <f t="shared" si="166"/>
        <v>0</v>
      </c>
      <c r="L89" s="12">
        <f t="shared" si="166"/>
        <v>-0.006116693556</v>
      </c>
      <c r="M89" s="12">
        <f t="shared" si="166"/>
        <v>0.01796250286</v>
      </c>
      <c r="N89" s="12">
        <f t="shared" si="166"/>
        <v>0</v>
      </c>
      <c r="O89" s="12"/>
      <c r="P89" s="12">
        <f t="shared" ref="P89:T89" si="167">P23/P$16</f>
        <v>0.03216936193</v>
      </c>
      <c r="Q89" s="12">
        <f t="shared" si="167"/>
        <v>0.03139049498</v>
      </c>
      <c r="R89" s="12">
        <f t="shared" si="167"/>
        <v>0.005190946492</v>
      </c>
      <c r="S89" s="12">
        <f t="shared" si="167"/>
        <v>0.003600117326</v>
      </c>
      <c r="T89" s="12">
        <f t="shared" si="167"/>
        <v>0.01078735618</v>
      </c>
      <c r="U89" s="12"/>
      <c r="V89" s="12">
        <f t="shared" ref="V89:Y89" si="168">V23/V$16</f>
        <v>0</v>
      </c>
      <c r="W89" s="12">
        <f t="shared" si="168"/>
        <v>0</v>
      </c>
      <c r="X89" s="12">
        <f t="shared" si="168"/>
        <v>0</v>
      </c>
      <c r="Y89" s="12">
        <f t="shared" si="168"/>
        <v>0</v>
      </c>
      <c r="Z89" s="12"/>
      <c r="AA89" s="12"/>
      <c r="AB89" s="12">
        <f t="shared" ref="AB89:AD89" si="169">AB23/AB$16</f>
        <v>0</v>
      </c>
      <c r="AC89" s="12">
        <f t="shared" si="169"/>
        <v>0</v>
      </c>
      <c r="AD89" s="12">
        <f t="shared" si="169"/>
        <v>0.06821683953</v>
      </c>
      <c r="AE89" s="12"/>
      <c r="AF89" s="12">
        <f t="shared" ref="AF89:AH89" si="170">AF23/AF$16</f>
        <v>0.8222394191</v>
      </c>
      <c r="AG89" s="12">
        <f t="shared" si="170"/>
        <v>0.8220528877</v>
      </c>
      <c r="AH89" s="12">
        <f t="shared" si="170"/>
        <v>0.8219554265</v>
      </c>
      <c r="AI89" s="12"/>
      <c r="AJ89" s="12">
        <f t="shared" ref="AJ89:AK89" si="171">AJ23/AJ$16</f>
        <v>0</v>
      </c>
      <c r="AK89" s="12">
        <f t="shared" si="171"/>
        <v>0.1651789847</v>
      </c>
      <c r="AL89" s="12"/>
      <c r="AM89" s="12">
        <f t="shared" ref="AM89:AO89" si="172">AM23/AM$16</f>
        <v>0</v>
      </c>
      <c r="AN89" s="12">
        <f t="shared" si="172"/>
        <v>0</v>
      </c>
      <c r="AO89" s="12">
        <f t="shared" si="172"/>
        <v>0</v>
      </c>
      <c r="AP89" s="12"/>
      <c r="AQ89" s="12">
        <f t="shared" ref="AQ89:AS89" si="173">AQ23/AQ$16</f>
        <v>0.1621700248</v>
      </c>
      <c r="AR89" s="12">
        <f t="shared" si="173"/>
        <v>0.1259071186</v>
      </c>
      <c r="AS89" s="12">
        <f t="shared" si="173"/>
        <v>0.1308834312</v>
      </c>
      <c r="AT89" s="12"/>
      <c r="AU89" s="12">
        <f t="shared" ref="AU89:AW89" si="174">AU23/AU$16</f>
        <v>0.01580120822</v>
      </c>
      <c r="AV89" s="12">
        <f t="shared" si="174"/>
        <v>0.0147956316</v>
      </c>
      <c r="AW89" s="12">
        <f t="shared" si="174"/>
        <v>0.0238939187</v>
      </c>
      <c r="AX89" s="12"/>
      <c r="AY89" s="12">
        <f t="shared" ref="AY89:BB89" si="175">AY23/AY$16</f>
        <v>0.2061444374</v>
      </c>
      <c r="AZ89" s="12">
        <f t="shared" si="175"/>
        <v>0.06223416529</v>
      </c>
      <c r="BA89" s="12">
        <f t="shared" si="175"/>
        <v>0.1187280461</v>
      </c>
      <c r="BB89" s="12">
        <f t="shared" si="175"/>
        <v>0.036326086</v>
      </c>
      <c r="BC89" s="12"/>
      <c r="BD89" s="12">
        <f t="shared" ref="BD89:BG89" si="176">BD23/BD$16</f>
        <v>0.3427958175</v>
      </c>
      <c r="BE89" s="12">
        <f t="shared" si="176"/>
        <v>0.3219641829</v>
      </c>
      <c r="BF89" s="12">
        <f t="shared" si="176"/>
        <v>0.2713928205</v>
      </c>
      <c r="BG89" s="12">
        <f t="shared" si="176"/>
        <v>0.167597186</v>
      </c>
      <c r="BH89" s="12"/>
      <c r="BI89" s="12">
        <f t="shared" ref="BI89:BK89" si="177">BI23/BI$16</f>
        <v>0.00773213472</v>
      </c>
      <c r="BJ89" s="12">
        <f t="shared" si="177"/>
        <v>0</v>
      </c>
      <c r="BK89" s="12">
        <f t="shared" si="177"/>
        <v>0</v>
      </c>
      <c r="BL89" s="12"/>
      <c r="BM89" s="12">
        <f t="shared" ref="BM89:BO89" si="178">BM23/BM$16</f>
        <v>0.0002069391484</v>
      </c>
      <c r="BN89" s="12">
        <f t="shared" si="178"/>
        <v>0.0001799389163</v>
      </c>
      <c r="BO89" s="12">
        <f t="shared" si="178"/>
        <v>0.0001265384276</v>
      </c>
      <c r="BP89" s="12"/>
      <c r="BQ89" s="12">
        <f t="shared" ref="BQ89:BR89" si="179">BQ23/BQ$16</f>
        <v>0</v>
      </c>
      <c r="BR89" s="12">
        <f t="shared" si="179"/>
        <v>0</v>
      </c>
      <c r="BS89" s="12"/>
      <c r="BT89" s="12">
        <f t="shared" ref="BT89:BV89" si="180">BT23/BT$16</f>
        <v>0</v>
      </c>
      <c r="BU89" s="12">
        <f t="shared" si="180"/>
        <v>0</v>
      </c>
      <c r="BV89" s="12">
        <f t="shared" si="180"/>
        <v>0</v>
      </c>
    </row>
    <row r="90" ht="15.75" customHeight="1">
      <c r="A90" s="7" t="s">
        <v>74</v>
      </c>
      <c r="D90" s="12">
        <f t="shared" ref="D90:H90" si="181">D24/D$16</f>
        <v>0</v>
      </c>
      <c r="E90" s="12">
        <f t="shared" si="181"/>
        <v>0</v>
      </c>
      <c r="F90" s="12">
        <f t="shared" si="181"/>
        <v>0</v>
      </c>
      <c r="G90" s="12">
        <f t="shared" si="181"/>
        <v>0</v>
      </c>
      <c r="H90" s="12">
        <f t="shared" si="181"/>
        <v>0</v>
      </c>
      <c r="I90" s="12"/>
      <c r="J90" s="12">
        <f t="shared" ref="J90:N90" si="182">J24/J$16</f>
        <v>0.03067631311</v>
      </c>
      <c r="K90" s="12">
        <f t="shared" si="182"/>
        <v>0.02975268308</v>
      </c>
      <c r="L90" s="12">
        <f t="shared" si="182"/>
        <v>0.02794149372</v>
      </c>
      <c r="M90" s="12">
        <f t="shared" si="182"/>
        <v>0.02540381774</v>
      </c>
      <c r="N90" s="12">
        <f t="shared" si="182"/>
        <v>0.02503352432</v>
      </c>
      <c r="O90" s="12"/>
      <c r="P90" s="12">
        <f t="shared" ref="P90:T90" si="183">P24/P$16</f>
        <v>0.01689536362</v>
      </c>
      <c r="Q90" s="12">
        <f t="shared" si="183"/>
        <v>0.01601861431</v>
      </c>
      <c r="R90" s="12">
        <f t="shared" si="183"/>
        <v>0.01690854859</v>
      </c>
      <c r="S90" s="12">
        <f t="shared" si="183"/>
        <v>0.01583338034</v>
      </c>
      <c r="T90" s="12">
        <f t="shared" si="183"/>
        <v>0.01583064083</v>
      </c>
      <c r="U90" s="12"/>
      <c r="V90" s="12">
        <f t="shared" ref="V90:Y90" si="184">V24/V$16</f>
        <v>0.001148600229</v>
      </c>
      <c r="W90" s="12">
        <f t="shared" si="184"/>
        <v>0.002827738028</v>
      </c>
      <c r="X90" s="12">
        <f t="shared" si="184"/>
        <v>0.002654424166</v>
      </c>
      <c r="Y90" s="12">
        <f t="shared" si="184"/>
        <v>0.002048557508</v>
      </c>
      <c r="Z90" s="12"/>
      <c r="AA90" s="12"/>
      <c r="AB90" s="12">
        <f t="shared" ref="AB90:AD90" si="185">AB24/AB$16</f>
        <v>0</v>
      </c>
      <c r="AC90" s="12">
        <f t="shared" si="185"/>
        <v>0</v>
      </c>
      <c r="AD90" s="12">
        <f t="shared" si="185"/>
        <v>0.008710849591</v>
      </c>
      <c r="AE90" s="12"/>
      <c r="AF90" s="12">
        <f t="shared" ref="AF90:AH90" si="186">AF24/AF$16</f>
        <v>0.002443968636</v>
      </c>
      <c r="AG90" s="12">
        <f t="shared" si="186"/>
        <v>0.002446809664</v>
      </c>
      <c r="AH90" s="12">
        <f t="shared" si="186"/>
        <v>0.002446565772</v>
      </c>
      <c r="AI90" s="12"/>
      <c r="AJ90" s="12">
        <f t="shared" ref="AJ90:AK90" si="187">AJ24/AJ$16</f>
        <v>0</v>
      </c>
      <c r="AK90" s="12">
        <f t="shared" si="187"/>
        <v>0</v>
      </c>
      <c r="AL90" s="12"/>
      <c r="AM90" s="12">
        <f t="shared" ref="AM90:AO90" si="188">AM24/AM$16</f>
        <v>0.003860180597</v>
      </c>
      <c r="AN90" s="12">
        <f t="shared" si="188"/>
        <v>0.005880044468</v>
      </c>
      <c r="AO90" s="12">
        <f t="shared" si="188"/>
        <v>0.006200266522</v>
      </c>
      <c r="AP90" s="12"/>
      <c r="AQ90" s="12">
        <f t="shared" ref="AQ90:AS90" si="189">AQ24/AQ$16</f>
        <v>0.01924546887</v>
      </c>
      <c r="AR90" s="12">
        <f t="shared" si="189"/>
        <v>0.01768787795</v>
      </c>
      <c r="AS90" s="12">
        <f t="shared" si="189"/>
        <v>0.01838696798</v>
      </c>
      <c r="AT90" s="12"/>
      <c r="AU90" s="12">
        <f t="shared" ref="AU90:AW90" si="190">AU24/AU$16</f>
        <v>0.003837379446</v>
      </c>
      <c r="AV90" s="12">
        <f t="shared" si="190"/>
        <v>0.005574339194</v>
      </c>
      <c r="AW90" s="12">
        <f t="shared" si="190"/>
        <v>0.00876834256</v>
      </c>
      <c r="AX90" s="12"/>
      <c r="AY90" s="12">
        <f t="shared" ref="AY90:BB90" si="191">AY24/AY$16</f>
        <v>0.00198110222</v>
      </c>
      <c r="AZ90" s="12">
        <f t="shared" si="191"/>
        <v>0.001976646988</v>
      </c>
      <c r="BA90" s="12">
        <f t="shared" si="191"/>
        <v>0.0007659144266</v>
      </c>
      <c r="BB90" s="12">
        <f t="shared" si="191"/>
        <v>0.001638471803</v>
      </c>
      <c r="BC90" s="12"/>
      <c r="BD90" s="12">
        <f t="shared" ref="BD90:BG90" si="192">BD24/BD$16</f>
        <v>0.009066030991</v>
      </c>
      <c r="BE90" s="12">
        <f t="shared" si="192"/>
        <v>0.009642493468</v>
      </c>
      <c r="BF90" s="12">
        <f t="shared" si="192"/>
        <v>0.01042002872</v>
      </c>
      <c r="BG90" s="12">
        <f t="shared" si="192"/>
        <v>0.01138730851</v>
      </c>
      <c r="BH90" s="12"/>
      <c r="BI90" s="12">
        <f t="shared" ref="BI90:BK90" si="193">BI24/BI$16</f>
        <v>0</v>
      </c>
      <c r="BJ90" s="12">
        <f t="shared" si="193"/>
        <v>0</v>
      </c>
      <c r="BK90" s="12">
        <f t="shared" si="193"/>
        <v>0</v>
      </c>
      <c r="BL90" s="12"/>
      <c r="BM90" s="12">
        <f t="shared" ref="BM90:BO90" si="194">BM24/BM$16</f>
        <v>0.0577649888</v>
      </c>
      <c r="BN90" s="12">
        <f t="shared" si="194"/>
        <v>0.06830967761</v>
      </c>
      <c r="BO90" s="12">
        <f t="shared" si="194"/>
        <v>0.05728793635</v>
      </c>
      <c r="BP90" s="12"/>
      <c r="BQ90" s="12">
        <f t="shared" ref="BQ90:BR90" si="195">BQ24/BQ$16</f>
        <v>0</v>
      </c>
      <c r="BR90" s="12">
        <f t="shared" si="195"/>
        <v>0</v>
      </c>
      <c r="BS90" s="12"/>
      <c r="BT90" s="12">
        <f t="shared" ref="BT90:BV90" si="196">BT24/BT$16</f>
        <v>0.01096289201</v>
      </c>
      <c r="BU90" s="12">
        <f t="shared" si="196"/>
        <v>0.01009942318</v>
      </c>
      <c r="BV90" s="12">
        <f t="shared" si="196"/>
        <v>0.009084310539</v>
      </c>
    </row>
    <row r="91" ht="15.75" customHeight="1">
      <c r="A91" s="7" t="s">
        <v>75</v>
      </c>
      <c r="D91" s="12">
        <f t="shared" ref="D91:H91" si="197">D25/D$16</f>
        <v>0.2193703195</v>
      </c>
      <c r="E91" s="12">
        <f t="shared" si="197"/>
        <v>0.270477034</v>
      </c>
      <c r="F91" s="12">
        <f t="shared" si="197"/>
        <v>0.3181366739</v>
      </c>
      <c r="G91" s="12">
        <f t="shared" si="197"/>
        <v>0.351730628</v>
      </c>
      <c r="H91" s="12">
        <f t="shared" si="197"/>
        <v>0.3808820709</v>
      </c>
      <c r="I91" s="12"/>
      <c r="J91" s="12">
        <f t="shared" ref="J91:N91" si="198">J25/J$16</f>
        <v>0.3317677559</v>
      </c>
      <c r="K91" s="12">
        <f t="shared" si="198"/>
        <v>0.3274500911</v>
      </c>
      <c r="L91" s="12">
        <f t="shared" si="198"/>
        <v>0.3474351732</v>
      </c>
      <c r="M91" s="12">
        <f t="shared" si="198"/>
        <v>0.3139795399</v>
      </c>
      <c r="N91" s="12">
        <f t="shared" si="198"/>
        <v>0.2874572694</v>
      </c>
      <c r="O91" s="12"/>
      <c r="P91" s="12">
        <f t="shared" ref="P91:T91" si="199">P25/P$16</f>
        <v>-0.01309528865</v>
      </c>
      <c r="Q91" s="12">
        <f t="shared" si="199"/>
        <v>-0.007668920261</v>
      </c>
      <c r="R91" s="12">
        <f t="shared" si="199"/>
        <v>0.001490921558</v>
      </c>
      <c r="S91" s="12">
        <f t="shared" si="199"/>
        <v>0.03316067563</v>
      </c>
      <c r="T91" s="12">
        <f t="shared" si="199"/>
        <v>-0.01582207229</v>
      </c>
      <c r="U91" s="12"/>
      <c r="V91" s="12">
        <f t="shared" ref="V91:Y91" si="200">V25/V$16</f>
        <v>0.001422305388</v>
      </c>
      <c r="W91" s="12">
        <f t="shared" si="200"/>
        <v>-0.1036991513</v>
      </c>
      <c r="X91" s="12">
        <f t="shared" si="200"/>
        <v>-0.04343786664</v>
      </c>
      <c r="Y91" s="12">
        <f t="shared" si="200"/>
        <v>-0.01447476063</v>
      </c>
      <c r="Z91" s="12"/>
      <c r="AA91" s="12"/>
      <c r="AB91" s="12">
        <f t="shared" ref="AB91:AD91" si="201">AB25/AB$16</f>
        <v>0.2060910004</v>
      </c>
      <c r="AC91" s="12">
        <f t="shared" si="201"/>
        <v>0.2194068501</v>
      </c>
      <c r="AD91" s="12">
        <f t="shared" si="201"/>
        <v>0.1742218201</v>
      </c>
      <c r="AE91" s="12"/>
      <c r="AF91" s="12">
        <f t="shared" ref="AF91:AH91" si="202">AF25/AF$16</f>
        <v>0.06446875851</v>
      </c>
      <c r="AG91" s="12">
        <f t="shared" si="202"/>
        <v>0.06484972142</v>
      </c>
      <c r="AH91" s="12">
        <f t="shared" si="202"/>
        <v>0.06495845582</v>
      </c>
      <c r="AI91" s="12"/>
      <c r="AJ91" s="12">
        <f t="shared" ref="AJ91:AK91" si="203">AJ25/AJ$16</f>
        <v>0</v>
      </c>
      <c r="AK91" s="12">
        <f t="shared" si="203"/>
        <v>0.01882685841</v>
      </c>
      <c r="AL91" s="12"/>
      <c r="AM91" s="12">
        <f t="shared" ref="AM91:AO91" si="204">AM25/AM$16</f>
        <v>0.159257921</v>
      </c>
      <c r="AN91" s="12">
        <f t="shared" si="204"/>
        <v>0.1744467522</v>
      </c>
      <c r="AO91" s="12">
        <f t="shared" si="204"/>
        <v>0.1784653508</v>
      </c>
      <c r="AP91" s="12"/>
      <c r="AQ91" s="12">
        <f t="shared" ref="AQ91:AS91" si="205">AQ25/AQ$16</f>
        <v>0.2034606872</v>
      </c>
      <c r="AR91" s="12">
        <f t="shared" si="205"/>
        <v>0.1786442631</v>
      </c>
      <c r="AS91" s="12">
        <f t="shared" si="205"/>
        <v>0.2031958002</v>
      </c>
      <c r="AT91" s="12"/>
      <c r="AU91" s="12">
        <f t="shared" ref="AU91:AW91" si="206">AU25/AU$16</f>
        <v>0.03764388008</v>
      </c>
      <c r="AV91" s="12">
        <f t="shared" si="206"/>
        <v>0.07246671829</v>
      </c>
      <c r="AW91" s="12">
        <f t="shared" si="206"/>
        <v>0.05619110013</v>
      </c>
      <c r="AX91" s="12"/>
      <c r="AY91" s="12">
        <f t="shared" ref="AY91:BB91" si="207">AY25/AY$16</f>
        <v>0.03266359023</v>
      </c>
      <c r="AZ91" s="12">
        <f t="shared" si="207"/>
        <v>0.03461677448</v>
      </c>
      <c r="BA91" s="12">
        <f t="shared" si="207"/>
        <v>0.06826963778</v>
      </c>
      <c r="BB91" s="12">
        <f t="shared" si="207"/>
        <v>0.1253138204</v>
      </c>
      <c r="BC91" s="12"/>
      <c r="BD91" s="12">
        <f t="shared" ref="BD91:BG91" si="208">BD25/BD$16</f>
        <v>-0.01803764917</v>
      </c>
      <c r="BE91" s="12">
        <f t="shared" si="208"/>
        <v>-0.01253962226</v>
      </c>
      <c r="BF91" s="12">
        <f t="shared" si="208"/>
        <v>0.01405716159</v>
      </c>
      <c r="BG91" s="12">
        <f t="shared" si="208"/>
        <v>0.01289156694</v>
      </c>
      <c r="BH91" s="12"/>
      <c r="BI91" s="12">
        <f t="shared" ref="BI91:BK91" si="209">BI25/BI$16</f>
        <v>-0.7925458811</v>
      </c>
      <c r="BJ91" s="12">
        <f t="shared" si="209"/>
        <v>-0.6607498997</v>
      </c>
      <c r="BK91" s="12">
        <f t="shared" si="209"/>
        <v>0.02377907141</v>
      </c>
      <c r="BL91" s="12"/>
      <c r="BM91" s="12">
        <f t="shared" ref="BM91:BO91" si="210">BM25/BM$16</f>
        <v>0.5639523265</v>
      </c>
      <c r="BN91" s="12">
        <f t="shared" si="210"/>
        <v>0.6294569638</v>
      </c>
      <c r="BO91" s="12">
        <f t="shared" si="210"/>
        <v>0.5966285213</v>
      </c>
      <c r="BP91" s="12"/>
      <c r="BQ91" s="12">
        <f t="shared" ref="BQ91:BR91" si="211">BQ25/BQ$16</f>
        <v>0.1557707913</v>
      </c>
      <c r="BR91" s="12">
        <f t="shared" si="211"/>
        <v>0.1361375985</v>
      </c>
      <c r="BS91" s="12"/>
      <c r="BT91" s="12">
        <f t="shared" ref="BT91:BV91" si="212">BT25/BT$16</f>
        <v>0.5832268694</v>
      </c>
      <c r="BU91" s="12">
        <f t="shared" si="212"/>
        <v>0.2281877714</v>
      </c>
      <c r="BV91" s="12">
        <f t="shared" si="212"/>
        <v>0.2629800769</v>
      </c>
    </row>
    <row r="92" ht="15.75" customHeight="1">
      <c r="A92" s="7" t="s">
        <v>76</v>
      </c>
      <c r="D92" s="12">
        <f t="shared" ref="D92:H92" si="213">D26/D$16</f>
        <v>0.2193733823</v>
      </c>
      <c r="E92" s="12">
        <f t="shared" si="213"/>
        <v>0.2704801757</v>
      </c>
      <c r="F92" s="12">
        <f t="shared" si="213"/>
        <v>0.3181395077</v>
      </c>
      <c r="G92" s="12">
        <f t="shared" si="213"/>
        <v>0.3517330815</v>
      </c>
      <c r="H92" s="12">
        <f t="shared" si="213"/>
        <v>0.3808840289</v>
      </c>
      <c r="I92" s="12"/>
      <c r="J92" s="12">
        <f t="shared" ref="J92:N92" si="214">J26/J$16</f>
        <v>0.4870337437</v>
      </c>
      <c r="K92" s="12">
        <f t="shared" si="214"/>
        <v>0.4725882386</v>
      </c>
      <c r="L92" s="12">
        <f t="shared" si="214"/>
        <v>0.472693063</v>
      </c>
      <c r="M92" s="12">
        <f t="shared" si="214"/>
        <v>0.4492719556</v>
      </c>
      <c r="N92" s="12">
        <f t="shared" si="214"/>
        <v>0.4030769473</v>
      </c>
      <c r="O92" s="12"/>
      <c r="P92" s="12">
        <f t="shared" ref="P92:T92" si="215">P26/P$16</f>
        <v>0.6271597669</v>
      </c>
      <c r="Q92" s="12">
        <f t="shared" si="215"/>
        <v>0.5759079582</v>
      </c>
      <c r="R92" s="12">
        <f t="shared" si="215"/>
        <v>0.5765349118</v>
      </c>
      <c r="S92" s="12">
        <f t="shared" si="215"/>
        <v>0.5608055507</v>
      </c>
      <c r="T92" s="12">
        <f t="shared" si="215"/>
        <v>0.5072010567</v>
      </c>
      <c r="U92" s="12"/>
      <c r="V92" s="12">
        <f t="shared" ref="V92:Y92" si="216">V26/V$16</f>
        <v>0.3464387364</v>
      </c>
      <c r="W92" s="12">
        <f t="shared" si="216"/>
        <v>0.7456965371</v>
      </c>
      <c r="X92" s="12">
        <f t="shared" si="216"/>
        <v>0.4341082259</v>
      </c>
      <c r="Y92" s="12">
        <f t="shared" si="216"/>
        <v>0.3540724542</v>
      </c>
      <c r="Z92" s="12"/>
      <c r="AA92" s="12"/>
      <c r="AB92" s="12">
        <f t="shared" ref="AB92:AD92" si="217">AB26/AB$16</f>
        <v>0.4663848691</v>
      </c>
      <c r="AC92" s="12">
        <f t="shared" si="217"/>
        <v>0.481999311</v>
      </c>
      <c r="AD92" s="12">
        <f t="shared" si="217"/>
        <v>0.5094692924</v>
      </c>
      <c r="AE92" s="12"/>
      <c r="AF92" s="12">
        <f t="shared" ref="AF92:AH92" si="218">AF26/AF$16</f>
        <v>0.9996742494</v>
      </c>
      <c r="AG92" s="12">
        <f t="shared" si="218"/>
        <v>1</v>
      </c>
      <c r="AH92" s="12">
        <f t="shared" si="218"/>
        <v>1</v>
      </c>
      <c r="AI92" s="12"/>
      <c r="AJ92" s="12">
        <f t="shared" ref="AJ92:AK92" si="219">AJ26/AJ$16</f>
        <v>0.4</v>
      </c>
      <c r="AK92" s="12">
        <f t="shared" si="219"/>
        <v>0.2109850773</v>
      </c>
      <c r="AL92" s="12"/>
      <c r="AM92" s="12">
        <f t="shared" ref="AM92:AO92" si="220">AM26/AM$16</f>
        <v>0.3760379789</v>
      </c>
      <c r="AN92" s="12">
        <f t="shared" si="220"/>
        <v>0.3599694885</v>
      </c>
      <c r="AO92" s="12">
        <f t="shared" si="220"/>
        <v>0.3740914923</v>
      </c>
      <c r="AP92" s="12"/>
      <c r="AQ92" s="12">
        <f t="shared" ref="AQ92:AS92" si="221">AQ26/AQ$16</f>
        <v>0.4660828816</v>
      </c>
      <c r="AR92" s="12">
        <f t="shared" si="221"/>
        <v>0.3852872966</v>
      </c>
      <c r="AS92" s="12">
        <f t="shared" si="221"/>
        <v>0.4180061267</v>
      </c>
      <c r="AT92" s="12"/>
      <c r="AU92" s="12">
        <f t="shared" ref="AU92:AW92" si="222">AU26/AU$16</f>
        <v>0.2550941333</v>
      </c>
      <c r="AV92" s="12">
        <f t="shared" si="222"/>
        <v>0.2780597739</v>
      </c>
      <c r="AW92" s="12">
        <f t="shared" si="222"/>
        <v>0.2804755761</v>
      </c>
      <c r="AX92" s="12"/>
      <c r="AY92" s="12">
        <f t="shared" ref="AY92:BB92" si="223">AY26/AY$16</f>
        <v>0.5634070076</v>
      </c>
      <c r="AZ92" s="12">
        <f t="shared" si="223"/>
        <v>0.2893588496</v>
      </c>
      <c r="BA92" s="12">
        <f t="shared" si="223"/>
        <v>0.312490977</v>
      </c>
      <c r="BB92" s="12">
        <f t="shared" si="223"/>
        <v>0.3836208691</v>
      </c>
      <c r="BC92" s="12"/>
      <c r="BD92" s="12">
        <f t="shared" ref="BD92:BG92" si="224">BD26/BD$16</f>
        <v>0.3893583128</v>
      </c>
      <c r="BE92" s="12">
        <f t="shared" si="224"/>
        <v>0.3755884264</v>
      </c>
      <c r="BF92" s="12">
        <f t="shared" si="224"/>
        <v>0.3525918715</v>
      </c>
      <c r="BG92" s="12">
        <f t="shared" si="224"/>
        <v>0.2470820692</v>
      </c>
      <c r="BH92" s="12"/>
      <c r="BI92" s="12">
        <f t="shared" ref="BI92:BK92" si="225">BI26/BI$16</f>
        <v>0.3357576928</v>
      </c>
      <c r="BJ92" s="12">
        <f t="shared" si="225"/>
        <v>0.1778369799</v>
      </c>
      <c r="BK92" s="12">
        <f t="shared" si="225"/>
        <v>0.1490399096</v>
      </c>
      <c r="BL92" s="12"/>
      <c r="BM92" s="12">
        <f t="shared" ref="BM92:BO92" si="226">BM26/BM$16</f>
        <v>0.8471024762</v>
      </c>
      <c r="BN92" s="12">
        <f t="shared" si="226"/>
        <v>0.8937448403</v>
      </c>
      <c r="BO92" s="12">
        <f t="shared" si="226"/>
        <v>0.7917341886</v>
      </c>
      <c r="BP92" s="12"/>
      <c r="BQ92" s="12">
        <f t="shared" ref="BQ92:BR92" si="227">BQ26/BQ$16</f>
        <v>0.1679362272</v>
      </c>
      <c r="BR92" s="12">
        <f t="shared" si="227"/>
        <v>0.1380737596</v>
      </c>
      <c r="BS92" s="12"/>
      <c r="BT92" s="12">
        <f t="shared" ref="BT92:BV92" si="228">BT26/BT$16</f>
        <v>0.5950591997</v>
      </c>
      <c r="BU92" s="12">
        <f t="shared" si="228"/>
        <v>0.2388242442</v>
      </c>
      <c r="BV92" s="12">
        <f t="shared" si="228"/>
        <v>0.2724535702</v>
      </c>
    </row>
    <row r="93" ht="15.75" customHeight="1"/>
    <row r="94" ht="15.75" customHeight="1">
      <c r="A94" s="11" t="s">
        <v>84</v>
      </c>
      <c r="D94" s="12">
        <f t="shared" ref="D94:H94" si="229">D37/D$16</f>
        <v>0.2208118684</v>
      </c>
      <c r="E94" s="12">
        <f t="shared" si="229"/>
        <v>0.04545929093</v>
      </c>
      <c r="F94" s="12">
        <f t="shared" si="229"/>
        <v>0.07416826242</v>
      </c>
      <c r="G94" s="12">
        <f t="shared" si="229"/>
        <v>0.07629650583</v>
      </c>
      <c r="H94" s="12">
        <f t="shared" si="229"/>
        <v>0.03710794988</v>
      </c>
      <c r="I94" s="12"/>
      <c r="J94" s="12">
        <f t="shared" ref="J94:N94" si="230">J37/J$16</f>
        <v>0.06005661186</v>
      </c>
      <c r="K94" s="12">
        <f t="shared" si="230"/>
        <v>0.0493941498</v>
      </c>
      <c r="L94" s="12">
        <f t="shared" si="230"/>
        <v>0.03557575069</v>
      </c>
      <c r="M94" s="12">
        <f t="shared" si="230"/>
        <v>0.02564211652</v>
      </c>
      <c r="N94" s="12">
        <f t="shared" si="230"/>
        <v>0.03449864973</v>
      </c>
      <c r="O94" s="12"/>
      <c r="P94" s="12">
        <f t="shared" ref="P94:T94" si="231">P37/P$16</f>
        <v>-0.01142786182</v>
      </c>
      <c r="Q94" s="12">
        <f t="shared" si="231"/>
        <v>0.02515290251</v>
      </c>
      <c r="R94" s="12">
        <f t="shared" si="231"/>
        <v>0.0247941747</v>
      </c>
      <c r="S94" s="12">
        <f t="shared" si="231"/>
        <v>0.03327184688</v>
      </c>
      <c r="T94" s="12">
        <f t="shared" si="231"/>
        <v>0.02108827849</v>
      </c>
      <c r="U94" s="12"/>
      <c r="V94" s="12">
        <f t="shared" ref="V94:Y94" si="232">V37/V$16</f>
        <v>-0.0005708193129</v>
      </c>
      <c r="W94" s="12">
        <f t="shared" si="232"/>
        <v>-0.1072007238</v>
      </c>
      <c r="X94" s="12">
        <f t="shared" si="232"/>
        <v>0.02136308652</v>
      </c>
      <c r="Y94" s="12">
        <f t="shared" si="232"/>
        <v>0.01904850554</v>
      </c>
      <c r="Z94" s="12"/>
      <c r="AA94" s="12"/>
      <c r="AB94" s="12">
        <f t="shared" ref="AB94:AD94" si="233">AB37/AB$16</f>
        <v>0.05103331851</v>
      </c>
      <c r="AC94" s="12">
        <f t="shared" si="233"/>
        <v>0.07512360063</v>
      </c>
      <c r="AD94" s="12">
        <f t="shared" si="233"/>
        <v>0.1068137254</v>
      </c>
      <c r="AE94" s="12"/>
      <c r="AF94" s="12">
        <f t="shared" ref="AF94:AH94" si="234">AF37/AF$16</f>
        <v>-0.00001547309444</v>
      </c>
      <c r="AG94" s="12">
        <f t="shared" si="234"/>
        <v>0.0003060202268</v>
      </c>
      <c r="AH94" s="12">
        <f t="shared" si="234"/>
        <v>0.0001024433739</v>
      </c>
      <c r="AI94" s="12"/>
      <c r="AJ94" s="12">
        <f t="shared" ref="AJ94:AK94" si="235">AJ37/AJ$16</f>
        <v>-33.6948176</v>
      </c>
      <c r="AK94" s="12">
        <f t="shared" si="235"/>
        <v>0.06784184514</v>
      </c>
      <c r="AL94" s="12"/>
      <c r="AM94" s="12">
        <f t="shared" ref="AM94:AO94" si="236">AM37/AM$16</f>
        <v>0.1078995208</v>
      </c>
      <c r="AN94" s="12">
        <f t="shared" si="236"/>
        <v>0.1081279573</v>
      </c>
      <c r="AO94" s="12">
        <f t="shared" si="236"/>
        <v>0.04666846827</v>
      </c>
      <c r="AP94" s="12"/>
      <c r="AQ94" s="12">
        <f t="shared" ref="AQ94:AS94" si="237">AQ37/AQ$16</f>
        <v>0.1762268803</v>
      </c>
      <c r="AR94" s="12">
        <f t="shared" si="237"/>
        <v>0.103179265</v>
      </c>
      <c r="AS94" s="12">
        <f t="shared" si="237"/>
        <v>0.0317761924</v>
      </c>
      <c r="AT94" s="12"/>
      <c r="AU94" s="12">
        <f t="shared" ref="AU94:AW94" si="238">AU37/AU$16</f>
        <v>0.08812584802</v>
      </c>
      <c r="AV94" s="12">
        <f t="shared" si="238"/>
        <v>0.1189404863</v>
      </c>
      <c r="AW94" s="12">
        <f t="shared" si="238"/>
        <v>0.144664562</v>
      </c>
      <c r="AX94" s="12"/>
      <c r="AY94" s="12">
        <f t="shared" ref="AY94:BB94" si="239">AY37/AY$16</f>
        <v>0.01469595516</v>
      </c>
      <c r="AZ94" s="12">
        <f t="shared" si="239"/>
        <v>0.0256825212</v>
      </c>
      <c r="BA94" s="12">
        <f t="shared" si="239"/>
        <v>0.05465459993</v>
      </c>
      <c r="BB94" s="12">
        <f t="shared" si="239"/>
        <v>0.07365500492</v>
      </c>
      <c r="BC94" s="12"/>
      <c r="BD94" s="12">
        <f t="shared" ref="BD94:BG94" si="240">BD37/BD$16</f>
        <v>0.04219335751</v>
      </c>
      <c r="BE94" s="12">
        <f t="shared" si="240"/>
        <v>0.04791786694</v>
      </c>
      <c r="BF94" s="12">
        <f t="shared" si="240"/>
        <v>0.06566231945</v>
      </c>
      <c r="BG94" s="12">
        <f t="shared" si="240"/>
        <v>0.05354391138</v>
      </c>
      <c r="BH94" s="12"/>
      <c r="BI94" s="12">
        <f t="shared" ref="BI94:BK94" si="241">BI37/BI$16</f>
        <v>0.006691628927</v>
      </c>
      <c r="BJ94" s="12">
        <f t="shared" si="241"/>
        <v>-0.04170999098</v>
      </c>
      <c r="BK94" s="12">
        <f t="shared" si="241"/>
        <v>0.04998275326</v>
      </c>
      <c r="BL94" s="12"/>
      <c r="BM94" s="12">
        <f t="shared" ref="BM94:BO94" si="242">BM37/BM$16</f>
        <v>0.170613315</v>
      </c>
      <c r="BN94" s="12">
        <f t="shared" si="242"/>
        <v>0.2066460928</v>
      </c>
      <c r="BO94" s="12">
        <f t="shared" si="242"/>
        <v>0.2176347818</v>
      </c>
      <c r="BP94" s="12"/>
      <c r="BQ94" s="12">
        <f t="shared" ref="BQ94:BR94" si="243">BQ37/BQ$16</f>
        <v>0.1730996519</v>
      </c>
      <c r="BR94" s="12">
        <f t="shared" si="243"/>
        <v>0.1057319936</v>
      </c>
      <c r="BS94" s="12"/>
      <c r="BT94" s="12">
        <f t="shared" ref="BT94:BV94" si="244">BT37/BT$16</f>
        <v>0.08341999339</v>
      </c>
      <c r="BU94" s="12">
        <f t="shared" si="244"/>
        <v>0.1996293289</v>
      </c>
      <c r="BV94" s="12">
        <f t="shared" si="244"/>
        <v>0.2319337092</v>
      </c>
    </row>
    <row r="95" ht="15.75" customHeight="1">
      <c r="BQ95" s="3"/>
      <c r="BR95" s="3"/>
      <c r="BT95" s="3"/>
      <c r="BU95" s="3"/>
      <c r="BV95" s="3"/>
    </row>
    <row r="96" ht="15.75" customHeight="1">
      <c r="BQ96" s="3"/>
      <c r="BR96" s="3"/>
      <c r="BT96" s="3"/>
      <c r="BU96" s="3"/>
      <c r="BV96" s="3"/>
    </row>
    <row r="97" ht="15.75" customHeight="1">
      <c r="A97" s="13" t="s">
        <v>111</v>
      </c>
      <c r="BQ97" s="3"/>
      <c r="BR97" s="3"/>
      <c r="BT97" s="3"/>
      <c r="BU97" s="3"/>
      <c r="BV97" s="3"/>
    </row>
    <row r="98" ht="15.75" customHeight="1">
      <c r="BQ98" s="3"/>
      <c r="BR98" s="3"/>
      <c r="BT98" s="3"/>
      <c r="BU98" s="3"/>
      <c r="BV98" s="3"/>
    </row>
    <row r="99" ht="15.75" customHeight="1">
      <c r="A99" s="7" t="s">
        <v>63</v>
      </c>
      <c r="E99" s="22">
        <f t="shared" ref="E99:H99" si="245">if(D10=0,"",E10/D10-1)</f>
        <v>-0.01468319193</v>
      </c>
      <c r="F99" s="22">
        <f t="shared" si="245"/>
        <v>0.2635192745</v>
      </c>
      <c r="G99" s="22">
        <f t="shared" si="245"/>
        <v>0.09988707463</v>
      </c>
      <c r="H99" s="22">
        <f t="shared" si="245"/>
        <v>-0.2631375701</v>
      </c>
      <c r="I99" s="22"/>
      <c r="J99" s="22"/>
      <c r="K99" s="22">
        <f t="shared" ref="K99:N99" si="246">if(J10=0,"",K10/J10-1)</f>
        <v>-0.02198147369</v>
      </c>
      <c r="L99" s="22">
        <f t="shared" si="246"/>
        <v>0.09371399312</v>
      </c>
      <c r="M99" s="22">
        <f t="shared" si="246"/>
        <v>0.1628743583</v>
      </c>
      <c r="N99" s="22">
        <f t="shared" si="246"/>
        <v>-0.2564873217</v>
      </c>
      <c r="O99" s="22"/>
      <c r="P99" s="22"/>
      <c r="Q99" s="22">
        <f t="shared" ref="Q99:T99" si="247">if(P10=0,"",Q10/P10-1)</f>
        <v>15.31715752</v>
      </c>
      <c r="R99" s="22">
        <f t="shared" si="247"/>
        <v>0.4738851651</v>
      </c>
      <c r="S99" s="22">
        <f t="shared" si="247"/>
        <v>0.05551500867</v>
      </c>
      <c r="T99" s="22">
        <f t="shared" si="247"/>
        <v>-0.3083600439</v>
      </c>
      <c r="U99" s="22"/>
      <c r="V99" s="22" t="str">
        <f t="shared" ref="V99:Y99" si="248">if(U10=0,"",V10/U10-1)</f>
        <v/>
      </c>
      <c r="W99" s="22">
        <f t="shared" si="248"/>
        <v>0.6518377625</v>
      </c>
      <c r="X99" s="22">
        <f t="shared" si="248"/>
        <v>0.2731292149</v>
      </c>
      <c r="Y99" s="22">
        <f t="shared" si="248"/>
        <v>-0.2115503795</v>
      </c>
      <c r="Z99" s="22"/>
      <c r="AA99" s="22"/>
      <c r="AB99" s="22" t="str">
        <f t="shared" ref="AB99:AD99" si="249">if(AA10=0,"",AB10/AA10-1)</f>
        <v/>
      </c>
      <c r="AC99" s="22">
        <f t="shared" si="249"/>
        <v>0.3262577568</v>
      </c>
      <c r="AD99" s="22">
        <f t="shared" si="249"/>
        <v>0.04451299903</v>
      </c>
      <c r="AE99" s="22"/>
      <c r="AF99" s="22" t="str">
        <f t="shared" ref="AF99:AH99" si="250">if(AE10=0,"",AF10/AE10-1)</f>
        <v/>
      </c>
      <c r="AG99" s="22" t="str">
        <f t="shared" si="250"/>
        <v/>
      </c>
      <c r="AH99" s="22">
        <f t="shared" si="250"/>
        <v>-0.5127475394</v>
      </c>
      <c r="AI99" s="22"/>
      <c r="AJ99" s="22" t="str">
        <f t="shared" ref="AJ99:AJ133" si="265">if(AI10=0,"",AJ10/AI10-1)</f>
        <v/>
      </c>
      <c r="AK99" s="22"/>
      <c r="AL99" s="22"/>
      <c r="AM99" s="22" t="str">
        <f t="shared" ref="AM99:AO99" si="251">if(AL10=0,"",AM10/AL10-1)</f>
        <v/>
      </c>
      <c r="AN99" s="22">
        <f t="shared" si="251"/>
        <v>0.1099881264</v>
      </c>
      <c r="AO99" s="22">
        <f t="shared" si="251"/>
        <v>-0.4930565027</v>
      </c>
      <c r="AP99" s="22"/>
      <c r="AQ99" s="22" t="str">
        <f t="shared" ref="AQ99:AS99" si="252">if(AP10=0,"",AQ10/AP10-1)</f>
        <v/>
      </c>
      <c r="AR99" s="22">
        <f t="shared" si="252"/>
        <v>-0.1629060298</v>
      </c>
      <c r="AS99" s="22">
        <f t="shared" si="252"/>
        <v>-0.7141951074</v>
      </c>
      <c r="AT99" s="22"/>
      <c r="AU99" s="22" t="str">
        <f t="shared" ref="AU99:AW99" si="253">if(AT10=0,"",AU10/AT10-1)</f>
        <v/>
      </c>
      <c r="AV99" s="22">
        <f t="shared" si="253"/>
        <v>0.6699302979</v>
      </c>
      <c r="AW99" s="22">
        <f t="shared" si="253"/>
        <v>0.2911455143</v>
      </c>
      <c r="AX99" s="22"/>
      <c r="AY99" s="22" t="str">
        <f t="shared" ref="AY99:BB99" si="254">if(AX10=0,"",AY10/AX10-1)</f>
        <v/>
      </c>
      <c r="AZ99" s="22">
        <f t="shared" si="254"/>
        <v>-0.6073118427</v>
      </c>
      <c r="BA99" s="22">
        <f t="shared" si="254"/>
        <v>4.192133803</v>
      </c>
      <c r="BB99" s="22">
        <f t="shared" si="254"/>
        <v>1.225121738</v>
      </c>
      <c r="BC99" s="22"/>
      <c r="BD99" s="22" t="str">
        <f t="shared" ref="BD99:BG99" si="255">if(BC10=0,"",BD10/BC10-1)</f>
        <v/>
      </c>
      <c r="BE99" s="22">
        <f t="shared" si="255"/>
        <v>0.223328251</v>
      </c>
      <c r="BF99" s="22">
        <f t="shared" si="255"/>
        <v>0.03986485221</v>
      </c>
      <c r="BG99" s="22">
        <f t="shared" si="255"/>
        <v>-0.1238419148</v>
      </c>
      <c r="BH99" s="22"/>
      <c r="BI99" s="22" t="str">
        <f t="shared" ref="BI99:BK99" si="256">if(BH10=0,"",BI10/BH10-1)</f>
        <v/>
      </c>
      <c r="BJ99" s="22">
        <f t="shared" si="256"/>
        <v>0.3703250776</v>
      </c>
      <c r="BK99" s="22">
        <f t="shared" si="256"/>
        <v>0.2366100616</v>
      </c>
      <c r="BL99" s="22"/>
      <c r="BM99" s="22" t="str">
        <f t="shared" ref="BM99:BO99" si="257">if(BL10=0,"",BM10/BL10-1)</f>
        <v/>
      </c>
      <c r="BN99" s="22">
        <f t="shared" si="257"/>
        <v>0.2767928222</v>
      </c>
      <c r="BO99" s="22">
        <f t="shared" si="257"/>
        <v>0.1977817372</v>
      </c>
      <c r="BP99" s="22"/>
      <c r="BQ99" s="22" t="str">
        <f t="shared" ref="BQ99:BR99" si="258">if(BP10=0,"",BQ10/BP10-1)</f>
        <v/>
      </c>
      <c r="BR99" s="22">
        <f t="shared" si="258"/>
        <v>0.5862066415</v>
      </c>
      <c r="BS99" s="22"/>
      <c r="BT99" s="22" t="str">
        <f t="shared" ref="BT99:BV99" si="259">if(BS10=0,"",BT10/BS10-1)</f>
        <v/>
      </c>
      <c r="BU99" s="22">
        <f t="shared" si="259"/>
        <v>0.5584562793</v>
      </c>
      <c r="BV99" s="22">
        <f t="shared" si="259"/>
        <v>0.1654970474</v>
      </c>
    </row>
    <row r="100" ht="15.75" customHeight="1">
      <c r="A100" s="7" t="s">
        <v>64</v>
      </c>
      <c r="E100" s="22">
        <f t="shared" ref="E100:H100" si="260">if(D11=0,"",E11/D11-1)</f>
        <v>-0.7992963436</v>
      </c>
      <c r="F100" s="22">
        <f t="shared" si="260"/>
        <v>0.8088070596</v>
      </c>
      <c r="G100" s="22">
        <f t="shared" si="260"/>
        <v>0.1881808227</v>
      </c>
      <c r="H100" s="22">
        <f t="shared" si="260"/>
        <v>-0.3905562244</v>
      </c>
      <c r="I100" s="22"/>
      <c r="J100" s="22"/>
      <c r="K100" s="22">
        <f t="shared" ref="K100:N100" si="261">if(J11=0,"",K11/J11-1)</f>
        <v>0.1018266015</v>
      </c>
      <c r="L100" s="22">
        <f t="shared" si="261"/>
        <v>-0.2470827496</v>
      </c>
      <c r="M100" s="22">
        <f t="shared" si="261"/>
        <v>-0.5525048425</v>
      </c>
      <c r="N100" s="22">
        <f t="shared" si="261"/>
        <v>-0.7017369903</v>
      </c>
      <c r="O100" s="22"/>
      <c r="P100" s="22"/>
      <c r="Q100" s="22">
        <f t="shared" ref="Q100:T100" si="262">if(P11=0,"",Q11/P11-1)</f>
        <v>-1.425886515</v>
      </c>
      <c r="R100" s="22">
        <f t="shared" si="262"/>
        <v>1.026875535</v>
      </c>
      <c r="S100" s="22">
        <f t="shared" si="262"/>
        <v>0.7675755664</v>
      </c>
      <c r="T100" s="22">
        <f t="shared" si="262"/>
        <v>-1.620360767</v>
      </c>
      <c r="U100" s="22"/>
      <c r="V100" s="22" t="str">
        <f t="shared" ref="V100:Y100" si="263">if(U11=0,"",V11/U11-1)</f>
        <v/>
      </c>
      <c r="W100" s="22">
        <f t="shared" si="263"/>
        <v>75.28317936</v>
      </c>
      <c r="X100" s="22">
        <f t="shared" si="263"/>
        <v>-1.262764745</v>
      </c>
      <c r="Y100" s="22">
        <f t="shared" si="263"/>
        <v>0.5620161847</v>
      </c>
      <c r="Z100" s="22"/>
      <c r="AA100" s="22"/>
      <c r="AB100" s="22" t="str">
        <f t="shared" ref="AB100:AD100" si="264">if(AA11=0,"",AB11/AA11-1)</f>
        <v/>
      </c>
      <c r="AC100" s="22">
        <f t="shared" si="264"/>
        <v>-0.2353189597</v>
      </c>
      <c r="AD100" s="22">
        <f t="shared" si="264"/>
        <v>2.345798985</v>
      </c>
      <c r="AE100" s="22"/>
      <c r="AF100" s="22" t="str">
        <f t="shared" ref="AF100:AF133" si="280">if(AE11=0,"",AF11/AE11-1)</f>
        <v/>
      </c>
      <c r="AG100" s="22"/>
      <c r="AH100" s="22">
        <f>if(AG11=0,"",AH11/AG11-1)</f>
        <v>-0.6652064889</v>
      </c>
      <c r="AI100" s="22"/>
      <c r="AJ100" s="22" t="str">
        <f t="shared" si="265"/>
        <v/>
      </c>
      <c r="AK100" s="22"/>
      <c r="AL100" s="22"/>
      <c r="AM100" s="22" t="str">
        <f t="shared" ref="AM100:AO100" si="266">if(AL11=0,"",AM11/AL11-1)</f>
        <v/>
      </c>
      <c r="AN100" s="22">
        <f t="shared" si="266"/>
        <v>0.04222264717</v>
      </c>
      <c r="AO100" s="22">
        <f t="shared" si="266"/>
        <v>-0.5475019982</v>
      </c>
      <c r="AP100" s="22"/>
      <c r="AQ100" s="22" t="str">
        <f t="shared" ref="AQ100:AS100" si="267">if(AP11=0,"",AQ11/AP11-1)</f>
        <v/>
      </c>
      <c r="AR100" s="22">
        <f t="shared" si="267"/>
        <v>-0.4129008717</v>
      </c>
      <c r="AS100" s="22">
        <f t="shared" si="267"/>
        <v>-0.6774931923</v>
      </c>
      <c r="AT100" s="22"/>
      <c r="AU100" s="22" t="str">
        <f t="shared" ref="AU100:AW100" si="268">if(AT11=0,"",AU11/AT11-1)</f>
        <v/>
      </c>
      <c r="AV100" s="22">
        <f t="shared" si="268"/>
        <v>0.8378403284</v>
      </c>
      <c r="AW100" s="22">
        <f t="shared" si="268"/>
        <v>0.4381840165</v>
      </c>
      <c r="AX100" s="22"/>
      <c r="AY100" s="22" t="str">
        <f t="shared" ref="AY100:BB100" si="269">if(AX11=0,"",AY11/AX11-1)</f>
        <v/>
      </c>
      <c r="AZ100" s="22">
        <f t="shared" si="269"/>
        <v>28.57567728</v>
      </c>
      <c r="BA100" s="22">
        <f t="shared" si="269"/>
        <v>3.545808873</v>
      </c>
      <c r="BB100" s="22">
        <f t="shared" si="269"/>
        <v>0.8159887343</v>
      </c>
      <c r="BC100" s="22"/>
      <c r="BD100" s="22" t="str">
        <f t="shared" ref="BD100:BG100" si="270">if(BC11=0,"",BD11/BC11-1)</f>
        <v/>
      </c>
      <c r="BE100" s="22">
        <f t="shared" si="270"/>
        <v>1.485052213</v>
      </c>
      <c r="BF100" s="22">
        <f t="shared" si="270"/>
        <v>1.553214636</v>
      </c>
      <c r="BG100" s="22">
        <f t="shared" si="270"/>
        <v>-0.9283736948</v>
      </c>
      <c r="BH100" s="22"/>
      <c r="BI100" s="22" t="str">
        <f t="shared" ref="BI100:BK100" si="271">if(BH11=0,"",BI11/BH11-1)</f>
        <v/>
      </c>
      <c r="BJ100" s="22">
        <f t="shared" si="271"/>
        <v>2.435782903</v>
      </c>
      <c r="BK100" s="22">
        <f t="shared" si="271"/>
        <v>-1.321086349</v>
      </c>
      <c r="BL100" s="22"/>
      <c r="BM100" s="22" t="str">
        <f t="shared" ref="BM100:BO100" si="272">if(BL11=0,"",BM11/BL11-1)</f>
        <v/>
      </c>
      <c r="BN100" s="22">
        <f t="shared" si="272"/>
        <v>0.3929505876</v>
      </c>
      <c r="BO100" s="22">
        <f t="shared" si="272"/>
        <v>0.4976273878</v>
      </c>
      <c r="BP100" s="22"/>
      <c r="BQ100" s="22" t="str">
        <f t="shared" ref="BQ100:BR100" si="273">if(BP11=0,"",BQ11/BP11-1)</f>
        <v/>
      </c>
      <c r="BR100" s="22">
        <f t="shared" si="273"/>
        <v>3.183022345</v>
      </c>
      <c r="BS100" s="22"/>
      <c r="BT100" s="22" t="str">
        <f t="shared" ref="BT100:BV100" si="274">if(BS11=0,"",BT11/BS11-1)</f>
        <v/>
      </c>
      <c r="BU100" s="22">
        <f t="shared" si="274"/>
        <v>4.856264071</v>
      </c>
      <c r="BV100" s="22">
        <f t="shared" si="274"/>
        <v>-0.04617550263</v>
      </c>
    </row>
    <row r="101" ht="15.75" customHeight="1">
      <c r="E101" s="22" t="str">
        <f t="shared" ref="E101:H101" si="275">if(D12=0,"",E12/D12-1)</f>
        <v/>
      </c>
      <c r="F101" s="22" t="str">
        <f t="shared" si="275"/>
        <v/>
      </c>
      <c r="G101" s="22" t="str">
        <f t="shared" si="275"/>
        <v/>
      </c>
      <c r="H101" s="22" t="str">
        <f t="shared" si="275"/>
        <v/>
      </c>
      <c r="I101" s="22"/>
      <c r="J101" s="22"/>
      <c r="K101" s="22" t="str">
        <f t="shared" ref="K101:N101" si="276">if(J12=0,"",K12/J12-1)</f>
        <v/>
      </c>
      <c r="L101" s="22" t="str">
        <f t="shared" si="276"/>
        <v/>
      </c>
      <c r="M101" s="22" t="str">
        <f t="shared" si="276"/>
        <v/>
      </c>
      <c r="N101" s="22" t="str">
        <f t="shared" si="276"/>
        <v/>
      </c>
      <c r="O101" s="22"/>
      <c r="P101" s="22"/>
      <c r="Q101" s="22" t="str">
        <f t="shared" ref="Q101:T101" si="277">if(P12=0,"",Q12/P12-1)</f>
        <v/>
      </c>
      <c r="R101" s="22" t="str">
        <f t="shared" si="277"/>
        <v/>
      </c>
      <c r="S101" s="22" t="str">
        <f t="shared" si="277"/>
        <v/>
      </c>
      <c r="T101" s="22" t="str">
        <f t="shared" si="277"/>
        <v/>
      </c>
      <c r="U101" s="22"/>
      <c r="V101" s="22" t="str">
        <f t="shared" ref="V101:Y101" si="278">if(U12=0,"",V12/U12-1)</f>
        <v/>
      </c>
      <c r="W101" s="22" t="str">
        <f t="shared" si="278"/>
        <v/>
      </c>
      <c r="X101" s="22" t="str">
        <f t="shared" si="278"/>
        <v/>
      </c>
      <c r="Y101" s="22" t="str">
        <f t="shared" si="278"/>
        <v/>
      </c>
      <c r="Z101" s="22"/>
      <c r="AA101" s="22"/>
      <c r="AB101" s="22" t="str">
        <f t="shared" ref="AB101:AD101" si="279">if(AA12=0,"",AB12/AA12-1)</f>
        <v/>
      </c>
      <c r="AC101" s="22" t="str">
        <f t="shared" si="279"/>
        <v/>
      </c>
      <c r="AD101" s="22" t="str">
        <f t="shared" si="279"/>
        <v/>
      </c>
      <c r="AE101" s="22"/>
      <c r="AF101" s="22" t="str">
        <f t="shared" si="280"/>
        <v/>
      </c>
      <c r="AG101" s="22" t="str">
        <f t="shared" ref="AG101:AH101" si="281">if(AF12=0,"",AG12/AF12-1)</f>
        <v/>
      </c>
      <c r="AH101" s="22" t="str">
        <f t="shared" si="281"/>
        <v/>
      </c>
      <c r="AI101" s="22"/>
      <c r="AJ101" s="22" t="str">
        <f t="shared" si="265"/>
        <v/>
      </c>
      <c r="AK101" s="22"/>
      <c r="AL101" s="22"/>
      <c r="AM101" s="22" t="str">
        <f t="shared" ref="AM101:AO101" si="282">if(AL12=0,"",AM12/AL12-1)</f>
        <v/>
      </c>
      <c r="AN101" s="22" t="str">
        <f t="shared" si="282"/>
        <v/>
      </c>
      <c r="AO101" s="22" t="str">
        <f t="shared" si="282"/>
        <v/>
      </c>
      <c r="AP101" s="22"/>
      <c r="AQ101" s="22" t="str">
        <f t="shared" ref="AQ101:AS101" si="283">if(AP12=0,"",AQ12/AP12-1)</f>
        <v/>
      </c>
      <c r="AR101" s="22" t="str">
        <f t="shared" si="283"/>
        <v/>
      </c>
      <c r="AS101" s="22" t="str">
        <f t="shared" si="283"/>
        <v/>
      </c>
      <c r="AT101" s="22"/>
      <c r="AU101" s="22" t="str">
        <f t="shared" ref="AU101:AW101" si="284">if(AT12=0,"",AU12/AT12-1)</f>
        <v/>
      </c>
      <c r="AV101" s="22" t="str">
        <f t="shared" si="284"/>
        <v/>
      </c>
      <c r="AW101" s="22" t="str">
        <f t="shared" si="284"/>
        <v/>
      </c>
      <c r="AX101" s="22"/>
      <c r="AY101" s="22" t="str">
        <f t="shared" ref="AY101:BB101" si="285">if(AX12=0,"",AY12/AX12-1)</f>
        <v/>
      </c>
      <c r="AZ101" s="22" t="str">
        <f t="shared" si="285"/>
        <v/>
      </c>
      <c r="BA101" s="22" t="str">
        <f t="shared" si="285"/>
        <v/>
      </c>
      <c r="BB101" s="22" t="str">
        <f t="shared" si="285"/>
        <v/>
      </c>
      <c r="BC101" s="22"/>
      <c r="BD101" s="22" t="str">
        <f t="shared" ref="BD101:BG101" si="286">if(BC12=0,"",BD12/BC12-1)</f>
        <v/>
      </c>
      <c r="BE101" s="22" t="str">
        <f t="shared" si="286"/>
        <v/>
      </c>
      <c r="BF101" s="22" t="str">
        <f t="shared" si="286"/>
        <v/>
      </c>
      <c r="BG101" s="22" t="str">
        <f t="shared" si="286"/>
        <v/>
      </c>
      <c r="BH101" s="22"/>
      <c r="BI101" s="22" t="str">
        <f t="shared" ref="BI101:BK101" si="287">if(BH12=0,"",BI12/BH12-1)</f>
        <v/>
      </c>
      <c r="BJ101" s="22" t="str">
        <f t="shared" si="287"/>
        <v/>
      </c>
      <c r="BK101" s="22" t="str">
        <f t="shared" si="287"/>
        <v/>
      </c>
      <c r="BL101" s="22"/>
      <c r="BM101" s="22" t="str">
        <f t="shared" ref="BM101:BO101" si="288">if(BL12=0,"",BM12/BL12-1)</f>
        <v/>
      </c>
      <c r="BN101" s="22" t="str">
        <f t="shared" si="288"/>
        <v/>
      </c>
      <c r="BO101" s="22" t="str">
        <f t="shared" si="288"/>
        <v/>
      </c>
      <c r="BP101" s="22"/>
      <c r="BQ101" s="22" t="str">
        <f t="shared" ref="BQ101:BR101" si="289">if(BP12=0,"",BQ12/BP12-1)</f>
        <v/>
      </c>
      <c r="BR101" s="22" t="str">
        <f t="shared" si="289"/>
        <v/>
      </c>
      <c r="BS101" s="22"/>
      <c r="BT101" s="22" t="str">
        <f t="shared" ref="BT101:BV101" si="290">if(BS12=0,"",BT12/BS12-1)</f>
        <v/>
      </c>
      <c r="BU101" s="22" t="str">
        <f t="shared" si="290"/>
        <v/>
      </c>
      <c r="BV101" s="22" t="str">
        <f t="shared" si="290"/>
        <v/>
      </c>
    </row>
    <row r="102" ht="15.75" customHeight="1">
      <c r="A102" s="7" t="s">
        <v>65</v>
      </c>
      <c r="E102" s="22">
        <f t="shared" ref="E102:H102" si="291">if(D13=0,"",E13/D13-1)</f>
        <v>-0.2469752203</v>
      </c>
      <c r="F102" s="22">
        <f t="shared" si="291"/>
        <v>0.6880348184</v>
      </c>
      <c r="G102" s="22">
        <f t="shared" si="291"/>
        <v>0.1075146458</v>
      </c>
      <c r="H102" s="22">
        <f t="shared" si="291"/>
        <v>-0.04189633369</v>
      </c>
      <c r="I102" s="22"/>
      <c r="J102" s="22"/>
      <c r="K102" s="22">
        <f t="shared" ref="K102:N102" si="292">if(J13=0,"",K13/J13-1)</f>
        <v>0.143103332</v>
      </c>
      <c r="L102" s="22">
        <f t="shared" si="292"/>
        <v>0.1774328464</v>
      </c>
      <c r="M102" s="22">
        <f t="shared" si="292"/>
        <v>0.1356729297</v>
      </c>
      <c r="N102" s="22">
        <f t="shared" si="292"/>
        <v>-0.02162871127</v>
      </c>
      <c r="O102" s="22"/>
      <c r="P102" s="22"/>
      <c r="Q102" s="22">
        <f t="shared" ref="Q102:T102" si="293">if(P13=0,"",Q13/P13-1)</f>
        <v>-0.6788083742</v>
      </c>
      <c r="R102" s="22">
        <f t="shared" si="293"/>
        <v>0.3755863634</v>
      </c>
      <c r="S102" s="22">
        <f t="shared" si="293"/>
        <v>0.1594906522</v>
      </c>
      <c r="T102" s="22">
        <f t="shared" si="293"/>
        <v>0.1085257746</v>
      </c>
      <c r="U102" s="22"/>
      <c r="V102" s="22" t="str">
        <f t="shared" ref="V102:Y102" si="294">if(U13=0,"",V13/U13-1)</f>
        <v/>
      </c>
      <c r="W102" s="22">
        <f t="shared" si="294"/>
        <v>0.320389773</v>
      </c>
      <c r="X102" s="22">
        <f t="shared" si="294"/>
        <v>0.8505821045</v>
      </c>
      <c r="Y102" s="22">
        <f t="shared" si="294"/>
        <v>-0.4738543191</v>
      </c>
      <c r="Z102" s="22"/>
      <c r="AA102" s="22"/>
      <c r="AB102" s="22"/>
      <c r="AC102" s="22">
        <f t="shared" ref="AC102:AD102" si="295">if(AB13=0,"",AC13/AB13-1)</f>
        <v>-0.1484913702</v>
      </c>
      <c r="AD102" s="22">
        <f t="shared" si="295"/>
        <v>0.1304311731</v>
      </c>
      <c r="AE102" s="22"/>
      <c r="AF102" s="22" t="str">
        <f t="shared" si="280"/>
        <v/>
      </c>
      <c r="AG102" s="22"/>
      <c r="AH102" s="22">
        <f t="shared" ref="AH102:AH133" si="310">if(AG13=0,"",AH13/AG13-1)</f>
        <v>0.0001116560397</v>
      </c>
      <c r="AI102" s="22"/>
      <c r="AJ102" s="22" t="str">
        <f t="shared" si="265"/>
        <v/>
      </c>
      <c r="AK102" s="22"/>
      <c r="AL102" s="22"/>
      <c r="AM102" s="22" t="str">
        <f t="shared" ref="AM102:AO102" si="296">if(AL13=0,"",AM13/AL13-1)</f>
        <v/>
      </c>
      <c r="AN102" s="22">
        <f t="shared" si="296"/>
        <v>0.2643105585</v>
      </c>
      <c r="AO102" s="22">
        <f t="shared" si="296"/>
        <v>-0.1048465044</v>
      </c>
      <c r="AP102" s="22"/>
      <c r="AQ102" s="22" t="str">
        <f t="shared" ref="AQ102:AS102" si="297">if(AP13=0,"",AQ13/AP13-1)</f>
        <v/>
      </c>
      <c r="AR102" s="22">
        <f t="shared" si="297"/>
        <v>0.293884889</v>
      </c>
      <c r="AS102" s="22">
        <f t="shared" si="297"/>
        <v>-0.03972437638</v>
      </c>
      <c r="AT102" s="22"/>
      <c r="AU102" s="22" t="str">
        <f t="shared" ref="AU102:AW102" si="298">if(AT13=0,"",AU13/AT13-1)</f>
        <v/>
      </c>
      <c r="AV102" s="22">
        <f t="shared" si="298"/>
        <v>0.01231915885</v>
      </c>
      <c r="AW102" s="22">
        <f t="shared" si="298"/>
        <v>-0.06966667344</v>
      </c>
      <c r="AX102" s="22"/>
      <c r="AY102" s="22" t="str">
        <f t="shared" ref="AY102:BB102" si="299">if(AX13=0,"",AY13/AX13-1)</f>
        <v/>
      </c>
      <c r="AZ102" s="22">
        <f t="shared" si="299"/>
        <v>0.8042915645</v>
      </c>
      <c r="BA102" s="22">
        <f t="shared" si="299"/>
        <v>0.5288156008</v>
      </c>
      <c r="BB102" s="22">
        <f t="shared" si="299"/>
        <v>0.1923832505</v>
      </c>
      <c r="BC102" s="22"/>
      <c r="BD102" s="22" t="str">
        <f t="shared" ref="BD102:BG102" si="300">if(BC13=0,"",BD13/BC13-1)</f>
        <v/>
      </c>
      <c r="BE102" s="22">
        <f t="shared" si="300"/>
        <v>0.03330618505</v>
      </c>
      <c r="BF102" s="22">
        <f t="shared" si="300"/>
        <v>0.004093622008</v>
      </c>
      <c r="BG102" s="22">
        <f t="shared" si="300"/>
        <v>0.03321539301</v>
      </c>
      <c r="BH102" s="22"/>
      <c r="BI102" s="22" t="str">
        <f t="shared" ref="BI102:BK102" si="301">if(BH13=0,"",BI13/BH13-1)</f>
        <v/>
      </c>
      <c r="BJ102" s="22">
        <f t="shared" si="301"/>
        <v>0.3333243594</v>
      </c>
      <c r="BK102" s="22">
        <f t="shared" si="301"/>
        <v>0.3222282986</v>
      </c>
      <c r="BL102" s="22"/>
      <c r="BM102" s="22" t="str">
        <f t="shared" ref="BM102:BO102" si="302">if(BL13=0,"",BM13/BL13-1)</f>
        <v/>
      </c>
      <c r="BN102" s="22">
        <f t="shared" si="302"/>
        <v>0.1783660387</v>
      </c>
      <c r="BO102" s="22">
        <f t="shared" si="302"/>
        <v>0.3654313834</v>
      </c>
      <c r="BP102" s="22"/>
      <c r="BQ102" s="22" t="str">
        <f t="shared" ref="BQ102:BR102" si="303">if(BP13=0,"",BQ13/BP13-1)</f>
        <v/>
      </c>
      <c r="BR102" s="22">
        <f t="shared" si="303"/>
        <v>5.266823641</v>
      </c>
      <c r="BS102" s="22"/>
      <c r="BT102" s="22" t="str">
        <f t="shared" ref="BT102:BV102" si="304">if(BS13=0,"",BT13/BS13-1)</f>
        <v/>
      </c>
      <c r="BU102" s="22">
        <f t="shared" si="304"/>
        <v>0.6224399658</v>
      </c>
      <c r="BV102" s="22">
        <f t="shared" si="304"/>
        <v>0.3748624913</v>
      </c>
    </row>
    <row r="103" ht="15.75" customHeight="1">
      <c r="A103" s="7" t="s">
        <v>66</v>
      </c>
      <c r="E103" s="22" t="str">
        <f t="shared" ref="E103:H103" si="305">if(D14=0,"",E14/D14-1)</f>
        <v/>
      </c>
      <c r="F103" s="22" t="str">
        <f t="shared" si="305"/>
        <v/>
      </c>
      <c r="G103" s="22" t="str">
        <f t="shared" si="305"/>
        <v/>
      </c>
      <c r="H103" s="22" t="str">
        <f t="shared" si="305"/>
        <v/>
      </c>
      <c r="I103" s="22"/>
      <c r="J103" s="22"/>
      <c r="K103" s="22">
        <f t="shared" ref="K103:N103" si="306">if(J14=0,"",K14/J14-1)</f>
        <v>-0.1018200625</v>
      </c>
      <c r="L103" s="22">
        <f t="shared" si="306"/>
        <v>0.7458414137</v>
      </c>
      <c r="M103" s="22">
        <f t="shared" si="306"/>
        <v>0.2020118444</v>
      </c>
      <c r="N103" s="22">
        <f t="shared" si="306"/>
        <v>-0.5674533675</v>
      </c>
      <c r="O103" s="22"/>
      <c r="P103" s="22"/>
      <c r="Q103" s="22">
        <f t="shared" ref="Q103:T103" si="307">if(P14=0,"",Q14/P14-1)</f>
        <v>0.01359557577</v>
      </c>
      <c r="R103" s="22">
        <f t="shared" si="307"/>
        <v>-0.09830534291</v>
      </c>
      <c r="S103" s="22">
        <f t="shared" si="307"/>
        <v>0.2045844637</v>
      </c>
      <c r="T103" s="22">
        <f t="shared" si="307"/>
        <v>0.02291909976</v>
      </c>
      <c r="U103" s="22"/>
      <c r="V103" s="22" t="str">
        <f t="shared" ref="V103:Y103" si="308">if(U14=0,"",V14/U14-1)</f>
        <v/>
      </c>
      <c r="W103" s="22">
        <f t="shared" si="308"/>
        <v>-0.9409703974</v>
      </c>
      <c r="X103" s="22">
        <f t="shared" si="308"/>
        <v>0.2056678741</v>
      </c>
      <c r="Y103" s="22">
        <f t="shared" si="308"/>
        <v>0.5845613377</v>
      </c>
      <c r="Z103" s="22"/>
      <c r="AA103" s="22"/>
      <c r="AB103" s="22"/>
      <c r="AC103" s="22">
        <f t="shared" ref="AC103:AD103" si="309">if(AB14=0,"",AC14/AB14-1)</f>
        <v>-0.1083133418</v>
      </c>
      <c r="AD103" s="22">
        <f t="shared" si="309"/>
        <v>0.02948060813</v>
      </c>
      <c r="AE103" s="22"/>
      <c r="AF103" s="22" t="str">
        <f t="shared" si="280"/>
        <v/>
      </c>
      <c r="AG103" s="22"/>
      <c r="AH103" s="22">
        <f t="shared" si="310"/>
        <v>0</v>
      </c>
      <c r="AI103" s="22"/>
      <c r="AJ103" s="22" t="str">
        <f t="shared" si="265"/>
        <v/>
      </c>
      <c r="AK103" s="22"/>
      <c r="AL103" s="22"/>
      <c r="AM103" s="22" t="str">
        <f t="shared" ref="AM103:AO103" si="311">if(AL14=0,"",AM14/AL14-1)</f>
        <v/>
      </c>
      <c r="AN103" s="22">
        <f t="shared" si="311"/>
        <v>0.131723911</v>
      </c>
      <c r="AO103" s="22">
        <f t="shared" si="311"/>
        <v>0.1232109142</v>
      </c>
      <c r="AP103" s="22"/>
      <c r="AQ103" s="22" t="str">
        <f t="shared" ref="AQ103:AS103" si="312">if(AP14=0,"",AQ14/AP14-1)</f>
        <v/>
      </c>
      <c r="AR103" s="22">
        <f t="shared" si="312"/>
        <v>-0.0355673854</v>
      </c>
      <c r="AS103" s="22">
        <f t="shared" si="312"/>
        <v>0.04026953847</v>
      </c>
      <c r="AT103" s="22"/>
      <c r="AU103" s="22" t="str">
        <f t="shared" ref="AU103:AW103" si="313">if(AT14=0,"",AU14/AT14-1)</f>
        <v/>
      </c>
      <c r="AV103" s="22">
        <f t="shared" si="313"/>
        <v>0.435723767</v>
      </c>
      <c r="AW103" s="22">
        <f t="shared" si="313"/>
        <v>0.1311358508</v>
      </c>
      <c r="AX103" s="22"/>
      <c r="AY103" s="22" t="str">
        <f t="shared" ref="AY103:BB103" si="314">if(AX14=0,"",AY14/AX14-1)</f>
        <v/>
      </c>
      <c r="AZ103" s="22">
        <f t="shared" si="314"/>
        <v>-0.605882919</v>
      </c>
      <c r="BA103" s="22">
        <f t="shared" si="314"/>
        <v>6.521884688</v>
      </c>
      <c r="BB103" s="22">
        <f t="shared" si="314"/>
        <v>1.029438831</v>
      </c>
      <c r="BC103" s="22"/>
      <c r="BD103" s="22" t="str">
        <f t="shared" ref="BD103:BG103" si="315">if(BC14=0,"",BD14/BC14-1)</f>
        <v/>
      </c>
      <c r="BE103" s="22">
        <f t="shared" si="315"/>
        <v>-0.07964464824</v>
      </c>
      <c r="BF103" s="22">
        <f t="shared" si="315"/>
        <v>0.002799128084</v>
      </c>
      <c r="BG103" s="22">
        <f t="shared" si="315"/>
        <v>0.04409804048</v>
      </c>
      <c r="BH103" s="22"/>
      <c r="BI103" s="22" t="str">
        <f t="shared" ref="BI103:BK103" si="316">if(BH14=0,"",BI14/BH14-1)</f>
        <v/>
      </c>
      <c r="BJ103" s="22">
        <f t="shared" si="316"/>
        <v>1.812650092</v>
      </c>
      <c r="BK103" s="22">
        <f t="shared" si="316"/>
        <v>2.152317978</v>
      </c>
      <c r="BL103" s="22"/>
      <c r="BM103" s="22" t="str">
        <f t="shared" ref="BM103:BO103" si="317">if(BL14=0,"",BM14/BL14-1)</f>
        <v/>
      </c>
      <c r="BN103" s="22">
        <f t="shared" si="317"/>
        <v>0.06965776992</v>
      </c>
      <c r="BO103" s="22">
        <f t="shared" si="317"/>
        <v>0.5989865221</v>
      </c>
      <c r="BP103" s="22"/>
      <c r="BQ103" s="22" t="str">
        <f t="shared" ref="BQ103:BR103" si="318">if(BP14=0,"",BQ14/BP14-1)</f>
        <v/>
      </c>
      <c r="BR103" s="22">
        <f t="shared" si="318"/>
        <v>7.296022782</v>
      </c>
      <c r="BS103" s="22"/>
      <c r="BT103" s="22" t="str">
        <f t="shared" ref="BT103:BV103" si="319">if(BS14=0,"",BT14/BS14-1)</f>
        <v/>
      </c>
      <c r="BU103" s="22">
        <f t="shared" si="319"/>
        <v>0.07107848916</v>
      </c>
      <c r="BV103" s="22">
        <f t="shared" si="319"/>
        <v>1.576118263</v>
      </c>
    </row>
    <row r="104" ht="15.75" customHeight="1">
      <c r="A104" s="7" t="s">
        <v>67</v>
      </c>
      <c r="E104" s="22">
        <f t="shared" ref="E104:H104" si="320">if(D15=0,"",E15/D15-1)</f>
        <v>0.08337490629</v>
      </c>
      <c r="F104" s="22">
        <f t="shared" si="320"/>
        <v>-0.08826000542</v>
      </c>
      <c r="G104" s="22">
        <f t="shared" si="320"/>
        <v>0.1849412416</v>
      </c>
      <c r="H104" s="22">
        <f t="shared" si="320"/>
        <v>0.4265334266</v>
      </c>
      <c r="I104" s="22"/>
      <c r="J104" s="22"/>
      <c r="K104" s="22">
        <f t="shared" ref="K104:N104" si="321">if(J15=0,"",K15/J15-1)</f>
        <v>0.04970604969</v>
      </c>
      <c r="L104" s="22">
        <f t="shared" si="321"/>
        <v>-0.1885386322</v>
      </c>
      <c r="M104" s="22">
        <f t="shared" si="321"/>
        <v>0.04710052691</v>
      </c>
      <c r="N104" s="22">
        <f t="shared" si="321"/>
        <v>0.5674047265</v>
      </c>
      <c r="O104" s="22"/>
      <c r="P104" s="22"/>
      <c r="Q104" s="22">
        <f t="shared" ref="Q104:T104" si="322">if(P15=0,"",Q15/P15-1)</f>
        <v>3.730154215</v>
      </c>
      <c r="R104" s="22">
        <f t="shared" si="322"/>
        <v>-0.08636194799</v>
      </c>
      <c r="S104" s="22">
        <f t="shared" si="322"/>
        <v>0.04136826684</v>
      </c>
      <c r="T104" s="22">
        <f t="shared" si="322"/>
        <v>0.08882739831</v>
      </c>
      <c r="U104" s="22"/>
      <c r="V104" s="22" t="str">
        <f t="shared" ref="V104:Y104" si="323">if(U15=0,"",V15/U15-1)</f>
        <v/>
      </c>
      <c r="W104" s="22" t="str">
        <f t="shared" si="323"/>
        <v/>
      </c>
      <c r="X104" s="22" t="str">
        <f t="shared" si="323"/>
        <v/>
      </c>
      <c r="Y104" s="22" t="str">
        <f t="shared" si="323"/>
        <v/>
      </c>
      <c r="Z104" s="22"/>
      <c r="AA104" s="22"/>
      <c r="AB104" s="22"/>
      <c r="AC104" s="22">
        <f t="shared" ref="AC104:AD104" si="324">if(AB15=0,"",AC15/AB15-1)</f>
        <v>0.7859916418</v>
      </c>
      <c r="AD104" s="22">
        <f t="shared" si="324"/>
        <v>-0.2582577439</v>
      </c>
      <c r="AE104" s="22"/>
      <c r="AF104" s="22" t="str">
        <f t="shared" si="280"/>
        <v/>
      </c>
      <c r="AG104" s="22"/>
      <c r="AH104" s="22" t="str">
        <f t="shared" si="310"/>
        <v/>
      </c>
      <c r="AI104" s="22"/>
      <c r="AJ104" s="22" t="str">
        <f t="shared" si="265"/>
        <v/>
      </c>
      <c r="AK104" s="22"/>
      <c r="AL104" s="22"/>
      <c r="AM104" s="22" t="str">
        <f t="shared" ref="AM104:AO104" si="325">if(AL15=0,"",AM15/AL15-1)</f>
        <v/>
      </c>
      <c r="AN104" s="22">
        <f t="shared" si="325"/>
        <v>-0.5139268394</v>
      </c>
      <c r="AO104" s="22">
        <f t="shared" si="325"/>
        <v>0.0000006445895517</v>
      </c>
      <c r="AP104" s="22"/>
      <c r="AQ104" s="22" t="str">
        <f t="shared" ref="AQ104:AS104" si="326">if(AP15=0,"",AQ15/AP15-1)</f>
        <v/>
      </c>
      <c r="AR104" s="22">
        <f t="shared" si="326"/>
        <v>18.517524</v>
      </c>
      <c r="AS104" s="22">
        <f t="shared" si="326"/>
        <v>-0.056487188</v>
      </c>
      <c r="AT104" s="22"/>
      <c r="AU104" s="22" t="str">
        <f t="shared" ref="AU104:AW104" si="327">if(AT15=0,"",AU15/AT15-1)</f>
        <v/>
      </c>
      <c r="AV104" s="22">
        <f t="shared" si="327"/>
        <v>0.3511083224</v>
      </c>
      <c r="AW104" s="22">
        <f t="shared" si="327"/>
        <v>0.208481184</v>
      </c>
      <c r="AX104" s="22"/>
      <c r="AY104" s="22" t="str">
        <f t="shared" ref="AY104:BB104" si="328">if(AX15=0,"",AY15/AX15-1)</f>
        <v/>
      </c>
      <c r="AZ104" s="22">
        <f t="shared" si="328"/>
        <v>-0.08646646534</v>
      </c>
      <c r="BA104" s="22">
        <f t="shared" si="328"/>
        <v>-0.09465057026</v>
      </c>
      <c r="BB104" s="22">
        <f t="shared" si="328"/>
        <v>-0.1045458992</v>
      </c>
      <c r="BC104" s="22"/>
      <c r="BD104" s="22" t="str">
        <f t="shared" ref="BD104:BG104" si="329">if(BC15=0,"",BD15/BC15-1)</f>
        <v/>
      </c>
      <c r="BE104" s="22">
        <f t="shared" si="329"/>
        <v>0.02412497335</v>
      </c>
      <c r="BF104" s="22">
        <f t="shared" si="329"/>
        <v>-0.1200778822</v>
      </c>
      <c r="BG104" s="22">
        <f t="shared" si="329"/>
        <v>-0.1715670037</v>
      </c>
      <c r="BH104" s="22"/>
      <c r="BI104" s="22" t="str">
        <f t="shared" ref="BI104:BK104" si="330">if(BH15=0,"",BI15/BH15-1)</f>
        <v/>
      </c>
      <c r="BJ104" s="22">
        <f t="shared" si="330"/>
        <v>0</v>
      </c>
      <c r="BK104" s="22">
        <f t="shared" si="330"/>
        <v>0</v>
      </c>
      <c r="BL104" s="22"/>
      <c r="BM104" s="22" t="str">
        <f t="shared" ref="BM104:BO104" si="331">if(BL15=0,"",BM15/BL15-1)</f>
        <v/>
      </c>
      <c r="BN104" s="22" t="str">
        <f t="shared" si="331"/>
        <v/>
      </c>
      <c r="BO104" s="22" t="str">
        <f t="shared" si="331"/>
        <v/>
      </c>
      <c r="BP104" s="22"/>
      <c r="BQ104" s="22" t="str">
        <f t="shared" ref="BQ104:BR104" si="332">if(BP15=0,"",BQ15/BP15-1)</f>
        <v/>
      </c>
      <c r="BR104" s="22" t="str">
        <f t="shared" si="332"/>
        <v/>
      </c>
      <c r="BS104" s="22"/>
      <c r="BT104" s="22" t="str">
        <f t="shared" ref="BT104:BV104" si="333">if(BS15=0,"",BT15/BS15-1)</f>
        <v/>
      </c>
      <c r="BU104" s="22" t="str">
        <f t="shared" si="333"/>
        <v/>
      </c>
      <c r="BV104" s="22" t="str">
        <f t="shared" si="333"/>
        <v/>
      </c>
    </row>
    <row r="105" ht="15.75" customHeight="1">
      <c r="A105" s="7" t="s">
        <v>68</v>
      </c>
      <c r="E105" s="22">
        <f t="shared" ref="E105:H105" si="334">if(D16=0,"",E16/D16-1)</f>
        <v>-0.02511129274</v>
      </c>
      <c r="F105" s="22">
        <f t="shared" si="334"/>
        <v>0.1086559623</v>
      </c>
      <c r="G105" s="22">
        <f t="shared" si="334"/>
        <v>0.1550372603</v>
      </c>
      <c r="H105" s="22">
        <f t="shared" si="334"/>
        <v>0.2530584611</v>
      </c>
      <c r="I105" s="22"/>
      <c r="J105" s="22"/>
      <c r="K105" s="22">
        <f t="shared" ref="K105:N105" si="335">if(J16=0,"",K16/J16-1)</f>
        <v>0.07995706187</v>
      </c>
      <c r="L105" s="22">
        <f t="shared" si="335"/>
        <v>0.1155565865</v>
      </c>
      <c r="M105" s="22">
        <f t="shared" si="335"/>
        <v>0.1251765843</v>
      </c>
      <c r="N105" s="22">
        <f t="shared" si="335"/>
        <v>0.01479190114</v>
      </c>
      <c r="O105" s="22"/>
      <c r="P105" s="22"/>
      <c r="Q105" s="22">
        <f t="shared" ref="Q105:T105" si="336">if(P16=0,"",Q16/P16-1)</f>
        <v>0.1028192687</v>
      </c>
      <c r="R105" s="22">
        <f t="shared" si="336"/>
        <v>0.009460058715</v>
      </c>
      <c r="S105" s="22">
        <f t="shared" si="336"/>
        <v>0.09122971677</v>
      </c>
      <c r="T105" s="22">
        <f t="shared" si="336"/>
        <v>0.08768578596</v>
      </c>
      <c r="U105" s="22"/>
      <c r="V105" s="22" t="str">
        <f t="shared" ref="V105:Y105" si="337">if(U16=0,"",V16/U16-1)</f>
        <v/>
      </c>
      <c r="W105" s="22">
        <f t="shared" si="337"/>
        <v>-0.5938095334</v>
      </c>
      <c r="X105" s="22">
        <f t="shared" si="337"/>
        <v>0.7826548803</v>
      </c>
      <c r="Y105" s="22">
        <f t="shared" si="337"/>
        <v>0.2957528192</v>
      </c>
      <c r="Z105" s="22"/>
      <c r="AA105" s="22"/>
      <c r="AB105" s="22"/>
      <c r="AC105" s="22">
        <f t="shared" ref="AC105:AD105" si="338">if(AB16=0,"",AC16/AB16-1)</f>
        <v>-0.008753458627</v>
      </c>
      <c r="AD105" s="22">
        <f t="shared" si="338"/>
        <v>0.01654026541</v>
      </c>
      <c r="AE105" s="22"/>
      <c r="AF105" s="22" t="str">
        <f t="shared" si="280"/>
        <v/>
      </c>
      <c r="AG105" s="22"/>
      <c r="AH105" s="22">
        <f t="shared" si="310"/>
        <v>0.00009968732165</v>
      </c>
      <c r="AI105" s="22"/>
      <c r="AJ105" s="22" t="str">
        <f t="shared" si="265"/>
        <v/>
      </c>
      <c r="AK105" s="22"/>
      <c r="AL105" s="22"/>
      <c r="AM105" s="22" t="str">
        <f t="shared" ref="AM105:AO105" si="339">if(AL16=0,"",AM16/AL16-1)</f>
        <v/>
      </c>
      <c r="AN105" s="22">
        <f t="shared" si="339"/>
        <v>0.1852409645</v>
      </c>
      <c r="AO105" s="22">
        <f t="shared" si="339"/>
        <v>-0.0516464982</v>
      </c>
      <c r="AP105" s="22"/>
      <c r="AQ105" s="22" t="str">
        <f t="shared" ref="AQ105:AS105" si="340">if(AP16=0,"",AQ16/AP16-1)</f>
        <v/>
      </c>
      <c r="AR105" s="22">
        <f t="shared" si="340"/>
        <v>0.2880131527</v>
      </c>
      <c r="AS105" s="22">
        <f t="shared" si="340"/>
        <v>-0.03802095173</v>
      </c>
      <c r="AT105" s="22"/>
      <c r="AU105" s="22" t="str">
        <f t="shared" ref="AU105:AW105" si="341">if(AT16=0,"",AU16/AT16-1)</f>
        <v/>
      </c>
      <c r="AV105" s="22">
        <f t="shared" si="341"/>
        <v>0.06796442675</v>
      </c>
      <c r="AW105" s="22">
        <f t="shared" si="341"/>
        <v>-0.0333945096</v>
      </c>
      <c r="AX105" s="22"/>
      <c r="AY105" s="22" t="str">
        <f t="shared" ref="AY105:BB105" si="342">if(AX16=0,"",AY16/AX16-1)</f>
        <v/>
      </c>
      <c r="AZ105" s="22">
        <f t="shared" si="342"/>
        <v>0.6932542874</v>
      </c>
      <c r="BA105" s="22">
        <f t="shared" si="342"/>
        <v>0.5275817138</v>
      </c>
      <c r="BB105" s="22">
        <f t="shared" si="342"/>
        <v>0.2039775053</v>
      </c>
      <c r="BC105" s="22"/>
      <c r="BD105" s="22" t="str">
        <f t="shared" ref="BD105:BG105" si="343">if(BC16=0,"",BD16/BC16-1)</f>
        <v/>
      </c>
      <c r="BE105" s="22">
        <f t="shared" si="343"/>
        <v>-0.01746700059</v>
      </c>
      <c r="BF105" s="22">
        <f t="shared" si="343"/>
        <v>-0.003534588343</v>
      </c>
      <c r="BG105" s="22">
        <f t="shared" si="343"/>
        <v>0.0274581152</v>
      </c>
      <c r="BH105" s="22"/>
      <c r="BI105" s="22" t="str">
        <f t="shared" ref="BI105:BK105" si="344">if(BH16=0,"",BI16/BH16-1)</f>
        <v/>
      </c>
      <c r="BJ105" s="22">
        <f t="shared" si="344"/>
        <v>0.3362615925</v>
      </c>
      <c r="BK105" s="22">
        <f t="shared" si="344"/>
        <v>0.3389450238</v>
      </c>
      <c r="BL105" s="22"/>
      <c r="BM105" s="22" t="str">
        <f t="shared" ref="BM105:BO105" si="345">if(BL16=0,"",BM16/BL16-1)</f>
        <v/>
      </c>
      <c r="BN105" s="22">
        <f t="shared" si="345"/>
        <v>0.1500522104</v>
      </c>
      <c r="BO105" s="22">
        <f t="shared" si="345"/>
        <v>0.4220100536</v>
      </c>
      <c r="BP105" s="22"/>
      <c r="BQ105" s="22" t="str">
        <f t="shared" ref="BQ105:BR105" si="346">if(BP16=0,"",BQ16/BP16-1)</f>
        <v/>
      </c>
      <c r="BR105" s="22">
        <f t="shared" si="346"/>
        <v>5.283276822</v>
      </c>
      <c r="BS105" s="22"/>
      <c r="BT105" s="22" t="str">
        <f t="shared" ref="BT105:BV105" si="347">if(BS16=0,"",BT16/BS16-1)</f>
        <v/>
      </c>
      <c r="BU105" s="22">
        <f t="shared" si="347"/>
        <v>0.6189159221</v>
      </c>
      <c r="BV105" s="22">
        <f t="shared" si="347"/>
        <v>0.3799421831</v>
      </c>
    </row>
    <row r="106" ht="15.75" customHeight="1">
      <c r="E106" s="22" t="str">
        <f t="shared" ref="E106:H106" si="348">if(D17=0,"",E17/D17-1)</f>
        <v/>
      </c>
      <c r="F106" s="22" t="str">
        <f t="shared" si="348"/>
        <v/>
      </c>
      <c r="G106" s="22" t="str">
        <f t="shared" si="348"/>
        <v/>
      </c>
      <c r="H106" s="22" t="str">
        <f t="shared" si="348"/>
        <v/>
      </c>
      <c r="I106" s="22"/>
      <c r="J106" s="22"/>
      <c r="K106" s="22" t="str">
        <f t="shared" ref="K106:N106" si="349">if(J17=0,"",K17/J17-1)</f>
        <v/>
      </c>
      <c r="L106" s="22" t="str">
        <f t="shared" si="349"/>
        <v/>
      </c>
      <c r="M106" s="22" t="str">
        <f t="shared" si="349"/>
        <v/>
      </c>
      <c r="N106" s="22" t="str">
        <f t="shared" si="349"/>
        <v/>
      </c>
      <c r="O106" s="22"/>
      <c r="P106" s="22"/>
      <c r="Q106" s="22" t="str">
        <f t="shared" ref="Q106:T106" si="350">if(P17=0,"",Q17/P17-1)</f>
        <v/>
      </c>
      <c r="R106" s="22" t="str">
        <f t="shared" si="350"/>
        <v/>
      </c>
      <c r="S106" s="22" t="str">
        <f t="shared" si="350"/>
        <v/>
      </c>
      <c r="T106" s="22" t="str">
        <f t="shared" si="350"/>
        <v/>
      </c>
      <c r="U106" s="22"/>
      <c r="V106" s="22" t="str">
        <f t="shared" ref="V106:Y106" si="351">if(U17=0,"",V17/U17-1)</f>
        <v/>
      </c>
      <c r="W106" s="22" t="str">
        <f t="shared" si="351"/>
        <v/>
      </c>
      <c r="X106" s="22" t="str">
        <f t="shared" si="351"/>
        <v/>
      </c>
      <c r="Y106" s="22" t="str">
        <f t="shared" si="351"/>
        <v/>
      </c>
      <c r="Z106" s="22"/>
      <c r="AA106" s="22"/>
      <c r="AB106" s="22"/>
      <c r="AC106" s="22" t="str">
        <f t="shared" ref="AC106:AD106" si="352">if(AB17=0,"",AC17/AB17-1)</f>
        <v/>
      </c>
      <c r="AD106" s="22" t="str">
        <f t="shared" si="352"/>
        <v/>
      </c>
      <c r="AE106" s="22"/>
      <c r="AF106" s="22" t="str">
        <f t="shared" si="280"/>
        <v/>
      </c>
      <c r="AG106" s="22"/>
      <c r="AH106" s="22" t="str">
        <f t="shared" si="310"/>
        <v/>
      </c>
      <c r="AI106" s="22"/>
      <c r="AJ106" s="22" t="str">
        <f t="shared" si="265"/>
        <v/>
      </c>
      <c r="AK106" s="22"/>
      <c r="AL106" s="22"/>
      <c r="AM106" s="22" t="str">
        <f t="shared" ref="AM106:AO106" si="353">if(AL17=0,"",AM17/AL17-1)</f>
        <v/>
      </c>
      <c r="AN106" s="22" t="str">
        <f t="shared" si="353"/>
        <v/>
      </c>
      <c r="AO106" s="22" t="str">
        <f t="shared" si="353"/>
        <v/>
      </c>
      <c r="AP106" s="22"/>
      <c r="AQ106" s="22" t="str">
        <f t="shared" ref="AQ106:AS106" si="354">if(AP17=0,"",AQ17/AP17-1)</f>
        <v/>
      </c>
      <c r="AR106" s="22" t="str">
        <f t="shared" si="354"/>
        <v/>
      </c>
      <c r="AS106" s="22" t="str">
        <f t="shared" si="354"/>
        <v/>
      </c>
      <c r="AT106" s="22"/>
      <c r="AU106" s="22" t="str">
        <f t="shared" ref="AU106:AW106" si="355">if(AT17=0,"",AU17/AT17-1)</f>
        <v/>
      </c>
      <c r="AV106" s="22" t="str">
        <f t="shared" si="355"/>
        <v/>
      </c>
      <c r="AW106" s="22" t="str">
        <f t="shared" si="355"/>
        <v/>
      </c>
      <c r="AX106" s="22"/>
      <c r="AY106" s="22" t="str">
        <f t="shared" ref="AY106:BB106" si="356">if(AX17=0,"",AY17/AX17-1)</f>
        <v/>
      </c>
      <c r="AZ106" s="22" t="str">
        <f t="shared" si="356"/>
        <v/>
      </c>
      <c r="BA106" s="22" t="str">
        <f t="shared" si="356"/>
        <v/>
      </c>
      <c r="BB106" s="22" t="str">
        <f t="shared" si="356"/>
        <v/>
      </c>
      <c r="BC106" s="22"/>
      <c r="BD106" s="22" t="str">
        <f t="shared" ref="BD106:BG106" si="357">if(BC17=0,"",BD17/BC17-1)</f>
        <v/>
      </c>
      <c r="BE106" s="22" t="str">
        <f t="shared" si="357"/>
        <v/>
      </c>
      <c r="BF106" s="22" t="str">
        <f t="shared" si="357"/>
        <v/>
      </c>
      <c r="BG106" s="22" t="str">
        <f t="shared" si="357"/>
        <v/>
      </c>
      <c r="BH106" s="22"/>
      <c r="BI106" s="22" t="str">
        <f t="shared" ref="BI106:BK106" si="358">if(BH17=0,"",BI17/BH17-1)</f>
        <v/>
      </c>
      <c r="BJ106" s="22" t="str">
        <f t="shared" si="358"/>
        <v/>
      </c>
      <c r="BK106" s="22" t="str">
        <f t="shared" si="358"/>
        <v/>
      </c>
      <c r="BL106" s="22"/>
      <c r="BM106" s="22" t="str">
        <f t="shared" ref="BM106:BO106" si="359">if(BL17=0,"",BM17/BL17-1)</f>
        <v/>
      </c>
      <c r="BN106" s="22" t="str">
        <f t="shared" si="359"/>
        <v/>
      </c>
      <c r="BO106" s="22" t="str">
        <f t="shared" si="359"/>
        <v/>
      </c>
      <c r="BP106" s="22"/>
      <c r="BQ106" s="22" t="str">
        <f t="shared" ref="BQ106:BR106" si="360">if(BP17=0,"",BQ17/BP17-1)</f>
        <v/>
      </c>
      <c r="BR106" s="22" t="str">
        <f t="shared" si="360"/>
        <v/>
      </c>
      <c r="BS106" s="22"/>
      <c r="BT106" s="22" t="str">
        <f t="shared" ref="BT106:BV106" si="361">if(BS17=0,"",BT17/BS17-1)</f>
        <v/>
      </c>
      <c r="BU106" s="22" t="str">
        <f t="shared" si="361"/>
        <v/>
      </c>
      <c r="BV106" s="22" t="str">
        <f t="shared" si="361"/>
        <v/>
      </c>
    </row>
    <row r="107" ht="15.75" customHeight="1">
      <c r="A107" s="7" t="s">
        <v>69</v>
      </c>
      <c r="E107" s="22">
        <f t="shared" ref="E107:H107" si="362">if(D18=0,"",E18/D18-1)</f>
        <v>-0.256994863</v>
      </c>
      <c r="F107" s="22">
        <f t="shared" si="362"/>
        <v>0.2561254261</v>
      </c>
      <c r="G107" s="22">
        <f t="shared" si="362"/>
        <v>-0.1980416028</v>
      </c>
      <c r="H107" s="22">
        <f t="shared" si="362"/>
        <v>0.3592868151</v>
      </c>
      <c r="I107" s="22"/>
      <c r="J107" s="22"/>
      <c r="K107" s="22">
        <f t="shared" ref="K107:N107" si="363">if(J18=0,"",K18/J18-1)</f>
        <v>0.6528953607</v>
      </c>
      <c r="L107" s="22">
        <f t="shared" si="363"/>
        <v>-0.1253835131</v>
      </c>
      <c r="M107" s="22">
        <f t="shared" si="363"/>
        <v>0.1813310818</v>
      </c>
      <c r="N107" s="22">
        <f t="shared" si="363"/>
        <v>0.5959733199</v>
      </c>
      <c r="O107" s="22"/>
      <c r="P107" s="22"/>
      <c r="Q107" s="22">
        <f t="shared" ref="Q107:T107" si="364">if(P18=0,"",Q18/P18-1)</f>
        <v>0.2167524424</v>
      </c>
      <c r="R107" s="22">
        <f t="shared" si="364"/>
        <v>0.2583770496</v>
      </c>
      <c r="S107" s="22">
        <f t="shared" si="364"/>
        <v>0.1553847028</v>
      </c>
      <c r="T107" s="22">
        <f t="shared" si="364"/>
        <v>0.3893156743</v>
      </c>
      <c r="U107" s="22"/>
      <c r="V107" s="22" t="str">
        <f t="shared" ref="V107:Y107" si="365">if(U18=0,"",V18/U18-1)</f>
        <v/>
      </c>
      <c r="W107" s="22">
        <f t="shared" si="365"/>
        <v>-0.8498432785</v>
      </c>
      <c r="X107" s="22">
        <f t="shared" si="365"/>
        <v>3.150750669</v>
      </c>
      <c r="Y107" s="22">
        <f t="shared" si="365"/>
        <v>-0.1322338885</v>
      </c>
      <c r="Z107" s="22"/>
      <c r="AA107" s="22"/>
      <c r="AB107" s="22" t="str">
        <f t="shared" ref="AB107:AD107" si="366">if(AA18=0,"",AB18/AA18-1)</f>
        <v/>
      </c>
      <c r="AC107" s="22">
        <f t="shared" si="366"/>
        <v>-0.05670431313</v>
      </c>
      <c r="AD107" s="22">
        <f t="shared" si="366"/>
        <v>-0.2951345404</v>
      </c>
      <c r="AE107" s="22"/>
      <c r="AF107" s="22" t="str">
        <f t="shared" si="280"/>
        <v/>
      </c>
      <c r="AG107" s="22"/>
      <c r="AH107" s="22" t="str">
        <f t="shared" si="310"/>
        <v/>
      </c>
      <c r="AI107" s="22"/>
      <c r="AJ107" s="22" t="str">
        <f t="shared" si="265"/>
        <v/>
      </c>
      <c r="AK107" s="22"/>
      <c r="AL107" s="22"/>
      <c r="AM107" s="22" t="str">
        <f t="shared" ref="AM107:AO107" si="367">if(AL18=0,"",AM18/AL18-1)</f>
        <v/>
      </c>
      <c r="AN107" s="22">
        <f t="shared" si="367"/>
        <v>0.07216740992</v>
      </c>
      <c r="AO107" s="22">
        <f t="shared" si="367"/>
        <v>0.002512307837</v>
      </c>
      <c r="AP107" s="22"/>
      <c r="AQ107" s="22" t="str">
        <f t="shared" ref="AQ107:AS107" si="368">if(AP18=0,"",AQ18/AP18-1)</f>
        <v/>
      </c>
      <c r="AR107" s="22">
        <f t="shared" si="368"/>
        <v>-0.3720069819</v>
      </c>
      <c r="AS107" s="22">
        <f t="shared" si="368"/>
        <v>-0.8735942973</v>
      </c>
      <c r="AT107" s="22"/>
      <c r="AU107" s="22" t="str">
        <f t="shared" ref="AU107:AW107" si="369">if(AT18=0,"",AU18/AT18-1)</f>
        <v/>
      </c>
      <c r="AV107" s="22">
        <f t="shared" si="369"/>
        <v>0.7468100658</v>
      </c>
      <c r="AW107" s="22">
        <f t="shared" si="369"/>
        <v>-0.06124422132</v>
      </c>
      <c r="AX107" s="22"/>
      <c r="AY107" s="22" t="str">
        <f t="shared" ref="AY107:BB107" si="370">if(AX18=0,"",AY18/AX18-1)</f>
        <v/>
      </c>
      <c r="AZ107" s="22">
        <f t="shared" si="370"/>
        <v>3.373350249</v>
      </c>
      <c r="BA107" s="22">
        <f t="shared" si="370"/>
        <v>1.595539762</v>
      </c>
      <c r="BB107" s="22">
        <f t="shared" si="370"/>
        <v>0.1910108262</v>
      </c>
      <c r="BC107" s="22"/>
      <c r="BD107" s="22" t="str">
        <f t="shared" ref="BD107:BG107" si="371">if(BC18=0,"",BD18/BC18-1)</f>
        <v/>
      </c>
      <c r="BE107" s="22">
        <f t="shared" si="371"/>
        <v>0.04846939126</v>
      </c>
      <c r="BF107" s="22">
        <f t="shared" si="371"/>
        <v>0.09644674853</v>
      </c>
      <c r="BG107" s="22">
        <f t="shared" si="371"/>
        <v>0.698392688</v>
      </c>
      <c r="BH107" s="22"/>
      <c r="BI107" s="22" t="str">
        <f t="shared" ref="BI107:BK107" si="372">if(BH18=0,"",BI18/BH18-1)</f>
        <v/>
      </c>
      <c r="BJ107" s="22">
        <f t="shared" si="372"/>
        <v>0.6744848026</v>
      </c>
      <c r="BK107" s="22">
        <f t="shared" si="372"/>
        <v>0.3861175357</v>
      </c>
      <c r="BL107" s="22"/>
      <c r="BM107" s="22" t="str">
        <f t="shared" ref="BM107:BO107" si="373">if(BL18=0,"",BM18/BL18-1)</f>
        <v/>
      </c>
      <c r="BN107" s="22">
        <f t="shared" si="373"/>
        <v>0.1018718605</v>
      </c>
      <c r="BO107" s="22">
        <f t="shared" si="373"/>
        <v>0.4087164874</v>
      </c>
      <c r="BP107" s="22"/>
      <c r="BQ107" s="22" t="str">
        <f t="shared" ref="BQ107:BR107" si="374">if(BP18=0,"",BQ18/BP18-1)</f>
        <v/>
      </c>
      <c r="BR107" s="22">
        <f t="shared" si="374"/>
        <v>0.3580842088</v>
      </c>
      <c r="BS107" s="22"/>
      <c r="BT107" s="22" t="str">
        <f t="shared" ref="BT107:BV107" si="375">if(BS18=0,"",BT18/BS18-1)</f>
        <v/>
      </c>
      <c r="BU107" s="22">
        <f t="shared" si="375"/>
        <v>2.008233281</v>
      </c>
      <c r="BV107" s="22">
        <f t="shared" si="375"/>
        <v>-0.6807305803</v>
      </c>
    </row>
    <row r="108" ht="15.75" customHeight="1">
      <c r="A108" s="7" t="s">
        <v>70</v>
      </c>
      <c r="E108" s="22">
        <f t="shared" ref="E108:H108" si="376">if(D19=0,"",E19/D19-1)</f>
        <v>0.5844171394</v>
      </c>
      <c r="F108" s="22">
        <f t="shared" si="376"/>
        <v>-0.3769496722</v>
      </c>
      <c r="G108" s="22">
        <f t="shared" si="376"/>
        <v>1.220076031</v>
      </c>
      <c r="H108" s="22">
        <f t="shared" si="376"/>
        <v>-0.02575481629</v>
      </c>
      <c r="I108" s="22"/>
      <c r="J108" s="22"/>
      <c r="K108" s="22">
        <f t="shared" ref="K108:N108" si="377">if(J19=0,"",K19/J19-1)</f>
        <v>-0.1729819946</v>
      </c>
      <c r="L108" s="22">
        <f t="shared" si="377"/>
        <v>0.3666143709</v>
      </c>
      <c r="M108" s="22">
        <f t="shared" si="377"/>
        <v>0.1710255406</v>
      </c>
      <c r="N108" s="22">
        <f t="shared" si="377"/>
        <v>-0.2344053807</v>
      </c>
      <c r="O108" s="22"/>
      <c r="P108" s="22"/>
      <c r="Q108" s="22">
        <f t="shared" ref="Q108:T108" si="378">if(P19=0,"",Q19/P19-1)</f>
        <v>0.2831446111</v>
      </c>
      <c r="R108" s="22">
        <f t="shared" si="378"/>
        <v>-0.1729815957</v>
      </c>
      <c r="S108" s="22">
        <f t="shared" si="378"/>
        <v>0.1057901105</v>
      </c>
      <c r="T108" s="22">
        <f t="shared" si="378"/>
        <v>0.02643012053</v>
      </c>
      <c r="U108" s="22"/>
      <c r="V108" s="22" t="str">
        <f t="shared" ref="V108:Y108" si="379">if(U19=0,"",V19/U19-1)</f>
        <v/>
      </c>
      <c r="W108" s="22">
        <f t="shared" si="379"/>
        <v>3.284431022</v>
      </c>
      <c r="X108" s="22">
        <f t="shared" si="379"/>
        <v>-0.4010760268</v>
      </c>
      <c r="Y108" s="22">
        <f t="shared" si="379"/>
        <v>78.22287999</v>
      </c>
      <c r="Z108" s="22"/>
      <c r="AA108" s="22"/>
      <c r="AB108" s="22" t="str">
        <f t="shared" ref="AB108:AD108" si="380">if(AA19=0,"",AB19/AA19-1)</f>
        <v/>
      </c>
      <c r="AC108" s="22">
        <f t="shared" si="380"/>
        <v>-0.01707415725</v>
      </c>
      <c r="AD108" s="22">
        <f t="shared" si="380"/>
        <v>0.2327181916</v>
      </c>
      <c r="AE108" s="22"/>
      <c r="AF108" s="22" t="str">
        <f t="shared" si="280"/>
        <v/>
      </c>
      <c r="AG108" s="22"/>
      <c r="AH108" s="22" t="str">
        <f t="shared" si="310"/>
        <v/>
      </c>
      <c r="AI108" s="22"/>
      <c r="AJ108" s="22" t="str">
        <f t="shared" si="265"/>
        <v/>
      </c>
      <c r="AK108" s="22"/>
      <c r="AL108" s="22"/>
      <c r="AM108" s="22" t="str">
        <f t="shared" ref="AM108:AO108" si="381">if(AL19=0,"",AM19/AL19-1)</f>
        <v/>
      </c>
      <c r="AN108" s="22">
        <f t="shared" si="381"/>
        <v>0.940283974</v>
      </c>
      <c r="AO108" s="22">
        <f t="shared" si="381"/>
        <v>-0.2819109293</v>
      </c>
      <c r="AP108" s="22"/>
      <c r="AQ108" s="22" t="str">
        <f t="shared" ref="AQ108:AS108" si="382">if(AP19=0,"",AQ19/AP19-1)</f>
        <v/>
      </c>
      <c r="AR108" s="22">
        <f t="shared" si="382"/>
        <v>0.7390024522</v>
      </c>
      <c r="AS108" s="22">
        <f t="shared" si="382"/>
        <v>-0.004379686629</v>
      </c>
      <c r="AT108" s="22"/>
      <c r="AU108" s="22" t="str">
        <f t="shared" ref="AU108:AW108" si="383">if(AT19=0,"",AU19/AT19-1)</f>
        <v/>
      </c>
      <c r="AV108" s="22">
        <f t="shared" si="383"/>
        <v>-0.04620284812</v>
      </c>
      <c r="AW108" s="22">
        <f t="shared" si="383"/>
        <v>-0.03148348262</v>
      </c>
      <c r="AX108" s="22"/>
      <c r="AY108" s="22" t="str">
        <f t="shared" ref="AY108:BB108" si="384">if(AX19=0,"",AY19/AX19-1)</f>
        <v/>
      </c>
      <c r="AZ108" s="22">
        <f t="shared" si="384"/>
        <v>1.435054032</v>
      </c>
      <c r="BA108" s="22">
        <f t="shared" si="384"/>
        <v>0.07936277084</v>
      </c>
      <c r="BB108" s="22">
        <f t="shared" si="384"/>
        <v>-0.01626555901</v>
      </c>
      <c r="BC108" s="22"/>
      <c r="BD108" s="22" t="str">
        <f t="shared" ref="BD108:BG108" si="385">if(BC19=0,"",BD19/BC19-1)</f>
        <v/>
      </c>
      <c r="BE108" s="22">
        <f t="shared" si="385"/>
        <v>-0.009042299452</v>
      </c>
      <c r="BF108" s="22">
        <f t="shared" si="385"/>
        <v>0.01216462552</v>
      </c>
      <c r="BG108" s="22">
        <f t="shared" si="385"/>
        <v>0.01391479985</v>
      </c>
      <c r="BH108" s="22"/>
      <c r="BI108" s="22" t="str">
        <f t="shared" ref="BI108:BK108" si="386">if(BH19=0,"",BI19/BH19-1)</f>
        <v/>
      </c>
      <c r="BJ108" s="22">
        <f t="shared" si="386"/>
        <v>-0.909258344</v>
      </c>
      <c r="BK108" s="22">
        <f t="shared" si="386"/>
        <v>0</v>
      </c>
      <c r="BL108" s="22"/>
      <c r="BM108" s="22" t="str">
        <f t="shared" ref="BM108:BO108" si="387">if(BL19=0,"",BM19/BL19-1)</f>
        <v/>
      </c>
      <c r="BN108" s="22">
        <f t="shared" si="387"/>
        <v>-0.3920166174</v>
      </c>
      <c r="BO108" s="22">
        <f t="shared" si="387"/>
        <v>3.365841352</v>
      </c>
      <c r="BP108" s="22"/>
      <c r="BQ108" s="22" t="str">
        <f t="shared" ref="BQ108:BR108" si="388">if(BP19=0,"",BQ19/BP19-1)</f>
        <v/>
      </c>
      <c r="BR108" s="22" t="str">
        <f t="shared" si="388"/>
        <v/>
      </c>
      <c r="BS108" s="22"/>
      <c r="BT108" s="22" t="str">
        <f t="shared" ref="BT108:BV108" si="389">if(BS19=0,"",BT19/BS19-1)</f>
        <v/>
      </c>
      <c r="BU108" s="22" t="str">
        <f t="shared" si="389"/>
        <v/>
      </c>
      <c r="BV108" s="22">
        <f t="shared" si="389"/>
        <v>86.54601062</v>
      </c>
    </row>
    <row r="109" ht="15.75" customHeight="1">
      <c r="A109" s="7" t="s">
        <v>71</v>
      </c>
      <c r="E109" s="22">
        <f t="shared" ref="E109:H109" si="390">if(D20=0,"",E20/D20-1)</f>
        <v>-0.08893979288</v>
      </c>
      <c r="F109" s="22">
        <f t="shared" si="390"/>
        <v>0.03622776938</v>
      </c>
      <c r="G109" s="22">
        <f t="shared" si="390"/>
        <v>0.0981314418</v>
      </c>
      <c r="H109" s="22">
        <f t="shared" si="390"/>
        <v>0.1967115455</v>
      </c>
      <c r="I109" s="22"/>
      <c r="J109" s="22"/>
      <c r="K109" s="22">
        <f t="shared" ref="K109:N109" si="391">if(J20=0,"",K20/J20-1)</f>
        <v>0.1103747956</v>
      </c>
      <c r="L109" s="22">
        <f t="shared" si="391"/>
        <v>0.1153348667</v>
      </c>
      <c r="M109" s="22">
        <f t="shared" si="391"/>
        <v>0.175152945</v>
      </c>
      <c r="N109" s="22">
        <f t="shared" si="391"/>
        <v>0.09991253511</v>
      </c>
      <c r="O109" s="22"/>
      <c r="P109" s="22"/>
      <c r="Q109" s="22">
        <f t="shared" ref="Q109:T109" si="392">if(P20=0,"",Q20/P20-1)</f>
        <v>0.2544315135</v>
      </c>
      <c r="R109" s="22">
        <f t="shared" si="392"/>
        <v>0.007967730133</v>
      </c>
      <c r="S109" s="22">
        <f t="shared" si="392"/>
        <v>0.1317628014</v>
      </c>
      <c r="T109" s="22">
        <f t="shared" si="392"/>
        <v>0.2204398457</v>
      </c>
      <c r="U109" s="22"/>
      <c r="V109" s="22" t="str">
        <f t="shared" ref="V109:Y109" si="393">if(U20=0,"",V20/U20-1)</f>
        <v/>
      </c>
      <c r="W109" s="22">
        <f t="shared" si="393"/>
        <v>-0.8419632176</v>
      </c>
      <c r="X109" s="22">
        <f t="shared" si="393"/>
        <v>2.967216458</v>
      </c>
      <c r="Y109" s="22">
        <f t="shared" si="393"/>
        <v>0.4790154604</v>
      </c>
      <c r="Z109" s="22"/>
      <c r="AA109" s="22"/>
      <c r="AB109" s="22" t="str">
        <f t="shared" ref="AB109:AD109" si="394">if(AA20=0,"",AB20/AA20-1)</f>
        <v/>
      </c>
      <c r="AC109" s="22">
        <f t="shared" si="394"/>
        <v>-0.03775893592</v>
      </c>
      <c r="AD109" s="22">
        <f t="shared" si="394"/>
        <v>-0.03736765939</v>
      </c>
      <c r="AE109" s="22"/>
      <c r="AF109" s="22" t="str">
        <f t="shared" si="280"/>
        <v/>
      </c>
      <c r="AG109" s="22"/>
      <c r="AH109" s="22" t="str">
        <f t="shared" si="310"/>
        <v/>
      </c>
      <c r="AI109" s="22"/>
      <c r="AJ109" s="22" t="str">
        <f t="shared" si="265"/>
        <v/>
      </c>
      <c r="AK109" s="22"/>
      <c r="AL109" s="22"/>
      <c r="AM109" s="22" t="str">
        <f t="shared" ref="AM109:AO109" si="395">if(AL20=0,"",AM20/AL20-1)</f>
        <v/>
      </c>
      <c r="AN109" s="22">
        <f t="shared" si="395"/>
        <v>0.2157637085</v>
      </c>
      <c r="AO109" s="22">
        <f t="shared" si="395"/>
        <v>-0.07257151891</v>
      </c>
      <c r="AP109" s="22"/>
      <c r="AQ109" s="22" t="str">
        <f t="shared" ref="AQ109:AS109" si="396">if(AP20=0,"",AQ20/AP20-1)</f>
        <v/>
      </c>
      <c r="AR109" s="22">
        <f t="shared" si="396"/>
        <v>0.4829231353</v>
      </c>
      <c r="AS109" s="22">
        <f t="shared" si="396"/>
        <v>-0.08922345473</v>
      </c>
      <c r="AT109" s="22"/>
      <c r="AU109" s="22" t="str">
        <f t="shared" ref="AU109:AW109" si="397">if(AT20=0,"",AU20/AT20-1)</f>
        <v/>
      </c>
      <c r="AV109" s="22">
        <f t="shared" si="397"/>
        <v>0.03503880721</v>
      </c>
      <c r="AW109" s="22">
        <f t="shared" si="397"/>
        <v>-0.03662902623</v>
      </c>
      <c r="AX109" s="22"/>
      <c r="AY109" s="22" t="str">
        <f t="shared" ref="AY109:BB109" si="398">if(AX20=0,"",AY20/AX20-1)</f>
        <v/>
      </c>
      <c r="AZ109" s="22">
        <f t="shared" si="398"/>
        <v>1.756105104</v>
      </c>
      <c r="BA109" s="22">
        <f t="shared" si="398"/>
        <v>0.4778572998</v>
      </c>
      <c r="BB109" s="22">
        <f t="shared" si="398"/>
        <v>0.07941362724</v>
      </c>
      <c r="BC109" s="22"/>
      <c r="BD109" s="22" t="str">
        <f t="shared" ref="BD109:BG109" si="399">if(BC20=0,"",BD20/BC20-1)</f>
        <v/>
      </c>
      <c r="BE109" s="22">
        <f t="shared" si="399"/>
        <v>0.004688983995</v>
      </c>
      <c r="BF109" s="22">
        <f t="shared" si="399"/>
        <v>0.03316439752</v>
      </c>
      <c r="BG109" s="22">
        <f t="shared" si="399"/>
        <v>0.1949056616</v>
      </c>
      <c r="BH109" s="22"/>
      <c r="BI109" s="22" t="str">
        <f t="shared" ref="BI109:BK109" si="400">if(BH20=0,"",BI20/BH20-1)</f>
        <v/>
      </c>
      <c r="BJ109" s="22">
        <f t="shared" si="400"/>
        <v>0.653951961</v>
      </c>
      <c r="BK109" s="22">
        <f t="shared" si="400"/>
        <v>0.3858428933</v>
      </c>
      <c r="BL109" s="22"/>
      <c r="BM109" s="22" t="str">
        <f t="shared" ref="BM109:BO109" si="401">if(BL20=0,"",BM20/BL20-1)</f>
        <v/>
      </c>
      <c r="BN109" s="22">
        <f t="shared" si="401"/>
        <v>-0.2007785462</v>
      </c>
      <c r="BO109" s="22">
        <f t="shared" si="401"/>
        <v>1.787215967</v>
      </c>
      <c r="BP109" s="22"/>
      <c r="BQ109" s="22" t="str">
        <f t="shared" ref="BQ109:BR109" si="402">if(BP20=0,"",BQ20/BP20-1)</f>
        <v/>
      </c>
      <c r="BR109" s="22">
        <f t="shared" si="402"/>
        <v>5.508781353</v>
      </c>
      <c r="BS109" s="22"/>
      <c r="BT109" s="22" t="str">
        <f t="shared" ref="BT109:BV109" si="403">if(BS20=0,"",BT20/BS20-1)</f>
        <v/>
      </c>
      <c r="BU109" s="22">
        <f t="shared" si="403"/>
        <v>2.043110375</v>
      </c>
      <c r="BV109" s="22">
        <f t="shared" si="403"/>
        <v>0.3189752546</v>
      </c>
    </row>
    <row r="110" ht="15.75" customHeight="1">
      <c r="E110" s="22" t="str">
        <f t="shared" ref="E110:H110" si="404">if(D21=0,"",E21/D21-1)</f>
        <v/>
      </c>
      <c r="F110" s="22" t="str">
        <f t="shared" si="404"/>
        <v/>
      </c>
      <c r="G110" s="22" t="str">
        <f t="shared" si="404"/>
        <v/>
      </c>
      <c r="H110" s="22" t="str">
        <f t="shared" si="404"/>
        <v/>
      </c>
      <c r="I110" s="22"/>
      <c r="J110" s="22"/>
      <c r="K110" s="22" t="str">
        <f t="shared" ref="K110:N110" si="405">if(J21=0,"",K21/J21-1)</f>
        <v/>
      </c>
      <c r="L110" s="22" t="str">
        <f t="shared" si="405"/>
        <v/>
      </c>
      <c r="M110" s="22" t="str">
        <f t="shared" si="405"/>
        <v/>
      </c>
      <c r="N110" s="22" t="str">
        <f t="shared" si="405"/>
        <v/>
      </c>
      <c r="O110" s="22"/>
      <c r="P110" s="22"/>
      <c r="Q110" s="22" t="str">
        <f t="shared" ref="Q110:T110" si="406">if(P21=0,"",Q21/P21-1)</f>
        <v/>
      </c>
      <c r="R110" s="22" t="str">
        <f t="shared" si="406"/>
        <v/>
      </c>
      <c r="S110" s="22" t="str">
        <f t="shared" si="406"/>
        <v/>
      </c>
      <c r="T110" s="22" t="str">
        <f t="shared" si="406"/>
        <v/>
      </c>
      <c r="U110" s="22"/>
      <c r="V110" s="22" t="str">
        <f t="shared" ref="V110:Y110" si="407">if(U21=0,"",V21/U21-1)</f>
        <v/>
      </c>
      <c r="W110" s="22" t="str">
        <f t="shared" si="407"/>
        <v/>
      </c>
      <c r="X110" s="22" t="str">
        <f t="shared" si="407"/>
        <v/>
      </c>
      <c r="Y110" s="22" t="str">
        <f t="shared" si="407"/>
        <v/>
      </c>
      <c r="Z110" s="22"/>
      <c r="AA110" s="22"/>
      <c r="AB110" s="22" t="str">
        <f t="shared" ref="AB110:AD110" si="408">if(AA21=0,"",AB21/AA21-1)</f>
        <v/>
      </c>
      <c r="AC110" s="22" t="str">
        <f t="shared" si="408"/>
        <v/>
      </c>
      <c r="AD110" s="22" t="str">
        <f t="shared" si="408"/>
        <v/>
      </c>
      <c r="AE110" s="22"/>
      <c r="AF110" s="22" t="str">
        <f t="shared" si="280"/>
        <v/>
      </c>
      <c r="AG110" s="22"/>
      <c r="AH110" s="22" t="str">
        <f t="shared" si="310"/>
        <v/>
      </c>
      <c r="AI110" s="22"/>
      <c r="AJ110" s="22" t="str">
        <f t="shared" si="265"/>
        <v/>
      </c>
      <c r="AK110" s="22"/>
      <c r="AL110" s="22"/>
      <c r="AM110" s="22" t="str">
        <f t="shared" ref="AM110:AO110" si="409">if(AL21=0,"",AM21/AL21-1)</f>
        <v/>
      </c>
      <c r="AN110" s="22" t="str">
        <f t="shared" si="409"/>
        <v/>
      </c>
      <c r="AO110" s="22" t="str">
        <f t="shared" si="409"/>
        <v/>
      </c>
      <c r="AP110" s="22"/>
      <c r="AQ110" s="22" t="str">
        <f t="shared" ref="AQ110:AS110" si="410">if(AP21=0,"",AQ21/AP21-1)</f>
        <v/>
      </c>
      <c r="AR110" s="22" t="str">
        <f t="shared" si="410"/>
        <v/>
      </c>
      <c r="AS110" s="22" t="str">
        <f t="shared" si="410"/>
        <v/>
      </c>
      <c r="AT110" s="22"/>
      <c r="AU110" s="22" t="str">
        <f t="shared" ref="AU110:AW110" si="411">if(AT21=0,"",AU21/AT21-1)</f>
        <v/>
      </c>
      <c r="AV110" s="22" t="str">
        <f t="shared" si="411"/>
        <v/>
      </c>
      <c r="AW110" s="22" t="str">
        <f t="shared" si="411"/>
        <v/>
      </c>
      <c r="AX110" s="22"/>
      <c r="AY110" s="22" t="str">
        <f t="shared" ref="AY110:BB110" si="412">if(AX21=0,"",AY21/AX21-1)</f>
        <v/>
      </c>
      <c r="AZ110" s="22" t="str">
        <f t="shared" si="412"/>
        <v/>
      </c>
      <c r="BA110" s="22" t="str">
        <f t="shared" si="412"/>
        <v/>
      </c>
      <c r="BB110" s="22" t="str">
        <f t="shared" si="412"/>
        <v/>
      </c>
      <c r="BC110" s="22"/>
      <c r="BD110" s="22" t="str">
        <f t="shared" ref="BD110:BG110" si="413">if(BC21=0,"",BD21/BC21-1)</f>
        <v/>
      </c>
      <c r="BE110" s="22" t="str">
        <f t="shared" si="413"/>
        <v/>
      </c>
      <c r="BF110" s="22" t="str">
        <f t="shared" si="413"/>
        <v/>
      </c>
      <c r="BG110" s="22" t="str">
        <f t="shared" si="413"/>
        <v/>
      </c>
      <c r="BH110" s="22"/>
      <c r="BI110" s="22" t="str">
        <f t="shared" ref="BI110:BK110" si="414">if(BH21=0,"",BI21/BH21-1)</f>
        <v/>
      </c>
      <c r="BJ110" s="22" t="str">
        <f t="shared" si="414"/>
        <v/>
      </c>
      <c r="BK110" s="22" t="str">
        <f t="shared" si="414"/>
        <v/>
      </c>
      <c r="BL110" s="22"/>
      <c r="BM110" s="22" t="str">
        <f t="shared" ref="BM110:BO110" si="415">if(BL21=0,"",BM21/BL21-1)</f>
        <v/>
      </c>
      <c r="BN110" s="22" t="str">
        <f t="shared" si="415"/>
        <v/>
      </c>
      <c r="BO110" s="22" t="str">
        <f t="shared" si="415"/>
        <v/>
      </c>
      <c r="BP110" s="22"/>
      <c r="BQ110" s="22" t="str">
        <f t="shared" ref="BQ110:BR110" si="416">if(BP21=0,"",BQ21/BP21-1)</f>
        <v/>
      </c>
      <c r="BR110" s="22" t="str">
        <f t="shared" si="416"/>
        <v/>
      </c>
      <c r="BS110" s="22"/>
      <c r="BT110" s="22" t="str">
        <f t="shared" ref="BT110:BV110" si="417">if(BS21=0,"",BT21/BS21-1)</f>
        <v/>
      </c>
      <c r="BU110" s="22" t="str">
        <f t="shared" si="417"/>
        <v/>
      </c>
      <c r="BV110" s="22" t="str">
        <f t="shared" si="417"/>
        <v/>
      </c>
    </row>
    <row r="111" ht="15.75" customHeight="1">
      <c r="A111" s="7" t="s">
        <v>72</v>
      </c>
      <c r="E111" s="22" t="str">
        <f t="shared" ref="E111:H111" si="418">if(D22=0,"",E22/D22-1)</f>
        <v/>
      </c>
      <c r="F111" s="22" t="str">
        <f t="shared" si="418"/>
        <v/>
      </c>
      <c r="G111" s="22" t="str">
        <f t="shared" si="418"/>
        <v/>
      </c>
      <c r="H111" s="22" t="str">
        <f t="shared" si="418"/>
        <v/>
      </c>
      <c r="I111" s="22"/>
      <c r="J111" s="22"/>
      <c r="K111" s="22">
        <f t="shared" ref="K111:N111" si="419">if(J22=0,"",K22/J22-1)</f>
        <v>0.0001739508589</v>
      </c>
      <c r="L111" s="22">
        <f t="shared" si="419"/>
        <v>0</v>
      </c>
      <c r="M111" s="22">
        <f t="shared" si="419"/>
        <v>0</v>
      </c>
      <c r="N111" s="22">
        <f t="shared" si="419"/>
        <v>0</v>
      </c>
      <c r="O111" s="22"/>
      <c r="P111" s="22"/>
      <c r="Q111" s="22">
        <f t="shared" ref="Q111:T111" si="420">if(P22=0,"",Q22/P22-1)</f>
        <v>0.0001789899336</v>
      </c>
      <c r="R111" s="22">
        <f t="shared" si="420"/>
        <v>0.0002099540057</v>
      </c>
      <c r="S111" s="22">
        <f t="shared" si="420"/>
        <v>0</v>
      </c>
      <c r="T111" s="22">
        <f t="shared" si="420"/>
        <v>0.0001252356687</v>
      </c>
      <c r="U111" s="22"/>
      <c r="V111" s="22" t="str">
        <f t="shared" ref="V111:Y111" si="421">if(U22=0,"",V22/U22-1)</f>
        <v/>
      </c>
      <c r="W111" s="22">
        <f t="shared" si="421"/>
        <v>0</v>
      </c>
      <c r="X111" s="22">
        <f t="shared" si="421"/>
        <v>0</v>
      </c>
      <c r="Y111" s="22">
        <f t="shared" si="421"/>
        <v>0</v>
      </c>
      <c r="Z111" s="22"/>
      <c r="AA111" s="22"/>
      <c r="AB111" s="22" t="str">
        <f t="shared" ref="AB111:AD111" si="422">if(AA22=0,"",AB22/AA22-1)</f>
        <v/>
      </c>
      <c r="AC111" s="22">
        <f t="shared" si="422"/>
        <v>0</v>
      </c>
      <c r="AD111" s="22">
        <f t="shared" si="422"/>
        <v>0</v>
      </c>
      <c r="AE111" s="22"/>
      <c r="AF111" s="22" t="str">
        <f t="shared" si="280"/>
        <v/>
      </c>
      <c r="AG111" s="22"/>
      <c r="AH111" s="22">
        <f t="shared" si="310"/>
        <v>0</v>
      </c>
      <c r="AI111" s="22"/>
      <c r="AJ111" s="22" t="str">
        <f t="shared" si="265"/>
        <v/>
      </c>
      <c r="AK111" s="22"/>
      <c r="AL111" s="22"/>
      <c r="AM111" s="22" t="str">
        <f t="shared" ref="AM111:AO111" si="423">if(AL22=0,"",AM22/AL22-1)</f>
        <v/>
      </c>
      <c r="AN111" s="22">
        <f t="shared" si="423"/>
        <v>0</v>
      </c>
      <c r="AO111" s="22">
        <f t="shared" si="423"/>
        <v>0</v>
      </c>
      <c r="AP111" s="22"/>
      <c r="AQ111" s="22" t="str">
        <f t="shared" ref="AQ111:AS111" si="424">if(AP22=0,"",AQ22/AP22-1)</f>
        <v/>
      </c>
      <c r="AR111" s="22">
        <f t="shared" si="424"/>
        <v>0</v>
      </c>
      <c r="AS111" s="22">
        <f t="shared" si="424"/>
        <v>0</v>
      </c>
      <c r="AT111" s="22"/>
      <c r="AU111" s="22" t="str">
        <f t="shared" ref="AU111:AW111" si="425">if(AT22=0,"",AU22/AT22-1)</f>
        <v/>
      </c>
      <c r="AV111" s="22">
        <f t="shared" si="425"/>
        <v>0</v>
      </c>
      <c r="AW111" s="22">
        <f t="shared" si="425"/>
        <v>0</v>
      </c>
      <c r="AX111" s="22"/>
      <c r="AY111" s="22" t="str">
        <f t="shared" ref="AY111:BB111" si="426">if(AX22=0,"",AY22/AX22-1)</f>
        <v/>
      </c>
      <c r="AZ111" s="22">
        <f t="shared" si="426"/>
        <v>0</v>
      </c>
      <c r="BA111" s="22">
        <f t="shared" si="426"/>
        <v>0</v>
      </c>
      <c r="BB111" s="22">
        <f t="shared" si="426"/>
        <v>1.12693801</v>
      </c>
      <c r="BC111" s="22"/>
      <c r="BD111" s="22" t="str">
        <f t="shared" ref="BD111:BG111" si="427">if(BC22=0,"",BD22/BC22-1)</f>
        <v/>
      </c>
      <c r="BE111" s="22">
        <f t="shared" si="427"/>
        <v>0</v>
      </c>
      <c r="BF111" s="22">
        <f t="shared" si="427"/>
        <v>0</v>
      </c>
      <c r="BG111" s="22">
        <f t="shared" si="427"/>
        <v>0</v>
      </c>
      <c r="BH111" s="22"/>
      <c r="BI111" s="22" t="str">
        <f t="shared" ref="BI111:BK111" si="428">if(BH22=0,"",BI22/BH22-1)</f>
        <v/>
      </c>
      <c r="BJ111" s="22">
        <f t="shared" si="428"/>
        <v>0</v>
      </c>
      <c r="BK111" s="22">
        <f t="shared" si="428"/>
        <v>-0.8</v>
      </c>
      <c r="BL111" s="22"/>
      <c r="BM111" s="22" t="str">
        <f t="shared" ref="BM111:BO111" si="429">if(BL22=0,"",BM22/BL22-1)</f>
        <v/>
      </c>
      <c r="BN111" s="22">
        <f t="shared" si="429"/>
        <v>0</v>
      </c>
      <c r="BO111" s="22">
        <f t="shared" si="429"/>
        <v>0</v>
      </c>
      <c r="BP111" s="22"/>
      <c r="BQ111" s="22" t="str">
        <f t="shared" ref="BQ111:BR111" si="430">if(BP22=0,"",BQ22/BP22-1)</f>
        <v/>
      </c>
      <c r="BR111" s="22">
        <f t="shared" si="430"/>
        <v>0</v>
      </c>
      <c r="BS111" s="22"/>
      <c r="BT111" s="22" t="str">
        <f t="shared" ref="BT111:BV111" si="431">if(BS22=0,"",BT22/BS22-1)</f>
        <v/>
      </c>
      <c r="BU111" s="22">
        <f t="shared" si="431"/>
        <v>0</v>
      </c>
      <c r="BV111" s="22">
        <f t="shared" si="431"/>
        <v>0</v>
      </c>
    </row>
    <row r="112" ht="15.75" customHeight="1">
      <c r="A112" s="7" t="s">
        <v>73</v>
      </c>
      <c r="E112" s="22" t="str">
        <f t="shared" ref="E112:H112" si="432">if(D23=0,"",E23/D23-1)</f>
        <v/>
      </c>
      <c r="F112" s="22" t="str">
        <f t="shared" si="432"/>
        <v/>
      </c>
      <c r="G112" s="22" t="str">
        <f t="shared" si="432"/>
        <v/>
      </c>
      <c r="H112" s="22" t="str">
        <f t="shared" si="432"/>
        <v/>
      </c>
      <c r="I112" s="22"/>
      <c r="J112" s="22"/>
      <c r="K112" s="22" t="str">
        <f t="shared" ref="K112:N112" si="433">if(J23=0,"",K23/J23-1)</f>
        <v/>
      </c>
      <c r="L112" s="22" t="str">
        <f t="shared" si="433"/>
        <v/>
      </c>
      <c r="M112" s="22">
        <f t="shared" si="433"/>
        <v>-4.304234131</v>
      </c>
      <c r="N112" s="22">
        <f t="shared" si="433"/>
        <v>-1</v>
      </c>
      <c r="O112" s="22"/>
      <c r="P112" s="22"/>
      <c r="Q112" s="22">
        <f t="shared" ref="Q112:T112" si="434">if(P23=0,"",Q23/P23-1)</f>
        <v>0.07611841352</v>
      </c>
      <c r="R112" s="22">
        <f t="shared" si="434"/>
        <v>-0.8330687951</v>
      </c>
      <c r="S112" s="22">
        <f t="shared" si="434"/>
        <v>-0.2431910026</v>
      </c>
      <c r="T112" s="22">
        <f t="shared" si="434"/>
        <v>2.259131003</v>
      </c>
      <c r="U112" s="22"/>
      <c r="V112" s="22" t="str">
        <f t="shared" ref="V112:Y112" si="435">if(U23=0,"",V23/U23-1)</f>
        <v/>
      </c>
      <c r="W112" s="22" t="str">
        <f t="shared" si="435"/>
        <v/>
      </c>
      <c r="X112" s="22" t="str">
        <f t="shared" si="435"/>
        <v/>
      </c>
      <c r="Y112" s="22" t="str">
        <f t="shared" si="435"/>
        <v/>
      </c>
      <c r="Z112" s="22"/>
      <c r="AA112" s="22"/>
      <c r="AB112" s="22" t="str">
        <f t="shared" ref="AB112:AD112" si="436">if(AA23=0,"",AB23/AA23-1)</f>
        <v/>
      </c>
      <c r="AC112" s="22" t="str">
        <f t="shared" si="436"/>
        <v/>
      </c>
      <c r="AD112" s="22" t="str">
        <f t="shared" si="436"/>
        <v/>
      </c>
      <c r="AE112" s="22"/>
      <c r="AF112" s="22" t="str">
        <f t="shared" si="280"/>
        <v/>
      </c>
      <c r="AG112" s="22"/>
      <c r="AH112" s="22">
        <f t="shared" si="310"/>
        <v>-0.00001888274711</v>
      </c>
      <c r="AI112" s="22"/>
      <c r="AJ112" s="22" t="str">
        <f t="shared" si="265"/>
        <v/>
      </c>
      <c r="AK112" s="22"/>
      <c r="AL112" s="22"/>
      <c r="AM112" s="22" t="str">
        <f t="shared" ref="AM112:AO112" si="437">if(AL23=0,"",AM23/AL23-1)</f>
        <v/>
      </c>
      <c r="AN112" s="22" t="str">
        <f t="shared" si="437"/>
        <v/>
      </c>
      <c r="AO112" s="22" t="str">
        <f t="shared" si="437"/>
        <v/>
      </c>
      <c r="AP112" s="22"/>
      <c r="AQ112" s="22" t="str">
        <f t="shared" ref="AQ112:AS112" si="438">if(AP23=0,"",AQ23/AP23-1)</f>
        <v/>
      </c>
      <c r="AR112" s="22">
        <f t="shared" si="438"/>
        <v>0</v>
      </c>
      <c r="AS112" s="22">
        <f t="shared" si="438"/>
        <v>0</v>
      </c>
      <c r="AT112" s="22"/>
      <c r="AU112" s="22" t="str">
        <f t="shared" ref="AU112:AW112" si="439">if(AT23=0,"",AU23/AT23-1)</f>
        <v/>
      </c>
      <c r="AV112" s="22">
        <f t="shared" si="439"/>
        <v>0</v>
      </c>
      <c r="AW112" s="22">
        <f t="shared" si="439"/>
        <v>0.5610008166</v>
      </c>
      <c r="AX112" s="22"/>
      <c r="AY112" s="22" t="str">
        <f t="shared" ref="AY112:BB112" si="440">if(AX23=0,"",AY23/AX23-1)</f>
        <v/>
      </c>
      <c r="AZ112" s="22">
        <f t="shared" si="440"/>
        <v>-0.4888134333</v>
      </c>
      <c r="BA112" s="22">
        <f t="shared" si="440"/>
        <v>1.914264076</v>
      </c>
      <c r="BB112" s="22">
        <f t="shared" si="440"/>
        <v>-0.6316305049</v>
      </c>
      <c r="BC112" s="22"/>
      <c r="BD112" s="22" t="str">
        <f t="shared" ref="BD112:BG112" si="441">if(BC23=0,"",BD23/BC23-1)</f>
        <v/>
      </c>
      <c r="BE112" s="22">
        <f t="shared" si="441"/>
        <v>-0.07717533842</v>
      </c>
      <c r="BF112" s="22">
        <f t="shared" si="441"/>
        <v>-0.1600507977</v>
      </c>
      <c r="BG112" s="22">
        <f t="shared" si="441"/>
        <v>-0.3654987317</v>
      </c>
      <c r="BH112" s="22"/>
      <c r="BI112" s="22" t="str">
        <f t="shared" ref="BI112:BK112" si="442">if(BH23=0,"",BI23/BH23-1)</f>
        <v/>
      </c>
      <c r="BJ112" s="22">
        <f t="shared" si="442"/>
        <v>-1</v>
      </c>
      <c r="BK112" s="22" t="str">
        <f t="shared" si="442"/>
        <v/>
      </c>
      <c r="BL112" s="22"/>
      <c r="BM112" s="22" t="str">
        <f t="shared" ref="BM112:BO112" si="443">if(BL23=0,"",BM23/BL23-1)</f>
        <v/>
      </c>
      <c r="BN112" s="22">
        <f t="shared" si="443"/>
        <v>0</v>
      </c>
      <c r="BO112" s="22">
        <f t="shared" si="443"/>
        <v>0</v>
      </c>
      <c r="BP112" s="22"/>
      <c r="BQ112" s="22" t="str">
        <f t="shared" ref="BQ112:BR112" si="444">if(BP23=0,"",BQ23/BP23-1)</f>
        <v/>
      </c>
      <c r="BR112" s="22" t="str">
        <f t="shared" si="444"/>
        <v/>
      </c>
      <c r="BS112" s="22"/>
      <c r="BT112" s="22" t="str">
        <f t="shared" ref="BT112:BV112" si="445">if(BS23=0,"",BT23/BS23-1)</f>
        <v/>
      </c>
      <c r="BU112" s="22" t="str">
        <f t="shared" si="445"/>
        <v/>
      </c>
      <c r="BV112" s="22" t="str">
        <f t="shared" si="445"/>
        <v/>
      </c>
    </row>
    <row r="113" ht="15.75" customHeight="1">
      <c r="A113" s="7" t="s">
        <v>74</v>
      </c>
      <c r="E113" s="22" t="str">
        <f t="shared" ref="E113:H113" si="446">if(D24=0,"",E24/D24-1)</f>
        <v/>
      </c>
      <c r="F113" s="22" t="str">
        <f t="shared" si="446"/>
        <v/>
      </c>
      <c r="G113" s="22" t="str">
        <f t="shared" si="446"/>
        <v/>
      </c>
      <c r="H113" s="22" t="str">
        <f t="shared" si="446"/>
        <v/>
      </c>
      <c r="I113" s="22"/>
      <c r="J113" s="22"/>
      <c r="K113" s="22">
        <f t="shared" ref="K113:N113" si="447">if(J24=0,"",K24/J24-1)</f>
        <v>0.04744074323</v>
      </c>
      <c r="L113" s="22">
        <f t="shared" si="447"/>
        <v>0.04764727506</v>
      </c>
      <c r="M113" s="22">
        <f t="shared" si="447"/>
        <v>0.0229868581</v>
      </c>
      <c r="N113" s="22">
        <f t="shared" si="447"/>
        <v>0</v>
      </c>
      <c r="O113" s="22"/>
      <c r="P113" s="22"/>
      <c r="Q113" s="22">
        <f t="shared" ref="Q113:T113" si="448">if(P24=0,"",Q24/P24-1)</f>
        <v>0.04559078517</v>
      </c>
      <c r="R113" s="22">
        <f t="shared" si="448"/>
        <v>0.06554188318</v>
      </c>
      <c r="S113" s="22">
        <f t="shared" si="448"/>
        <v>0.02184141076</v>
      </c>
      <c r="T113" s="22">
        <f t="shared" si="448"/>
        <v>0.08749759331</v>
      </c>
      <c r="U113" s="22"/>
      <c r="V113" s="22" t="str">
        <f t="shared" ref="V113:Y113" si="449">if(U24=0,"",V24/U24-1)</f>
        <v/>
      </c>
      <c r="W113" s="22">
        <f t="shared" si="449"/>
        <v>0</v>
      </c>
      <c r="X113" s="22">
        <f t="shared" si="449"/>
        <v>0.6733948293</v>
      </c>
      <c r="Y113" s="22">
        <f t="shared" si="449"/>
        <v>0</v>
      </c>
      <c r="Z113" s="22"/>
      <c r="AA113" s="22"/>
      <c r="AB113" s="22" t="str">
        <f t="shared" ref="AB113:AD113" si="450">if(AA24=0,"",AB24/AA24-1)</f>
        <v/>
      </c>
      <c r="AC113" s="22" t="str">
        <f t="shared" si="450"/>
        <v/>
      </c>
      <c r="AD113" s="22" t="str">
        <f t="shared" si="450"/>
        <v/>
      </c>
      <c r="AE113" s="22"/>
      <c r="AF113" s="22" t="str">
        <f t="shared" si="280"/>
        <v/>
      </c>
      <c r="AG113" s="22"/>
      <c r="AH113" s="22">
        <f t="shared" si="310"/>
        <v>0</v>
      </c>
      <c r="AI113" s="22"/>
      <c r="AJ113" s="22" t="str">
        <f t="shared" si="265"/>
        <v/>
      </c>
      <c r="AK113" s="22"/>
      <c r="AL113" s="22"/>
      <c r="AM113" s="22" t="str">
        <f t="shared" ref="AM113:AO113" si="451">if(AL24=0,"",AM24/AL24-1)</f>
        <v/>
      </c>
      <c r="AN113" s="22">
        <f t="shared" si="451"/>
        <v>0.8054257831</v>
      </c>
      <c r="AO113" s="22">
        <f t="shared" si="451"/>
        <v>0</v>
      </c>
      <c r="AP113" s="22"/>
      <c r="AQ113" s="22" t="str">
        <f t="shared" ref="AQ113:AS113" si="452">if(AP24=0,"",AQ24/AP24-1)</f>
        <v/>
      </c>
      <c r="AR113" s="22">
        <f t="shared" si="452"/>
        <v>0.1837705591</v>
      </c>
      <c r="AS113" s="22">
        <f t="shared" si="452"/>
        <v>0</v>
      </c>
      <c r="AT113" s="22"/>
      <c r="AU113" s="22" t="str">
        <f t="shared" ref="AU113:AW113" si="453">if(AT24=0,"",AU24/AT24-1)</f>
        <v/>
      </c>
      <c r="AV113" s="22">
        <f t="shared" si="453"/>
        <v>0.5513701589</v>
      </c>
      <c r="AW113" s="22">
        <f t="shared" si="453"/>
        <v>0.5204543113</v>
      </c>
      <c r="AX113" s="22"/>
      <c r="AY113" s="22" t="str">
        <f t="shared" ref="AY113:BB113" si="454">if(AX24=0,"",AY24/AX24-1)</f>
        <v/>
      </c>
      <c r="AZ113" s="22">
        <f t="shared" si="454"/>
        <v>0.6894463863</v>
      </c>
      <c r="BA113" s="22">
        <f t="shared" si="454"/>
        <v>-0.4080901246</v>
      </c>
      <c r="BB113" s="22">
        <f t="shared" si="454"/>
        <v>1.575592162</v>
      </c>
      <c r="BC113" s="22"/>
      <c r="BD113" s="22" t="str">
        <f t="shared" ref="BD113:BG113" si="455">if(BC24=0,"",BD24/BC24-1)</f>
        <v/>
      </c>
      <c r="BE113" s="22">
        <f t="shared" si="455"/>
        <v>0.04500724064</v>
      </c>
      <c r="BF113" s="22">
        <f t="shared" si="455"/>
        <v>0.0768167222</v>
      </c>
      <c r="BG113" s="22">
        <f t="shared" si="455"/>
        <v>0.1228359204</v>
      </c>
      <c r="BH113" s="22"/>
      <c r="BI113" s="22" t="str">
        <f t="shared" ref="BI113:BK113" si="456">if(BH24=0,"",BI24/BH24-1)</f>
        <v/>
      </c>
      <c r="BJ113" s="22" t="str">
        <f t="shared" si="456"/>
        <v/>
      </c>
      <c r="BK113" s="22" t="str">
        <f t="shared" si="456"/>
        <v/>
      </c>
      <c r="BL113" s="22"/>
      <c r="BM113" s="22" t="str">
        <f t="shared" ref="BM113:BO113" si="457">if(BL24=0,"",BM24/BL24-1)</f>
        <v/>
      </c>
      <c r="BN113" s="22">
        <f t="shared" si="457"/>
        <v>0.3599880717</v>
      </c>
      <c r="BO113" s="22">
        <f t="shared" si="457"/>
        <v>0.1925692564</v>
      </c>
      <c r="BP113" s="22"/>
      <c r="BQ113" s="22" t="str">
        <f t="shared" ref="BQ113:BR113" si="458">if(BP24=0,"",BQ24/BP24-1)</f>
        <v/>
      </c>
      <c r="BR113" s="22" t="str">
        <f t="shared" si="458"/>
        <v/>
      </c>
      <c r="BS113" s="22"/>
      <c r="BT113" s="22" t="str">
        <f t="shared" ref="BT113:BV113" si="459">if(BS24=0,"",BT24/BS24-1)</f>
        <v/>
      </c>
      <c r="BU113" s="22">
        <f t="shared" si="459"/>
        <v>0.491405459</v>
      </c>
      <c r="BV113" s="22">
        <f t="shared" si="459"/>
        <v>0.2412415135</v>
      </c>
    </row>
    <row r="114" ht="15.75" customHeight="1">
      <c r="A114" s="7" t="s">
        <v>75</v>
      </c>
      <c r="E114" s="22">
        <f t="shared" ref="E114:H114" si="460">if(D25=0,"",E25/D25-1)</f>
        <v>0.202008579</v>
      </c>
      <c r="F114" s="22">
        <f t="shared" si="460"/>
        <v>0.3040076458</v>
      </c>
      <c r="G114" s="22">
        <f t="shared" si="460"/>
        <v>0.2770045528</v>
      </c>
      <c r="H114" s="22">
        <f t="shared" si="460"/>
        <v>0.3569119766</v>
      </c>
      <c r="I114" s="22"/>
      <c r="J114" s="22"/>
      <c r="K114" s="22">
        <f t="shared" ref="K114:N114" si="461">if(J25=0,"",K25/J25-1)</f>
        <v>0.0659023729</v>
      </c>
      <c r="L114" s="22">
        <f t="shared" si="461"/>
        <v>0.1836417409</v>
      </c>
      <c r="M114" s="22">
        <f t="shared" si="461"/>
        <v>0.01682976706</v>
      </c>
      <c r="N114" s="22">
        <f t="shared" si="461"/>
        <v>-0.07092892444</v>
      </c>
      <c r="O114" s="22"/>
      <c r="P114" s="22"/>
      <c r="Q114" s="22">
        <f t="shared" ref="Q114:T114" si="462">if(P25=0,"",Q25/P25-1)</f>
        <v>-0.3541621527</v>
      </c>
      <c r="R114" s="22">
        <f t="shared" si="462"/>
        <v>-1.196250021</v>
      </c>
      <c r="S114" s="22">
        <f t="shared" si="462"/>
        <v>23.27083738</v>
      </c>
      <c r="T114" s="22">
        <f t="shared" si="462"/>
        <v>-1.518971427</v>
      </c>
      <c r="U114" s="22"/>
      <c r="V114" s="22" t="str">
        <f t="shared" ref="V114:Y114" si="463">if(U25=0,"",V25/U25-1)</f>
        <v/>
      </c>
      <c r="W114" s="22">
        <f t="shared" si="463"/>
        <v>-30.61502289</v>
      </c>
      <c r="X114" s="22">
        <f t="shared" si="463"/>
        <v>-0.2532752292</v>
      </c>
      <c r="Y114" s="22">
        <f t="shared" si="463"/>
        <v>-0.5682174715</v>
      </c>
      <c r="Z114" s="22"/>
      <c r="AA114" s="22"/>
      <c r="AB114" s="22" t="str">
        <f t="shared" ref="AB114:AD114" si="464">if(AA25=0,"",AB25/AA25-1)</f>
        <v/>
      </c>
      <c r="AC114" s="22">
        <f t="shared" si="464"/>
        <v>0.05529247219</v>
      </c>
      <c r="AD114" s="22">
        <f t="shared" si="464"/>
        <v>-0.1928078124</v>
      </c>
      <c r="AE114" s="22"/>
      <c r="AF114" s="22" t="str">
        <f t="shared" si="280"/>
        <v/>
      </c>
      <c r="AG114" s="22"/>
      <c r="AH114" s="22">
        <f t="shared" si="310"/>
        <v>0.001776567978</v>
      </c>
      <c r="AI114" s="22"/>
      <c r="AJ114" s="22" t="str">
        <f t="shared" si="265"/>
        <v/>
      </c>
      <c r="AK114" s="22"/>
      <c r="AL114" s="22"/>
      <c r="AM114" s="22" t="str">
        <f t="shared" ref="AM114:AO114" si="465">if(AL25=0,"",AM25/AL25-1)</f>
        <v/>
      </c>
      <c r="AN114" s="22">
        <f t="shared" si="465"/>
        <v>0.2982803972</v>
      </c>
      <c r="AO114" s="22">
        <f t="shared" si="465"/>
        <v>-0.02979999207</v>
      </c>
      <c r="AP114" s="22"/>
      <c r="AQ114" s="22" t="str">
        <f t="shared" ref="AQ114:AS114" si="466">if(AP25=0,"",AQ25/AP25-1)</f>
        <v/>
      </c>
      <c r="AR114" s="22">
        <f t="shared" si="466"/>
        <v>0.1309121369</v>
      </c>
      <c r="AS114" s="22">
        <f t="shared" si="466"/>
        <v>0.09418628421</v>
      </c>
      <c r="AT114" s="22"/>
      <c r="AU114" s="22" t="str">
        <f t="shared" ref="AU114:AW114" si="467">if(AT25=0,"",AU25/AT25-1)</f>
        <v/>
      </c>
      <c r="AV114" s="22">
        <f t="shared" si="467"/>
        <v>1.05589533</v>
      </c>
      <c r="AW114" s="22">
        <f t="shared" si="467"/>
        <v>-0.2504886771</v>
      </c>
      <c r="AX114" s="22"/>
      <c r="AY114" s="22" t="str">
        <f t="shared" ref="AY114:BB114" si="468">if(AX25=0,"",AY25/AX25-1)</f>
        <v/>
      </c>
      <c r="AZ114" s="22">
        <f t="shared" si="468"/>
        <v>0.7945057903</v>
      </c>
      <c r="BA114" s="22">
        <f t="shared" si="468"/>
        <v>2.012627602</v>
      </c>
      <c r="BB114" s="22">
        <f t="shared" si="468"/>
        <v>1.209987129</v>
      </c>
      <c r="BC114" s="22"/>
      <c r="BD114" s="22" t="str">
        <f t="shared" ref="BD114:BG114" si="469">if(BC25=0,"",BD25/BC25-1)</f>
        <v/>
      </c>
      <c r="BE114" s="22">
        <f t="shared" si="469"/>
        <v>-0.3169513083</v>
      </c>
      <c r="BF114" s="22">
        <f t="shared" si="469"/>
        <v>-2.117057199</v>
      </c>
      <c r="BG114" s="22">
        <f t="shared" si="469"/>
        <v>-0.05773687095</v>
      </c>
      <c r="BH114" s="22"/>
      <c r="BI114" s="22" t="str">
        <f t="shared" ref="BI114:BK114" si="470">if(BH25=0,"",BI25/BH25-1)</f>
        <v/>
      </c>
      <c r="BJ114" s="22">
        <f t="shared" si="470"/>
        <v>0.114048706</v>
      </c>
      <c r="BK114" s="22">
        <f t="shared" si="470"/>
        <v>-1.048185962</v>
      </c>
      <c r="BL114" s="22"/>
      <c r="BM114" s="22" t="str">
        <f t="shared" ref="BM114:BO114" si="471">if(BL25=0,"",BM25/BL25-1)</f>
        <v/>
      </c>
      <c r="BN114" s="22">
        <f t="shared" si="471"/>
        <v>0.2836339855</v>
      </c>
      <c r="BO114" s="22">
        <f t="shared" si="471"/>
        <v>0.3478471197</v>
      </c>
      <c r="BP114" s="22"/>
      <c r="BQ114" s="22" t="str">
        <f t="shared" ref="BQ114:BR114" si="472">if(BP25=0,"",BQ25/BP25-1)</f>
        <v/>
      </c>
      <c r="BR114" s="22">
        <f t="shared" si="472"/>
        <v>4.491338975</v>
      </c>
      <c r="BS114" s="22"/>
      <c r="BT114" s="22" t="str">
        <f t="shared" ref="BT114:BV114" si="473">if(BS25=0,"",BT25/BS25-1)</f>
        <v/>
      </c>
      <c r="BU114" s="22">
        <f t="shared" si="473"/>
        <v>-0.3665984273</v>
      </c>
      <c r="BV114" s="22">
        <f t="shared" si="473"/>
        <v>0.5903450883</v>
      </c>
    </row>
    <row r="115" ht="15.75" customHeight="1">
      <c r="A115" s="7" t="s">
        <v>76</v>
      </c>
      <c r="E115" s="22">
        <f t="shared" ref="E115:H115" si="474">if(D26=0,"",E26/D26-1)</f>
        <v>0.2020057586</v>
      </c>
      <c r="F115" s="22">
        <f t="shared" si="474"/>
        <v>0.3040041147</v>
      </c>
      <c r="G115" s="22">
        <f t="shared" si="474"/>
        <v>0.2770020853</v>
      </c>
      <c r="H115" s="22">
        <f t="shared" si="474"/>
        <v>0.356909487</v>
      </c>
      <c r="I115" s="22"/>
      <c r="J115" s="22"/>
      <c r="K115" s="22">
        <f t="shared" ref="K115:N115" si="475">if(J26=0,"",K26/J26-1)</f>
        <v>0.04792534859</v>
      </c>
      <c r="L115" s="22">
        <f t="shared" si="475"/>
        <v>0.1158040273</v>
      </c>
      <c r="M115" s="22">
        <f t="shared" si="475"/>
        <v>0.06942606931</v>
      </c>
      <c r="N115" s="22">
        <f t="shared" si="475"/>
        <v>-0.08955095779</v>
      </c>
      <c r="O115" s="22"/>
      <c r="P115" s="22"/>
      <c r="Q115" s="22">
        <f t="shared" ref="Q115:T115" si="476">if(P26=0,"",Q26/P26-1)</f>
        <v>0.0126963285</v>
      </c>
      <c r="R115" s="22">
        <f t="shared" si="476"/>
        <v>0.01055899244</v>
      </c>
      <c r="S115" s="22">
        <f t="shared" si="476"/>
        <v>0.06145815233</v>
      </c>
      <c r="T115" s="22">
        <f t="shared" si="476"/>
        <v>-0.01628045706</v>
      </c>
      <c r="U115" s="22"/>
      <c r="V115" s="22" t="str">
        <f t="shared" ref="V115:Y115" si="477">if(U26=0,"",V26/U26-1)</f>
        <v/>
      </c>
      <c r="W115" s="22">
        <f t="shared" si="477"/>
        <v>-0.1256900787</v>
      </c>
      <c r="X115" s="22">
        <f t="shared" si="477"/>
        <v>0.03777489778</v>
      </c>
      <c r="Y115" s="22">
        <f t="shared" si="477"/>
        <v>0.05685714593</v>
      </c>
      <c r="Z115" s="22"/>
      <c r="AA115" s="22"/>
      <c r="AB115" s="22" t="str">
        <f t="shared" ref="AB115:AD115" si="478">if(AA26=0,"",AB26/AA26-1)</f>
        <v/>
      </c>
      <c r="AC115" s="22">
        <f t="shared" si="478"/>
        <v>0.02443321313</v>
      </c>
      <c r="AD115" s="22">
        <f t="shared" si="478"/>
        <v>0.07447466812</v>
      </c>
      <c r="AE115" s="22"/>
      <c r="AF115" s="22" t="str">
        <f t="shared" si="280"/>
        <v/>
      </c>
      <c r="AG115" s="22"/>
      <c r="AH115" s="22">
        <f t="shared" si="310"/>
        <v>0.00009968732165</v>
      </c>
      <c r="AI115" s="22"/>
      <c r="AJ115" s="22" t="str">
        <f t="shared" si="265"/>
        <v/>
      </c>
      <c r="AK115" s="22"/>
      <c r="AL115" s="22"/>
      <c r="AM115" s="22" t="str">
        <f t="shared" ref="AM115:AO115" si="479">if(AL26=0,"",AM26/AL26-1)</f>
        <v/>
      </c>
      <c r="AN115" s="22">
        <f t="shared" si="479"/>
        <v>0.1345943967</v>
      </c>
      <c r="AO115" s="22">
        <f t="shared" si="479"/>
        <v>-0.01444153463</v>
      </c>
      <c r="AP115" s="22"/>
      <c r="AQ115" s="22" t="str">
        <f t="shared" ref="AQ115:AS115" si="480">if(AP26=0,"",AQ26/AP26-1)</f>
        <v/>
      </c>
      <c r="AR115" s="22">
        <f t="shared" si="480"/>
        <v>0.06473574788</v>
      </c>
      <c r="AS115" s="22">
        <f t="shared" si="480"/>
        <v>0.0436708905</v>
      </c>
      <c r="AT115" s="22"/>
      <c r="AU115" s="22" t="str">
        <f t="shared" ref="AU115:AW115" si="481">if(AT26=0,"",AU26/AT26-1)</f>
        <v/>
      </c>
      <c r="AV115" s="22">
        <f t="shared" si="481"/>
        <v>0.1641112367</v>
      </c>
      <c r="AW115" s="22">
        <f t="shared" si="481"/>
        <v>-0.02499657548</v>
      </c>
      <c r="AX115" s="22"/>
      <c r="AY115" s="22" t="str">
        <f t="shared" ref="AY115:BB115" si="482">if(AX26=0,"",AY26/AX26-1)</f>
        <v/>
      </c>
      <c r="AZ115" s="22">
        <f t="shared" si="482"/>
        <v>-0.1303656041</v>
      </c>
      <c r="BA115" s="22">
        <f t="shared" si="482"/>
        <v>0.6497007187</v>
      </c>
      <c r="BB115" s="22">
        <f t="shared" si="482"/>
        <v>0.4780295464</v>
      </c>
      <c r="BC115" s="22"/>
      <c r="BD115" s="22" t="str">
        <f t="shared" ref="BD115:BG115" si="483">if(BC26=0,"",BD26/BC26-1)</f>
        <v/>
      </c>
      <c r="BE115" s="22">
        <f t="shared" si="483"/>
        <v>-0.05221485973</v>
      </c>
      <c r="BF115" s="22">
        <f t="shared" si="483"/>
        <v>-0.06454624341</v>
      </c>
      <c r="BG115" s="22">
        <f t="shared" si="483"/>
        <v>-0.2799990652</v>
      </c>
      <c r="BH115" s="22"/>
      <c r="BI115" s="22" t="str">
        <f t="shared" ref="BI115:BK115" si="484">if(BH26=0,"",BI26/BH26-1)</f>
        <v/>
      </c>
      <c r="BJ115" s="22">
        <f t="shared" si="484"/>
        <v>-0.2922374349</v>
      </c>
      <c r="BK115" s="22">
        <f t="shared" si="484"/>
        <v>0.122130197</v>
      </c>
      <c r="BL115" s="22"/>
      <c r="BM115" s="22" t="str">
        <f t="shared" ref="BM115:BO115" si="485">if(BL26=0,"",BM26/BL26-1)</f>
        <v/>
      </c>
      <c r="BN115" s="22">
        <f t="shared" si="485"/>
        <v>0.2133753094</v>
      </c>
      <c r="BO115" s="22">
        <f t="shared" si="485"/>
        <v>0.2597040287</v>
      </c>
      <c r="BP115" s="22"/>
      <c r="BQ115" s="22" t="str">
        <f t="shared" ref="BQ115:BR115" si="486">if(BP26=0,"",BQ26/BP26-1)</f>
        <v/>
      </c>
      <c r="BR115" s="22">
        <f t="shared" si="486"/>
        <v>4.165982753</v>
      </c>
      <c r="BS115" s="22"/>
      <c r="BT115" s="22" t="str">
        <f t="shared" ref="BT115:BV115" si="487">if(BS26=0,"",BT26/BS26-1)</f>
        <v/>
      </c>
      <c r="BU115" s="22">
        <f t="shared" si="487"/>
        <v>-0.3502556186</v>
      </c>
      <c r="BV115" s="22">
        <f t="shared" si="487"/>
        <v>0.5742546391</v>
      </c>
    </row>
    <row r="116" ht="15.75" customHeight="1">
      <c r="E116" s="22" t="str">
        <f t="shared" ref="E116:H116" si="488">if(D27=0,"",E27/D27-1)</f>
        <v/>
      </c>
      <c r="F116" s="22" t="str">
        <f t="shared" si="488"/>
        <v/>
      </c>
      <c r="G116" s="22" t="str">
        <f t="shared" si="488"/>
        <v/>
      </c>
      <c r="H116" s="22" t="str">
        <f t="shared" si="488"/>
        <v/>
      </c>
      <c r="I116" s="22"/>
      <c r="J116" s="22"/>
      <c r="K116" s="22" t="str">
        <f t="shared" ref="K116:N116" si="489">if(J27=0,"",K27/J27-1)</f>
        <v/>
      </c>
      <c r="L116" s="22" t="str">
        <f t="shared" si="489"/>
        <v/>
      </c>
      <c r="M116" s="22" t="str">
        <f t="shared" si="489"/>
        <v/>
      </c>
      <c r="N116" s="22" t="str">
        <f t="shared" si="489"/>
        <v/>
      </c>
      <c r="O116" s="22"/>
      <c r="P116" s="22"/>
      <c r="Q116" s="22" t="str">
        <f t="shared" ref="Q116:T116" si="490">if(P27=0,"",Q27/P27-1)</f>
        <v/>
      </c>
      <c r="R116" s="22" t="str">
        <f t="shared" si="490"/>
        <v/>
      </c>
      <c r="S116" s="22" t="str">
        <f t="shared" si="490"/>
        <v/>
      </c>
      <c r="T116" s="22" t="str">
        <f t="shared" si="490"/>
        <v/>
      </c>
      <c r="U116" s="22"/>
      <c r="V116" s="22" t="str">
        <f t="shared" ref="V116:Y116" si="491">if(U27=0,"",V27/U27-1)</f>
        <v/>
      </c>
      <c r="W116" s="22" t="str">
        <f t="shared" si="491"/>
        <v/>
      </c>
      <c r="X116" s="22" t="str">
        <f t="shared" si="491"/>
        <v/>
      </c>
      <c r="Y116" s="22" t="str">
        <f t="shared" si="491"/>
        <v/>
      </c>
      <c r="Z116" s="22"/>
      <c r="AA116" s="22"/>
      <c r="AB116" s="22" t="str">
        <f t="shared" ref="AB116:AD116" si="492">if(AA27=0,"",AB27/AA27-1)</f>
        <v/>
      </c>
      <c r="AC116" s="22" t="str">
        <f t="shared" si="492"/>
        <v/>
      </c>
      <c r="AD116" s="22" t="str">
        <f t="shared" si="492"/>
        <v/>
      </c>
      <c r="AE116" s="22"/>
      <c r="AF116" s="22" t="str">
        <f t="shared" si="280"/>
        <v/>
      </c>
      <c r="AG116" s="22"/>
      <c r="AH116" s="22" t="str">
        <f t="shared" si="310"/>
        <v/>
      </c>
      <c r="AI116" s="22"/>
      <c r="AJ116" s="22" t="str">
        <f t="shared" si="265"/>
        <v/>
      </c>
      <c r="AK116" s="22"/>
      <c r="AL116" s="22"/>
      <c r="AM116" s="22" t="str">
        <f t="shared" ref="AM116:AO116" si="493">if(AL27=0,"",AM27/AL27-1)</f>
        <v/>
      </c>
      <c r="AN116" s="22" t="str">
        <f t="shared" si="493"/>
        <v/>
      </c>
      <c r="AO116" s="22" t="str">
        <f t="shared" si="493"/>
        <v/>
      </c>
      <c r="AP116" s="22"/>
      <c r="AQ116" s="22" t="str">
        <f t="shared" ref="AQ116:AS116" si="494">if(AP27=0,"",AQ27/AP27-1)</f>
        <v/>
      </c>
      <c r="AR116" s="22" t="str">
        <f t="shared" si="494"/>
        <v/>
      </c>
      <c r="AS116" s="22" t="str">
        <f t="shared" si="494"/>
        <v/>
      </c>
      <c r="AT116" s="22"/>
      <c r="AU116" s="22" t="str">
        <f t="shared" ref="AU116:AW116" si="495">if(AT27=0,"",AU27/AT27-1)</f>
        <v/>
      </c>
      <c r="AV116" s="22" t="str">
        <f t="shared" si="495"/>
        <v/>
      </c>
      <c r="AW116" s="22" t="str">
        <f t="shared" si="495"/>
        <v/>
      </c>
      <c r="AX116" s="22"/>
      <c r="AY116" s="22" t="str">
        <f t="shared" ref="AY116:BB116" si="496">if(AX27=0,"",AY27/AX27-1)</f>
        <v/>
      </c>
      <c r="AZ116" s="22" t="str">
        <f t="shared" si="496"/>
        <v/>
      </c>
      <c r="BA116" s="22" t="str">
        <f t="shared" si="496"/>
        <v/>
      </c>
      <c r="BB116" s="22" t="str">
        <f t="shared" si="496"/>
        <v/>
      </c>
      <c r="BC116" s="22"/>
      <c r="BD116" s="22" t="str">
        <f t="shared" ref="BD116:BG116" si="497">if(BC27=0,"",BD27/BC27-1)</f>
        <v/>
      </c>
      <c r="BE116" s="22" t="str">
        <f t="shared" si="497"/>
        <v/>
      </c>
      <c r="BF116" s="22" t="str">
        <f t="shared" si="497"/>
        <v/>
      </c>
      <c r="BG116" s="22" t="str">
        <f t="shared" si="497"/>
        <v/>
      </c>
      <c r="BH116" s="22"/>
      <c r="BI116" s="22" t="str">
        <f t="shared" ref="BI116:BK116" si="498">if(BH27=0,"",BI27/BH27-1)</f>
        <v/>
      </c>
      <c r="BJ116" s="22" t="str">
        <f t="shared" si="498"/>
        <v/>
      </c>
      <c r="BK116" s="22" t="str">
        <f t="shared" si="498"/>
        <v/>
      </c>
      <c r="BL116" s="22"/>
      <c r="BM116" s="22" t="str">
        <f t="shared" ref="BM116:BO116" si="499">if(BL27=0,"",BM27/BL27-1)</f>
        <v/>
      </c>
      <c r="BN116" s="22" t="str">
        <f t="shared" si="499"/>
        <v/>
      </c>
      <c r="BO116" s="22" t="str">
        <f t="shared" si="499"/>
        <v/>
      </c>
      <c r="BP116" s="22"/>
      <c r="BQ116" s="22" t="str">
        <f t="shared" ref="BQ116:BR116" si="500">if(BP27=0,"",BQ27/BP27-1)</f>
        <v/>
      </c>
      <c r="BR116" s="22" t="str">
        <f t="shared" si="500"/>
        <v/>
      </c>
      <c r="BS116" s="22"/>
      <c r="BT116" s="22" t="str">
        <f t="shared" ref="BT116:BV116" si="501">if(BS27=0,"",BT27/BS27-1)</f>
        <v/>
      </c>
      <c r="BU116" s="22" t="str">
        <f t="shared" si="501"/>
        <v/>
      </c>
      <c r="BV116" s="22" t="str">
        <f t="shared" si="501"/>
        <v/>
      </c>
    </row>
    <row r="117" ht="15.75" customHeight="1">
      <c r="A117" s="12" t="s">
        <v>77</v>
      </c>
      <c r="E117" s="22">
        <f t="shared" ref="E117:H117" si="502">if(D28=0,"",E28/D28-1)</f>
        <v>0.01348529392</v>
      </c>
      <c r="F117" s="22">
        <f t="shared" si="502"/>
        <v>0.3438425682</v>
      </c>
      <c r="G117" s="22">
        <f t="shared" si="502"/>
        <v>0.3810125933</v>
      </c>
      <c r="H117" s="22">
        <f t="shared" si="502"/>
        <v>-0.2951423822</v>
      </c>
      <c r="I117" s="22"/>
      <c r="J117" s="22"/>
      <c r="K117" s="22">
        <f t="shared" ref="K117:N117" si="503">if(J28=0,"",K28/J28-1)</f>
        <v>-0.3084236551</v>
      </c>
      <c r="L117" s="22">
        <f t="shared" si="503"/>
        <v>0.3462275911</v>
      </c>
      <c r="M117" s="22">
        <f t="shared" si="503"/>
        <v>-0.03864975093</v>
      </c>
      <c r="N117" s="22">
        <f t="shared" si="503"/>
        <v>-0.3869751602</v>
      </c>
      <c r="O117" s="22"/>
      <c r="P117" s="22"/>
      <c r="Q117" s="22">
        <f t="shared" ref="Q117:T117" si="504">if(P28=0,"",Q28/P28-1)</f>
        <v>-0.7360254933</v>
      </c>
      <c r="R117" s="22">
        <f t="shared" si="504"/>
        <v>0.09314323862</v>
      </c>
      <c r="S117" s="22">
        <f t="shared" si="504"/>
        <v>0.003553750822</v>
      </c>
      <c r="T117" s="22">
        <f t="shared" si="504"/>
        <v>-0.2021066233</v>
      </c>
      <c r="U117" s="22"/>
      <c r="V117" s="22" t="str">
        <f t="shared" ref="V117:Y117" si="505">if(U28=0,"",V28/U28-1)</f>
        <v/>
      </c>
      <c r="W117" s="22">
        <f t="shared" si="505"/>
        <v>7.793411044</v>
      </c>
      <c r="X117" s="22">
        <f t="shared" si="505"/>
        <v>-0.5541572471</v>
      </c>
      <c r="Y117" s="22">
        <f t="shared" si="505"/>
        <v>-0.3936780041</v>
      </c>
      <c r="Z117" s="22"/>
      <c r="AA117" s="22"/>
      <c r="AB117" s="22" t="str">
        <f t="shared" ref="AB117:AD117" si="506">if(AA28=0,"",AB28/AA28-1)</f>
        <v/>
      </c>
      <c r="AC117" s="22">
        <f t="shared" si="506"/>
        <v>-0.09730465047</v>
      </c>
      <c r="AD117" s="22">
        <f t="shared" si="506"/>
        <v>0.6037545289</v>
      </c>
      <c r="AE117" s="22"/>
      <c r="AF117" s="22" t="str">
        <f t="shared" si="280"/>
        <v/>
      </c>
      <c r="AG117" s="22"/>
      <c r="AH117" s="22" t="str">
        <f t="shared" si="310"/>
        <v/>
      </c>
      <c r="AI117" s="22"/>
      <c r="AJ117" s="22" t="str">
        <f t="shared" si="265"/>
        <v/>
      </c>
      <c r="AK117" s="22"/>
      <c r="AL117" s="22"/>
      <c r="AM117" s="22" t="str">
        <f t="shared" ref="AM117:AO117" si="507">if(AL28=0,"",AM28/AL28-1)</f>
        <v/>
      </c>
      <c r="AN117" s="22">
        <f t="shared" si="507"/>
        <v>0.1792100252</v>
      </c>
      <c r="AO117" s="22">
        <f t="shared" si="507"/>
        <v>-0.1070897698</v>
      </c>
      <c r="AP117" s="22"/>
      <c r="AQ117" s="22" t="str">
        <f t="shared" ref="AQ117:AS117" si="508">if(AP28=0,"",AQ28/AP28-1)</f>
        <v/>
      </c>
      <c r="AR117" s="22">
        <f t="shared" si="508"/>
        <v>1.060349163</v>
      </c>
      <c r="AS117" s="22">
        <f t="shared" si="508"/>
        <v>6.596774535</v>
      </c>
      <c r="AT117" s="22"/>
      <c r="AU117" s="22" t="str">
        <f t="shared" ref="AU117:AW117" si="509">if(AT28=0,"",AU28/AT28-1)</f>
        <v/>
      </c>
      <c r="AV117" s="22">
        <f t="shared" si="509"/>
        <v>-0.4204755407</v>
      </c>
      <c r="AW117" s="22">
        <f t="shared" si="509"/>
        <v>-0.008971931057</v>
      </c>
      <c r="AX117" s="22"/>
      <c r="AY117" s="22" t="str">
        <f t="shared" ref="AY117:BB117" si="510">if(AX28=0,"",AY28/AX28-1)</f>
        <v/>
      </c>
      <c r="AZ117" s="22">
        <f t="shared" si="510"/>
        <v>-0.587434927</v>
      </c>
      <c r="BA117" s="22">
        <f t="shared" si="510"/>
        <v>-0.4109835561</v>
      </c>
      <c r="BB117" s="22">
        <f t="shared" si="510"/>
        <v>0.001152318941</v>
      </c>
      <c r="BC117" s="22"/>
      <c r="BD117" s="22" t="str">
        <f t="shared" ref="BD117:BG117" si="511">if(BC28=0,"",BD28/BC28-1)</f>
        <v/>
      </c>
      <c r="BE117" s="22">
        <f t="shared" si="511"/>
        <v>-0.0144622307</v>
      </c>
      <c r="BF117" s="22">
        <f t="shared" si="511"/>
        <v>-0.08422946819</v>
      </c>
      <c r="BG117" s="22">
        <f t="shared" si="511"/>
        <v>-0.3916510591</v>
      </c>
      <c r="BH117" s="22"/>
      <c r="BI117" s="22" t="str">
        <f t="shared" ref="BI117:BK117" si="512">if(BH28=0,"",BI28/BH28-1)</f>
        <v/>
      </c>
      <c r="BJ117" s="22">
        <f t="shared" si="512"/>
        <v>-0.2037405432</v>
      </c>
      <c r="BK117" s="22">
        <f t="shared" si="512"/>
        <v>-0.04609222199</v>
      </c>
      <c r="BL117" s="22"/>
      <c r="BM117" s="22" t="str">
        <f t="shared" ref="BM117:BO117" si="513">if(BL28=0,"",BM28/BL28-1)</f>
        <v/>
      </c>
      <c r="BN117" s="22">
        <f t="shared" si="513"/>
        <v>0.06942202714</v>
      </c>
      <c r="BO117" s="22">
        <f t="shared" si="513"/>
        <v>-0.03072662551</v>
      </c>
      <c r="BP117" s="22"/>
      <c r="BQ117" s="22" t="str">
        <f t="shared" ref="BQ117:BR117" si="514">if(BP28=0,"",BQ28/BP28-1)</f>
        <v/>
      </c>
      <c r="BR117" s="22">
        <f t="shared" si="514"/>
        <v>3.614458809</v>
      </c>
      <c r="BS117" s="22"/>
      <c r="BT117" s="22" t="str">
        <f t="shared" ref="BT117:BV117" si="515">if(BS28=0,"",BT28/BS28-1)</f>
        <v/>
      </c>
      <c r="BU117" s="22">
        <f t="shared" si="515"/>
        <v>-0.4606668386</v>
      </c>
      <c r="BV117" s="22">
        <f t="shared" si="515"/>
        <v>3.306276789</v>
      </c>
    </row>
    <row r="118" ht="15.75" customHeight="1">
      <c r="A118" s="12" t="s">
        <v>78</v>
      </c>
      <c r="E118" s="22">
        <f t="shared" ref="E118:H118" si="516">if(D29=0,"",E29/D29-1)</f>
        <v>0.01348759506</v>
      </c>
      <c r="F118" s="22">
        <f t="shared" si="516"/>
        <v>0.3438429009</v>
      </c>
      <c r="G118" s="22">
        <f t="shared" si="516"/>
        <v>0.3810125933</v>
      </c>
      <c r="H118" s="22">
        <f t="shared" si="516"/>
        <v>-0.2951423822</v>
      </c>
      <c r="I118" s="22"/>
      <c r="J118" s="22"/>
      <c r="K118" s="22">
        <f t="shared" ref="K118:N118" si="517">if(J29=0,"",K29/J29-1)</f>
        <v>-0.2616894343</v>
      </c>
      <c r="L118" s="22">
        <f t="shared" si="517"/>
        <v>0.437340954</v>
      </c>
      <c r="M118" s="22">
        <f t="shared" si="517"/>
        <v>-0.04374011229</v>
      </c>
      <c r="N118" s="22">
        <f t="shared" si="517"/>
        <v>-0.443687979</v>
      </c>
      <c r="O118" s="22"/>
      <c r="P118" s="22"/>
      <c r="Q118" s="22">
        <f t="shared" ref="Q118:T118" si="518">if(P29=0,"",Q29/P29-1)</f>
        <v>-0.7956998499</v>
      </c>
      <c r="R118" s="22">
        <f t="shared" si="518"/>
        <v>0.1577555153</v>
      </c>
      <c r="S118" s="22">
        <f t="shared" si="518"/>
        <v>-0.07328613646</v>
      </c>
      <c r="T118" s="22">
        <f t="shared" si="518"/>
        <v>-0.1176684747</v>
      </c>
      <c r="U118" s="22"/>
      <c r="V118" s="22" t="str">
        <f t="shared" ref="V118:Y118" si="519">if(U29=0,"",V29/U29-1)</f>
        <v/>
      </c>
      <c r="W118" s="22">
        <f t="shared" si="519"/>
        <v>7.413015352</v>
      </c>
      <c r="X118" s="22">
        <f t="shared" si="519"/>
        <v>-0.487918623</v>
      </c>
      <c r="Y118" s="22">
        <f t="shared" si="519"/>
        <v>-0.4748336739</v>
      </c>
      <c r="Z118" s="22"/>
      <c r="AA118" s="22"/>
      <c r="AB118" s="22" t="str">
        <f t="shared" ref="AB118:AD118" si="520">if(AA29=0,"",AB29/AA29-1)</f>
        <v/>
      </c>
      <c r="AC118" s="22">
        <f t="shared" si="520"/>
        <v>-0.1690624963</v>
      </c>
      <c r="AD118" s="22">
        <f t="shared" si="520"/>
        <v>0.680189623</v>
      </c>
      <c r="AE118" s="22"/>
      <c r="AF118" s="22" t="str">
        <f t="shared" si="280"/>
        <v/>
      </c>
      <c r="AG118" s="22"/>
      <c r="AH118" s="22" t="str">
        <f t="shared" si="310"/>
        <v/>
      </c>
      <c r="AI118" s="22"/>
      <c r="AJ118" s="22" t="str">
        <f t="shared" si="265"/>
        <v/>
      </c>
      <c r="AK118" s="22"/>
      <c r="AL118" s="22"/>
      <c r="AM118" s="22" t="str">
        <f t="shared" ref="AM118:AO118" si="521">if(AL29=0,"",AM29/AL29-1)</f>
        <v/>
      </c>
      <c r="AN118" s="22">
        <f t="shared" si="521"/>
        <v>0.264458691</v>
      </c>
      <c r="AO118" s="22">
        <f t="shared" si="521"/>
        <v>-0.173332248</v>
      </c>
      <c r="AP118" s="22"/>
      <c r="AQ118" s="22" t="str">
        <f t="shared" ref="AQ118:AS118" si="522">if(AP29=0,"",AQ29/AP29-1)</f>
        <v/>
      </c>
      <c r="AR118" s="22">
        <f t="shared" si="522"/>
        <v>1.14174904</v>
      </c>
      <c r="AS118" s="22">
        <f t="shared" si="522"/>
        <v>6.731410263</v>
      </c>
      <c r="AT118" s="22"/>
      <c r="AU118" s="22" t="str">
        <f t="shared" ref="AU118:AW118" si="523">if(AT29=0,"",AU29/AT29-1)</f>
        <v/>
      </c>
      <c r="AV118" s="22">
        <f t="shared" si="523"/>
        <v>-0.4204755407</v>
      </c>
      <c r="AW118" s="22">
        <f t="shared" si="523"/>
        <v>-0.008971931057</v>
      </c>
      <c r="AX118" s="22"/>
      <c r="AY118" s="22" t="str">
        <f t="shared" ref="AY118:BB118" si="524">if(AX29=0,"",AY29/AX29-1)</f>
        <v/>
      </c>
      <c r="AZ118" s="22">
        <f t="shared" si="524"/>
        <v>-0.5489869329</v>
      </c>
      <c r="BA118" s="22">
        <f t="shared" si="524"/>
        <v>-0.4098502557</v>
      </c>
      <c r="BB118" s="22">
        <f t="shared" si="524"/>
        <v>-0.06024664375</v>
      </c>
      <c r="BC118" s="22"/>
      <c r="BD118" s="22" t="str">
        <f t="shared" ref="BD118:BG118" si="525">if(BC29=0,"",BD29/BC29-1)</f>
        <v/>
      </c>
      <c r="BE118" s="22">
        <f t="shared" si="525"/>
        <v>-0.03919757994</v>
      </c>
      <c r="BF118" s="22">
        <f t="shared" si="525"/>
        <v>-0.1674964313</v>
      </c>
      <c r="BG118" s="22">
        <f t="shared" si="525"/>
        <v>-0.572100255</v>
      </c>
      <c r="BH118" s="22"/>
      <c r="BI118" s="22" t="str">
        <f t="shared" ref="BI118:BK118" si="526">if(BH29=0,"",BI29/BH29-1)</f>
        <v/>
      </c>
      <c r="BJ118" s="22">
        <f t="shared" si="526"/>
        <v>-0.2589672282</v>
      </c>
      <c r="BK118" s="22">
        <f t="shared" si="526"/>
        <v>-0.03280849835</v>
      </c>
      <c r="BL118" s="22"/>
      <c r="BM118" s="22" t="str">
        <f t="shared" ref="BM118:BO118" si="527">if(BL29=0,"",BM29/BL29-1)</f>
        <v/>
      </c>
      <c r="BN118" s="22">
        <f t="shared" si="527"/>
        <v>0.06171237627</v>
      </c>
      <c r="BO118" s="22">
        <f t="shared" si="527"/>
        <v>-0.1847908881</v>
      </c>
      <c r="BP118" s="22"/>
      <c r="BQ118" s="22" t="str">
        <f t="shared" ref="BQ118:BR118" si="528">if(BP29=0,"",BQ29/BP29-1)</f>
        <v/>
      </c>
      <c r="BR118" s="22">
        <f t="shared" si="528"/>
        <v>3.503919324</v>
      </c>
      <c r="BS118" s="22"/>
      <c r="BT118" s="22" t="str">
        <f t="shared" ref="BT118:BV118" si="529">if(BS29=0,"",BT29/BS29-1)</f>
        <v/>
      </c>
      <c r="BU118" s="22">
        <f t="shared" si="529"/>
        <v>-0.7150116231</v>
      </c>
      <c r="BV118" s="22">
        <f t="shared" si="529"/>
        <v>2.81314206</v>
      </c>
    </row>
    <row r="119" ht="15.75" customHeight="1">
      <c r="A119" s="7" t="s">
        <v>79</v>
      </c>
      <c r="E119" s="22">
        <f t="shared" ref="E119:H119" si="530">if(D30=0,"",E30/D30-1)</f>
        <v>-0.2680992772</v>
      </c>
      <c r="F119" s="22">
        <f t="shared" si="530"/>
        <v>-0.2363597423</v>
      </c>
      <c r="G119" s="22">
        <f t="shared" si="530"/>
        <v>-0.9682074604</v>
      </c>
      <c r="H119" s="22">
        <f t="shared" si="530"/>
        <v>35.58501931</v>
      </c>
      <c r="I119" s="22"/>
      <c r="J119" s="22"/>
      <c r="K119" s="22">
        <f t="shared" ref="K119:N119" si="531">if(J30=0,"",K30/J30-1)</f>
        <v>-0.1102902472</v>
      </c>
      <c r="L119" s="22">
        <f t="shared" si="531"/>
        <v>0.4570597211</v>
      </c>
      <c r="M119" s="22">
        <f t="shared" si="531"/>
        <v>0.1103649072</v>
      </c>
      <c r="N119" s="22">
        <f t="shared" si="531"/>
        <v>-0.3858409209</v>
      </c>
      <c r="O119" s="22"/>
      <c r="P119" s="22"/>
      <c r="Q119" s="22">
        <f t="shared" ref="Q119:T119" si="532">if(P30=0,"",Q30/P30-1)</f>
        <v>-0.9363371427</v>
      </c>
      <c r="R119" s="22">
        <f t="shared" si="532"/>
        <v>1.019768816</v>
      </c>
      <c r="S119" s="22">
        <f t="shared" si="532"/>
        <v>0.1735501393</v>
      </c>
      <c r="T119" s="22">
        <f t="shared" si="532"/>
        <v>-0.8380651559</v>
      </c>
      <c r="U119" s="22"/>
      <c r="V119" s="22" t="str">
        <f t="shared" ref="V119:Y119" si="533">if(U30=0,"",V30/U30-1)</f>
        <v/>
      </c>
      <c r="W119" s="22">
        <f t="shared" si="533"/>
        <v>-1.703967627</v>
      </c>
      <c r="X119" s="22">
        <f t="shared" si="533"/>
        <v>0.001857909306</v>
      </c>
      <c r="Y119" s="22">
        <f t="shared" si="533"/>
        <v>-0.9960956873</v>
      </c>
      <c r="Z119" s="22"/>
      <c r="AA119" s="22"/>
      <c r="AB119" s="22">
        <f t="shared" ref="AB119:AD119" si="534">if(AA30=0,"",AB30/AA30-1)</f>
        <v>7.151941673</v>
      </c>
      <c r="AC119" s="22">
        <f t="shared" si="534"/>
        <v>-0.2083037795</v>
      </c>
      <c r="AD119" s="22">
        <f t="shared" si="534"/>
        <v>0.4608507405</v>
      </c>
      <c r="AE119" s="22"/>
      <c r="AF119" s="22" t="str">
        <f t="shared" si="280"/>
        <v/>
      </c>
      <c r="AG119" s="22"/>
      <c r="AH119" s="22">
        <f t="shared" si="310"/>
        <v>0.0001116560397</v>
      </c>
      <c r="AI119" s="22"/>
      <c r="AJ119" s="22" t="str">
        <f t="shared" si="265"/>
        <v/>
      </c>
      <c r="AK119" s="22"/>
      <c r="AL119" s="22"/>
      <c r="AM119" s="22" t="str">
        <f t="shared" ref="AM119:AO119" si="535">if(AL30=0,"",AM30/AL30-1)</f>
        <v/>
      </c>
      <c r="AN119" s="22">
        <f t="shared" si="535"/>
        <v>0.8047858463</v>
      </c>
      <c r="AO119" s="22">
        <f t="shared" si="535"/>
        <v>-0.2842477945</v>
      </c>
      <c r="AP119" s="22"/>
      <c r="AQ119" s="22" t="str">
        <f t="shared" ref="AQ119:AS119" si="536">if(AP30=0,"",AQ30/AP30-1)</f>
        <v/>
      </c>
      <c r="AR119" s="22">
        <f t="shared" si="536"/>
        <v>0.3905883172</v>
      </c>
      <c r="AS119" s="22">
        <f t="shared" si="536"/>
        <v>0.01496370718</v>
      </c>
      <c r="AT119" s="22"/>
      <c r="AU119" s="22" t="str">
        <f t="shared" ref="AU119:AW119" si="537">if(AT30=0,"",AU30/AT30-1)</f>
        <v/>
      </c>
      <c r="AV119" s="22">
        <f t="shared" si="537"/>
        <v>-0.05853374449</v>
      </c>
      <c r="AW119" s="22">
        <f t="shared" si="537"/>
        <v>-0.07117415048</v>
      </c>
      <c r="AX119" s="22"/>
      <c r="AY119" s="22" t="str">
        <f t="shared" ref="AY119:BB119" si="538">if(AX30=0,"",AY30/AX30-1)</f>
        <v/>
      </c>
      <c r="AZ119" s="22">
        <f t="shared" si="538"/>
        <v>0.5764331468</v>
      </c>
      <c r="BA119" s="22">
        <f t="shared" si="538"/>
        <v>0.2663442619</v>
      </c>
      <c r="BB119" s="22">
        <f t="shared" si="538"/>
        <v>0.1930753907</v>
      </c>
      <c r="BC119" s="22"/>
      <c r="BD119" s="22" t="str">
        <f t="shared" ref="BD119:BG119" si="539">if(BC30=0,"",BD30/BC30-1)</f>
        <v/>
      </c>
      <c r="BE119" s="22">
        <f t="shared" si="539"/>
        <v>0.02706780756</v>
      </c>
      <c r="BF119" s="22">
        <f t="shared" si="539"/>
        <v>-0.03469361564</v>
      </c>
      <c r="BG119" s="22">
        <f t="shared" si="539"/>
        <v>-0.2841043038</v>
      </c>
      <c r="BH119" s="22"/>
      <c r="BI119" s="22" t="str">
        <f t="shared" ref="BI119:BK119" si="540">if(BH30=0,"",BI30/BH30-1)</f>
        <v/>
      </c>
      <c r="BJ119" s="22">
        <f t="shared" si="540"/>
        <v>-0.3556343464</v>
      </c>
      <c r="BK119" s="22">
        <f t="shared" si="540"/>
        <v>-0.01305432952</v>
      </c>
      <c r="BL119" s="22"/>
      <c r="BM119" s="22" t="str">
        <f t="shared" ref="BM119:BO119" si="541">if(BL30=0,"",BM30/BL30-1)</f>
        <v/>
      </c>
      <c r="BN119" s="22">
        <f t="shared" si="541"/>
        <v>0.1850225776</v>
      </c>
      <c r="BO119" s="22">
        <f t="shared" si="541"/>
        <v>0.3619290054</v>
      </c>
      <c r="BP119" s="22"/>
      <c r="BQ119" s="22" t="str">
        <f t="shared" ref="BQ119:BR119" si="542">if(BP30=0,"",BQ30/BP30-1)</f>
        <v/>
      </c>
      <c r="BR119" s="22">
        <f t="shared" si="542"/>
        <v>30.82169465</v>
      </c>
      <c r="BS119" s="22"/>
      <c r="BT119" s="22" t="str">
        <f t="shared" ref="BT119:BV119" si="543">if(BS30=0,"",BT30/BS30-1)</f>
        <v/>
      </c>
      <c r="BU119" s="22">
        <f t="shared" si="543"/>
        <v>-0.3308385708</v>
      </c>
      <c r="BV119" s="22">
        <f t="shared" si="543"/>
        <v>3.639225858</v>
      </c>
    </row>
    <row r="120" ht="15.75" customHeight="1">
      <c r="E120" s="22" t="str">
        <f t="shared" ref="E120:H120" si="544">if(D31=0,"",E31/D31-1)</f>
        <v/>
      </c>
      <c r="F120" s="22" t="str">
        <f t="shared" si="544"/>
        <v/>
      </c>
      <c r="G120" s="22" t="str">
        <f t="shared" si="544"/>
        <v/>
      </c>
      <c r="H120" s="22" t="str">
        <f t="shared" si="544"/>
        <v/>
      </c>
      <c r="I120" s="22"/>
      <c r="J120" s="22"/>
      <c r="K120" s="22" t="str">
        <f t="shared" ref="K120:N120" si="545">if(J31=0,"",K31/J31-1)</f>
        <v/>
      </c>
      <c r="L120" s="22" t="str">
        <f t="shared" si="545"/>
        <v/>
      </c>
      <c r="M120" s="22" t="str">
        <f t="shared" si="545"/>
        <v/>
      </c>
      <c r="N120" s="22" t="str">
        <f t="shared" si="545"/>
        <v/>
      </c>
      <c r="O120" s="22"/>
      <c r="P120" s="22"/>
      <c r="Q120" s="22" t="str">
        <f t="shared" ref="Q120:T120" si="546">if(P31=0,"",Q31/P31-1)</f>
        <v/>
      </c>
      <c r="R120" s="22" t="str">
        <f t="shared" si="546"/>
        <v/>
      </c>
      <c r="S120" s="22" t="str">
        <f t="shared" si="546"/>
        <v/>
      </c>
      <c r="T120" s="22" t="str">
        <f t="shared" si="546"/>
        <v/>
      </c>
      <c r="U120" s="22"/>
      <c r="V120" s="22" t="str">
        <f t="shared" ref="V120:Y120" si="547">if(U31=0,"",V31/U31-1)</f>
        <v/>
      </c>
      <c r="W120" s="22" t="str">
        <f t="shared" si="547"/>
        <v/>
      </c>
      <c r="X120" s="22" t="str">
        <f t="shared" si="547"/>
        <v/>
      </c>
      <c r="Y120" s="22" t="str">
        <f t="shared" si="547"/>
        <v/>
      </c>
      <c r="Z120" s="22"/>
      <c r="AA120" s="22"/>
      <c r="AB120" s="22" t="str">
        <f t="shared" ref="AB120:AD120" si="548">if(AA31=0,"",AB31/AA31-1)</f>
        <v/>
      </c>
      <c r="AC120" s="22" t="str">
        <f t="shared" si="548"/>
        <v/>
      </c>
      <c r="AD120" s="22" t="str">
        <f t="shared" si="548"/>
        <v/>
      </c>
      <c r="AE120" s="22"/>
      <c r="AF120" s="22" t="str">
        <f t="shared" si="280"/>
        <v/>
      </c>
      <c r="AG120" s="22"/>
      <c r="AH120" s="22" t="str">
        <f t="shared" si="310"/>
        <v/>
      </c>
      <c r="AI120" s="22"/>
      <c r="AJ120" s="22" t="str">
        <f t="shared" si="265"/>
        <v/>
      </c>
      <c r="AK120" s="22"/>
      <c r="AL120" s="22"/>
      <c r="AM120" s="22" t="str">
        <f t="shared" ref="AM120:AO120" si="549">if(AL31=0,"",AM31/AL31-1)</f>
        <v/>
      </c>
      <c r="AN120" s="22" t="str">
        <f t="shared" si="549"/>
        <v/>
      </c>
      <c r="AO120" s="22" t="str">
        <f t="shared" si="549"/>
        <v/>
      </c>
      <c r="AP120" s="22"/>
      <c r="AQ120" s="22" t="str">
        <f t="shared" ref="AQ120:AS120" si="550">if(AP31=0,"",AQ31/AP31-1)</f>
        <v/>
      </c>
      <c r="AR120" s="22" t="str">
        <f t="shared" si="550"/>
        <v/>
      </c>
      <c r="AS120" s="22" t="str">
        <f t="shared" si="550"/>
        <v/>
      </c>
      <c r="AT120" s="22"/>
      <c r="AU120" s="22" t="str">
        <f t="shared" ref="AU120:AW120" si="551">if(AT31=0,"",AU31/AT31-1)</f>
        <v/>
      </c>
      <c r="AV120" s="22" t="str">
        <f t="shared" si="551"/>
        <v/>
      </c>
      <c r="AW120" s="22" t="str">
        <f t="shared" si="551"/>
        <v/>
      </c>
      <c r="AX120" s="22"/>
      <c r="AY120" s="22" t="str">
        <f t="shared" ref="AY120:BB120" si="552">if(AX31=0,"",AY31/AX31-1)</f>
        <v/>
      </c>
      <c r="AZ120" s="22" t="str">
        <f t="shared" si="552"/>
        <v/>
      </c>
      <c r="BA120" s="22" t="str">
        <f t="shared" si="552"/>
        <v/>
      </c>
      <c r="BB120" s="22" t="str">
        <f t="shared" si="552"/>
        <v/>
      </c>
      <c r="BC120" s="22"/>
      <c r="BD120" s="22" t="str">
        <f t="shared" ref="BD120:BG120" si="553">if(BC31=0,"",BD31/BC31-1)</f>
        <v/>
      </c>
      <c r="BE120" s="22" t="str">
        <f t="shared" si="553"/>
        <v/>
      </c>
      <c r="BF120" s="22" t="str">
        <f t="shared" si="553"/>
        <v/>
      </c>
      <c r="BG120" s="22" t="str">
        <f t="shared" si="553"/>
        <v/>
      </c>
      <c r="BH120" s="22"/>
      <c r="BI120" s="22" t="str">
        <f t="shared" ref="BI120:BK120" si="554">if(BH31=0,"",BI31/BH31-1)</f>
        <v/>
      </c>
      <c r="BJ120" s="22" t="str">
        <f t="shared" si="554"/>
        <v/>
      </c>
      <c r="BK120" s="22" t="str">
        <f t="shared" si="554"/>
        <v/>
      </c>
      <c r="BL120" s="22"/>
      <c r="BM120" s="22" t="str">
        <f t="shared" ref="BM120:BO120" si="555">if(BL31=0,"",BM31/BL31-1)</f>
        <v/>
      </c>
      <c r="BN120" s="22" t="str">
        <f t="shared" si="555"/>
        <v/>
      </c>
      <c r="BO120" s="22" t="str">
        <f t="shared" si="555"/>
        <v/>
      </c>
      <c r="BP120" s="22"/>
      <c r="BQ120" s="22" t="str">
        <f t="shared" ref="BQ120:BR120" si="556">if(BP31=0,"",BQ31/BP31-1)</f>
        <v/>
      </c>
      <c r="BR120" s="22" t="str">
        <f t="shared" si="556"/>
        <v/>
      </c>
      <c r="BS120" s="22"/>
      <c r="BT120" s="22" t="str">
        <f t="shared" ref="BT120:BV120" si="557">if(BS31=0,"",BT31/BS31-1)</f>
        <v/>
      </c>
      <c r="BU120" s="22" t="str">
        <f t="shared" si="557"/>
        <v/>
      </c>
      <c r="BV120" s="22" t="str">
        <f t="shared" si="557"/>
        <v/>
      </c>
    </row>
    <row r="121" ht="15.75" customHeight="1">
      <c r="A121" s="7" t="s">
        <v>80</v>
      </c>
      <c r="E121" s="22">
        <f t="shared" ref="E121:H121" si="558">if(D32=0,"",E32/D32-1)</f>
        <v>-0.2713839304</v>
      </c>
      <c r="F121" s="22">
        <f t="shared" si="558"/>
        <v>0.3923738135</v>
      </c>
      <c r="G121" s="22">
        <f t="shared" si="558"/>
        <v>0.009144510504</v>
      </c>
      <c r="H121" s="22">
        <f t="shared" si="558"/>
        <v>-0.1383996169</v>
      </c>
      <c r="I121" s="22"/>
      <c r="J121" s="22"/>
      <c r="K121" s="22">
        <f t="shared" ref="K121:N121" si="559">if(J32=0,"",K32/J32-1)</f>
        <v>-0.06509085998</v>
      </c>
      <c r="L121" s="22">
        <f t="shared" si="559"/>
        <v>1.038030776</v>
      </c>
      <c r="M121" s="22">
        <f t="shared" si="559"/>
        <v>0.001454061155</v>
      </c>
      <c r="N121" s="22">
        <f t="shared" si="559"/>
        <v>-0.2413331058</v>
      </c>
      <c r="O121" s="22"/>
      <c r="P121" s="22"/>
      <c r="Q121" s="22">
        <f t="shared" ref="Q121:T121" si="560">if(P32=0,"",Q32/P32-1)</f>
        <v>-0.9543750575</v>
      </c>
      <c r="R121" s="22">
        <f t="shared" si="560"/>
        <v>0.0569265</v>
      </c>
      <c r="S121" s="22">
        <f t="shared" si="560"/>
        <v>0.07087797735</v>
      </c>
      <c r="T121" s="22">
        <f t="shared" si="560"/>
        <v>0.2305002406</v>
      </c>
      <c r="U121" s="22"/>
      <c r="V121" s="22" t="str">
        <f t="shared" ref="V121:Y121" si="561">if(U32=0,"",V32/U32-1)</f>
        <v/>
      </c>
      <c r="W121" s="22">
        <f t="shared" si="561"/>
        <v>-0.3437051312</v>
      </c>
      <c r="X121" s="22">
        <f t="shared" si="561"/>
        <v>0.8557173342</v>
      </c>
      <c r="Y121" s="22">
        <f t="shared" si="561"/>
        <v>-0.5932844641</v>
      </c>
      <c r="Z121" s="22"/>
      <c r="AA121" s="22"/>
      <c r="AB121" s="22" t="str">
        <f t="shared" ref="AB121:AD121" si="562">if(AA32=0,"",AB32/AA32-1)</f>
        <v/>
      </c>
      <c r="AC121" s="22">
        <f t="shared" si="562"/>
        <v>-0.2711497906</v>
      </c>
      <c r="AD121" s="22">
        <f t="shared" si="562"/>
        <v>0.197311973</v>
      </c>
      <c r="AE121" s="22"/>
      <c r="AF121" s="22" t="str">
        <f t="shared" si="280"/>
        <v/>
      </c>
      <c r="AG121" s="22"/>
      <c r="AH121" s="22">
        <f t="shared" si="310"/>
        <v>0.03956098393</v>
      </c>
      <c r="AI121" s="22"/>
      <c r="AJ121" s="22" t="str">
        <f t="shared" si="265"/>
        <v/>
      </c>
      <c r="AK121" s="22"/>
      <c r="AL121" s="22"/>
      <c r="AM121" s="22" t="str">
        <f t="shared" ref="AM121:AO121" si="563">if(AL32=0,"",AM32/AL32-1)</f>
        <v/>
      </c>
      <c r="AN121" s="22">
        <f t="shared" si="563"/>
        <v>0.326423753</v>
      </c>
      <c r="AO121" s="22">
        <f t="shared" si="563"/>
        <v>-0.1808596678</v>
      </c>
      <c r="AP121" s="22"/>
      <c r="AQ121" s="22" t="str">
        <f t="shared" ref="AQ121:AS121" si="564">if(AP32=0,"",AQ32/AP32-1)</f>
        <v/>
      </c>
      <c r="AR121" s="22">
        <f t="shared" si="564"/>
        <v>0.5029835124</v>
      </c>
      <c r="AS121" s="22">
        <f t="shared" si="564"/>
        <v>-0.1650751254</v>
      </c>
      <c r="AT121" s="22"/>
      <c r="AU121" s="22" t="str">
        <f t="shared" ref="AU121:AW121" si="565">if(AT32=0,"",AU32/AT32-1)</f>
        <v/>
      </c>
      <c r="AV121" s="22">
        <f t="shared" si="565"/>
        <v>-0.2357947378</v>
      </c>
      <c r="AW121" s="22">
        <f t="shared" si="565"/>
        <v>-0.1316369576</v>
      </c>
      <c r="AX121" s="22"/>
      <c r="AY121" s="22" t="str">
        <f t="shared" ref="AY121:BB121" si="566">if(AX32=0,"",AY32/AX32-1)</f>
        <v/>
      </c>
      <c r="AZ121" s="22">
        <f t="shared" si="566"/>
        <v>3.905888489</v>
      </c>
      <c r="BA121" s="22">
        <f t="shared" si="566"/>
        <v>-0.6898646611</v>
      </c>
      <c r="BB121" s="22">
        <f t="shared" si="566"/>
        <v>-0.5294102653</v>
      </c>
      <c r="BC121" s="22"/>
      <c r="BD121" s="22" t="str">
        <f t="shared" ref="BD121:BG121" si="567">if(BC32=0,"",BD32/BC32-1)</f>
        <v/>
      </c>
      <c r="BE121" s="22">
        <f t="shared" si="567"/>
        <v>-0.0458748438</v>
      </c>
      <c r="BF121" s="22">
        <f t="shared" si="567"/>
        <v>0.2792269221</v>
      </c>
      <c r="BG121" s="22">
        <f t="shared" si="567"/>
        <v>0.2509903724</v>
      </c>
      <c r="BH121" s="22"/>
      <c r="BI121" s="22" t="str">
        <f t="shared" ref="BI121:BK121" si="568">if(BH32=0,"",BI32/BH32-1)</f>
        <v/>
      </c>
      <c r="BJ121" s="22">
        <f t="shared" si="568"/>
        <v>0.009273601287</v>
      </c>
      <c r="BK121" s="22">
        <f t="shared" si="568"/>
        <v>0.0352718547</v>
      </c>
      <c r="BL121" s="22"/>
      <c r="BM121" s="22" t="str">
        <f t="shared" ref="BM121:BO121" si="569">if(BL32=0,"",BM32/BL32-1)</f>
        <v/>
      </c>
      <c r="BN121" s="22">
        <f t="shared" si="569"/>
        <v>-0.1457047487</v>
      </c>
      <c r="BO121" s="22">
        <f t="shared" si="569"/>
        <v>-0.03087754573</v>
      </c>
      <c r="BP121" s="22"/>
      <c r="BQ121" s="22" t="str">
        <f t="shared" ref="BQ121:BR121" si="570">if(BP32=0,"",BQ32/BP32-1)</f>
        <v/>
      </c>
      <c r="BR121" s="22">
        <f t="shared" si="570"/>
        <v>19.5083205</v>
      </c>
      <c r="BS121" s="22"/>
      <c r="BT121" s="22" t="str">
        <f t="shared" ref="BT121:BV121" si="571">if(BS32=0,"",BT32/BS32-1)</f>
        <v/>
      </c>
      <c r="BU121" s="22">
        <f t="shared" si="571"/>
        <v>-0.5564219918</v>
      </c>
      <c r="BV121" s="22">
        <f t="shared" si="571"/>
        <v>6.204729628</v>
      </c>
    </row>
    <row r="122" ht="15.75" customHeight="1">
      <c r="A122" s="7" t="s">
        <v>81</v>
      </c>
      <c r="E122" s="22" t="str">
        <f t="shared" ref="E122:H122" si="572">if(D33=0,"",E33/D33-1)</f>
        <v/>
      </c>
      <c r="F122" s="22" t="str">
        <f t="shared" si="572"/>
        <v/>
      </c>
      <c r="G122" s="22" t="str">
        <f t="shared" si="572"/>
        <v/>
      </c>
      <c r="H122" s="22" t="str">
        <f t="shared" si="572"/>
        <v/>
      </c>
      <c r="I122" s="22"/>
      <c r="J122" s="22"/>
      <c r="K122" s="22">
        <f t="shared" ref="K122:N122" si="573">if(J33=0,"",K33/J33-1)</f>
        <v>-0.3355347788</v>
      </c>
      <c r="L122" s="22">
        <f t="shared" si="573"/>
        <v>-0.2979545607</v>
      </c>
      <c r="M122" s="22">
        <f t="shared" si="573"/>
        <v>0.1181136915</v>
      </c>
      <c r="N122" s="22">
        <f t="shared" si="573"/>
        <v>0.5724174641</v>
      </c>
      <c r="O122" s="22"/>
      <c r="P122" s="22"/>
      <c r="Q122" s="22">
        <f t="shared" ref="Q122:T122" si="574">if(P33=0,"",Q33/P33-1)</f>
        <v>-0.8843415472</v>
      </c>
      <c r="R122" s="22">
        <f t="shared" si="574"/>
        <v>-0.1731682337</v>
      </c>
      <c r="S122" s="22">
        <f t="shared" si="574"/>
        <v>0.2836322415</v>
      </c>
      <c r="T122" s="22">
        <f t="shared" si="574"/>
        <v>-0.06460878842</v>
      </c>
      <c r="U122" s="22"/>
      <c r="V122" s="22" t="str">
        <f t="shared" ref="V122:Y122" si="575">if(U33=0,"",V33/U33-1)</f>
        <v/>
      </c>
      <c r="W122" s="22">
        <f t="shared" si="575"/>
        <v>-0.1226543957</v>
      </c>
      <c r="X122" s="22">
        <f t="shared" si="575"/>
        <v>-0.07875849938</v>
      </c>
      <c r="Y122" s="22">
        <f t="shared" si="575"/>
        <v>0.03713665313</v>
      </c>
      <c r="Z122" s="22"/>
      <c r="AA122" s="22"/>
      <c r="AB122" s="22" t="str">
        <f t="shared" ref="AB122:AD122" si="576">if(AA33=0,"",AB33/AA33-1)</f>
        <v/>
      </c>
      <c r="AC122" s="22">
        <f t="shared" si="576"/>
        <v>-0.1903294099</v>
      </c>
      <c r="AD122" s="22">
        <f t="shared" si="576"/>
        <v>-0.003555141029</v>
      </c>
      <c r="AE122" s="22"/>
      <c r="AF122" s="22" t="str">
        <f t="shared" si="280"/>
        <v/>
      </c>
      <c r="AG122" s="22"/>
      <c r="AH122" s="22" t="str">
        <f t="shared" si="310"/>
        <v/>
      </c>
      <c r="AI122" s="22"/>
      <c r="AJ122" s="22" t="str">
        <f t="shared" si="265"/>
        <v/>
      </c>
      <c r="AK122" s="22"/>
      <c r="AL122" s="22"/>
      <c r="AM122" s="22" t="str">
        <f t="shared" ref="AM122:AO122" si="577">if(AL33=0,"",AM33/AL33-1)</f>
        <v/>
      </c>
      <c r="AN122" s="22">
        <f t="shared" si="577"/>
        <v>-0.08917309956</v>
      </c>
      <c r="AO122" s="22">
        <f t="shared" si="577"/>
        <v>0.08877201656</v>
      </c>
      <c r="AP122" s="22"/>
      <c r="AQ122" s="22" t="str">
        <f t="shared" ref="AQ122:AS122" si="578">if(AP33=0,"",AQ33/AP33-1)</f>
        <v/>
      </c>
      <c r="AR122" s="22">
        <f t="shared" si="578"/>
        <v>0.4456864852</v>
      </c>
      <c r="AS122" s="22">
        <f t="shared" si="578"/>
        <v>-0.128156485</v>
      </c>
      <c r="AT122" s="22"/>
      <c r="AU122" s="22" t="str">
        <f t="shared" ref="AU122:AW122" si="579">if(AT33=0,"",AU33/AT33-1)</f>
        <v/>
      </c>
      <c r="AV122" s="22" t="str">
        <f t="shared" si="579"/>
        <v/>
      </c>
      <c r="AW122" s="22" t="str">
        <f t="shared" si="579"/>
        <v/>
      </c>
      <c r="AX122" s="22"/>
      <c r="AY122" s="22" t="str">
        <f t="shared" ref="AY122:BB122" si="580">if(AX33=0,"",AY33/AX33-1)</f>
        <v/>
      </c>
      <c r="AZ122" s="22">
        <f t="shared" si="580"/>
        <v>0.706399538</v>
      </c>
      <c r="BA122" s="22">
        <f t="shared" si="580"/>
        <v>-0.6952141306</v>
      </c>
      <c r="BB122" s="22">
        <f t="shared" si="580"/>
        <v>0.01869919273</v>
      </c>
      <c r="BC122" s="22"/>
      <c r="BD122" s="22" t="str">
        <f t="shared" ref="BD122:BG122" si="581">if(BC33=0,"",BD33/BC33-1)</f>
        <v/>
      </c>
      <c r="BE122" s="22">
        <f t="shared" si="581"/>
        <v>-0.1148016615</v>
      </c>
      <c r="BF122" s="22">
        <f t="shared" si="581"/>
        <v>0.06651678298</v>
      </c>
      <c r="BG122" s="22">
        <f t="shared" si="581"/>
        <v>0.5950427225</v>
      </c>
      <c r="BH122" s="22"/>
      <c r="BI122" s="22" t="str">
        <f t="shared" ref="BI122:BK122" si="582">if(BH33=0,"",BI33/BH33-1)</f>
        <v/>
      </c>
      <c r="BJ122" s="22">
        <f t="shared" si="582"/>
        <v>0.1335522674</v>
      </c>
      <c r="BK122" s="22">
        <f t="shared" si="582"/>
        <v>0.09425404058</v>
      </c>
      <c r="BL122" s="22"/>
      <c r="BM122" s="22" t="str">
        <f t="shared" ref="BM122:BO122" si="583">if(BL33=0,"",BM33/BL33-1)</f>
        <v/>
      </c>
      <c r="BN122" s="22">
        <f t="shared" si="583"/>
        <v>0.2723170846</v>
      </c>
      <c r="BO122" s="22">
        <f t="shared" si="583"/>
        <v>6.155838893</v>
      </c>
      <c r="BP122" s="22"/>
      <c r="BQ122" s="22" t="str">
        <f t="shared" ref="BQ122:BR122" si="584">if(BP33=0,"",BQ33/BP33-1)</f>
        <v/>
      </c>
      <c r="BR122" s="22">
        <f t="shared" si="584"/>
        <v>3.764314515</v>
      </c>
      <c r="BS122" s="22"/>
      <c r="BT122" s="22" t="str">
        <f t="shared" ref="BT122:BV122" si="585">if(BS33=0,"",BT33/BS33-1)</f>
        <v/>
      </c>
      <c r="BU122" s="22">
        <f t="shared" si="585"/>
        <v>0.6127111269</v>
      </c>
      <c r="BV122" s="22">
        <f t="shared" si="585"/>
        <v>0.3498397929</v>
      </c>
    </row>
    <row r="123" ht="15.75" customHeight="1">
      <c r="A123" s="7" t="s">
        <v>82</v>
      </c>
      <c r="E123" s="22" t="str">
        <f t="shared" ref="E123:H123" si="586">if(D34=0,"",E34/D34-1)</f>
        <v/>
      </c>
      <c r="F123" s="22" t="str">
        <f t="shared" si="586"/>
        <v/>
      </c>
      <c r="G123" s="22" t="str">
        <f t="shared" si="586"/>
        <v/>
      </c>
      <c r="H123" s="22" t="str">
        <f t="shared" si="586"/>
        <v/>
      </c>
      <c r="I123" s="22"/>
      <c r="J123" s="22"/>
      <c r="K123" s="22">
        <f t="shared" ref="K123:N123" si="587">if(J34=0,"",K34/J34-1)</f>
        <v>0.6073186832</v>
      </c>
      <c r="L123" s="22">
        <f t="shared" si="587"/>
        <v>-0.218052403</v>
      </c>
      <c r="M123" s="22">
        <f t="shared" si="587"/>
        <v>-0.02231674522</v>
      </c>
      <c r="N123" s="22">
        <f t="shared" si="587"/>
        <v>0.2274312672</v>
      </c>
      <c r="O123" s="22"/>
      <c r="P123" s="22"/>
      <c r="Q123" s="22">
        <f t="shared" ref="Q123:T123" si="588">if(P34=0,"",Q34/P34-1)</f>
        <v>-0.945843684</v>
      </c>
      <c r="R123" s="22">
        <f t="shared" si="588"/>
        <v>-0.1646446887</v>
      </c>
      <c r="S123" s="22">
        <f t="shared" si="588"/>
        <v>0.0901424282</v>
      </c>
      <c r="T123" s="22">
        <f t="shared" si="588"/>
        <v>1.055356114</v>
      </c>
      <c r="U123" s="22"/>
      <c r="V123" s="22" t="str">
        <f t="shared" ref="V123:Y123" si="589">if(U34=0,"",V34/U34-1)</f>
        <v/>
      </c>
      <c r="W123" s="22" t="str">
        <f t="shared" si="589"/>
        <v/>
      </c>
      <c r="X123" s="22" t="str">
        <f t="shared" si="589"/>
        <v/>
      </c>
      <c r="Y123" s="22" t="str">
        <f t="shared" si="589"/>
        <v/>
      </c>
      <c r="Z123" s="22"/>
      <c r="AA123" s="22"/>
      <c r="AB123" s="22" t="str">
        <f t="shared" ref="AB123:AD123" si="590">if(AA34=0,"",AB34/AA34-1)</f>
        <v/>
      </c>
      <c r="AC123" s="22">
        <f t="shared" si="590"/>
        <v>-0.005736664767</v>
      </c>
      <c r="AD123" s="22">
        <f t="shared" si="590"/>
        <v>0.3665272495</v>
      </c>
      <c r="AE123" s="22"/>
      <c r="AF123" s="22" t="str">
        <f t="shared" si="280"/>
        <v/>
      </c>
      <c r="AG123" s="22"/>
      <c r="AH123" s="22" t="str">
        <f t="shared" si="310"/>
        <v/>
      </c>
      <c r="AI123" s="22"/>
      <c r="AJ123" s="22" t="str">
        <f t="shared" si="265"/>
        <v/>
      </c>
      <c r="AK123" s="22"/>
      <c r="AL123" s="22"/>
      <c r="AM123" s="22" t="str">
        <f t="shared" ref="AM123:AO123" si="591">if(AL34=0,"",AM34/AL34-1)</f>
        <v/>
      </c>
      <c r="AN123" s="22" t="str">
        <f t="shared" si="591"/>
        <v/>
      </c>
      <c r="AO123" s="22" t="str">
        <f t="shared" si="591"/>
        <v/>
      </c>
      <c r="AP123" s="22"/>
      <c r="AQ123" s="22" t="str">
        <f t="shared" ref="AQ123:AS123" si="592">if(AP34=0,"",AQ34/AP34-1)</f>
        <v/>
      </c>
      <c r="AR123" s="22">
        <f t="shared" si="592"/>
        <v>-0.3231974805</v>
      </c>
      <c r="AS123" s="22">
        <f t="shared" si="592"/>
        <v>-0.9309705681</v>
      </c>
      <c r="AT123" s="22"/>
      <c r="AU123" s="22" t="str">
        <f t="shared" ref="AU123:AW123" si="593">if(AT34=0,"",AU34/AT34-1)</f>
        <v/>
      </c>
      <c r="AV123" s="22" t="str">
        <f t="shared" si="593"/>
        <v/>
      </c>
      <c r="AW123" s="22" t="str">
        <f t="shared" si="593"/>
        <v/>
      </c>
      <c r="AX123" s="22"/>
      <c r="AY123" s="22" t="str">
        <f t="shared" ref="AY123:BB123" si="594">if(AX34=0,"",AY34/AX34-1)</f>
        <v/>
      </c>
      <c r="AZ123" s="22">
        <f t="shared" si="594"/>
        <v>12.76330966</v>
      </c>
      <c r="BA123" s="22">
        <f t="shared" si="594"/>
        <v>-0.9893160823</v>
      </c>
      <c r="BB123" s="22">
        <f t="shared" si="594"/>
        <v>-0.4877178898</v>
      </c>
      <c r="BC123" s="22"/>
      <c r="BD123" s="22" t="str">
        <f t="shared" ref="BD123:BG123" si="595">if(BC34=0,"",BD34/BC34-1)</f>
        <v/>
      </c>
      <c r="BE123" s="22">
        <f t="shared" si="595"/>
        <v>-0.8613281577</v>
      </c>
      <c r="BF123" s="22">
        <f t="shared" si="595"/>
        <v>7.911828963</v>
      </c>
      <c r="BG123" s="22">
        <f t="shared" si="595"/>
        <v>-0.3041370357</v>
      </c>
      <c r="BH123" s="22"/>
      <c r="BI123" s="22" t="str">
        <f t="shared" ref="BI123:BK123" si="596">if(BH34=0,"",BI34/BH34-1)</f>
        <v/>
      </c>
      <c r="BJ123" s="22">
        <f t="shared" si="596"/>
        <v>-0.06308930553</v>
      </c>
      <c r="BK123" s="22">
        <f t="shared" si="596"/>
        <v>0.4204552766</v>
      </c>
      <c r="BL123" s="22"/>
      <c r="BM123" s="22" t="str">
        <f t="shared" ref="BM123:BO123" si="597">if(BL34=0,"",BM34/BL34-1)</f>
        <v/>
      </c>
      <c r="BN123" s="22">
        <f t="shared" si="597"/>
        <v>-0.1965184066</v>
      </c>
      <c r="BO123" s="22">
        <f t="shared" si="597"/>
        <v>0.07001154455</v>
      </c>
      <c r="BP123" s="22"/>
      <c r="BQ123" s="22" t="str">
        <f t="shared" ref="BQ123:BR123" si="598">if(BP34=0,"",BQ34/BP34-1)</f>
        <v/>
      </c>
      <c r="BR123" s="22">
        <f t="shared" si="598"/>
        <v>-0.7964727188</v>
      </c>
      <c r="BS123" s="22"/>
      <c r="BT123" s="22" t="str">
        <f t="shared" ref="BT123:BV123" si="599">if(BS34=0,"",BT34/BS34-1)</f>
        <v/>
      </c>
      <c r="BU123" s="22" t="str">
        <f t="shared" si="599"/>
        <v/>
      </c>
      <c r="BV123" s="22">
        <f t="shared" si="599"/>
        <v>-0.7812796334</v>
      </c>
    </row>
    <row r="124" ht="15.75" customHeight="1">
      <c r="E124" s="22" t="str">
        <f t="shared" ref="E124:H124" si="600">if(D35=0,"",E35/D35-1)</f>
        <v/>
      </c>
      <c r="F124" s="22" t="str">
        <f t="shared" si="600"/>
        <v/>
      </c>
      <c r="G124" s="22" t="str">
        <f t="shared" si="600"/>
        <v/>
      </c>
      <c r="H124" s="22" t="str">
        <f t="shared" si="600"/>
        <v/>
      </c>
      <c r="I124" s="22"/>
      <c r="J124" s="22"/>
      <c r="K124" s="22" t="str">
        <f t="shared" ref="K124:N124" si="601">if(J35=0,"",K35/J35-1)</f>
        <v/>
      </c>
      <c r="L124" s="22" t="str">
        <f t="shared" si="601"/>
        <v/>
      </c>
      <c r="M124" s="22" t="str">
        <f t="shared" si="601"/>
        <v/>
      </c>
      <c r="N124" s="22" t="str">
        <f t="shared" si="601"/>
        <v/>
      </c>
      <c r="O124" s="22"/>
      <c r="P124" s="22"/>
      <c r="Q124" s="22" t="str">
        <f t="shared" ref="Q124:T124" si="602">if(P35=0,"",Q35/P35-1)</f>
        <v/>
      </c>
      <c r="R124" s="22" t="str">
        <f t="shared" si="602"/>
        <v/>
      </c>
      <c r="S124" s="22" t="str">
        <f t="shared" si="602"/>
        <v/>
      </c>
      <c r="T124" s="22" t="str">
        <f t="shared" si="602"/>
        <v/>
      </c>
      <c r="U124" s="22"/>
      <c r="V124" s="22" t="str">
        <f t="shared" ref="V124:Y124" si="603">if(U35=0,"",V35/U35-1)</f>
        <v/>
      </c>
      <c r="W124" s="22" t="str">
        <f t="shared" si="603"/>
        <v/>
      </c>
      <c r="X124" s="22" t="str">
        <f t="shared" si="603"/>
        <v/>
      </c>
      <c r="Y124" s="22" t="str">
        <f t="shared" si="603"/>
        <v/>
      </c>
      <c r="Z124" s="22"/>
      <c r="AA124" s="22"/>
      <c r="AB124" s="22" t="str">
        <f t="shared" ref="AB124:AD124" si="604">if(AA35=0,"",AB35/AA35-1)</f>
        <v/>
      </c>
      <c r="AC124" s="22" t="str">
        <f t="shared" si="604"/>
        <v/>
      </c>
      <c r="AD124" s="22" t="str">
        <f t="shared" si="604"/>
        <v/>
      </c>
      <c r="AE124" s="22"/>
      <c r="AF124" s="22" t="str">
        <f t="shared" si="280"/>
        <v/>
      </c>
      <c r="AG124" s="22"/>
      <c r="AH124" s="22" t="str">
        <f t="shared" si="310"/>
        <v/>
      </c>
      <c r="AI124" s="22"/>
      <c r="AJ124" s="22" t="str">
        <f t="shared" si="265"/>
        <v/>
      </c>
      <c r="AK124" s="22"/>
      <c r="AL124" s="22"/>
      <c r="AM124" s="22" t="str">
        <f t="shared" ref="AM124:AO124" si="605">if(AL35=0,"",AM35/AL35-1)</f>
        <v/>
      </c>
      <c r="AN124" s="22" t="str">
        <f t="shared" si="605"/>
        <v/>
      </c>
      <c r="AO124" s="22" t="str">
        <f t="shared" si="605"/>
        <v/>
      </c>
      <c r="AP124" s="22"/>
      <c r="AQ124" s="22" t="str">
        <f t="shared" ref="AQ124:AS124" si="606">if(AP35=0,"",AQ35/AP35-1)</f>
        <v/>
      </c>
      <c r="AR124" s="22" t="str">
        <f t="shared" si="606"/>
        <v/>
      </c>
      <c r="AS124" s="22" t="str">
        <f t="shared" si="606"/>
        <v/>
      </c>
      <c r="AT124" s="22"/>
      <c r="AU124" s="22" t="str">
        <f t="shared" ref="AU124:AW124" si="607">if(AT35=0,"",AU35/AT35-1)</f>
        <v/>
      </c>
      <c r="AV124" s="22" t="str">
        <f t="shared" si="607"/>
        <v/>
      </c>
      <c r="AW124" s="22" t="str">
        <f t="shared" si="607"/>
        <v/>
      </c>
      <c r="AX124" s="22"/>
      <c r="AY124" s="22" t="str">
        <f t="shared" ref="AY124:BB124" si="608">if(AX35=0,"",AY35/AX35-1)</f>
        <v/>
      </c>
      <c r="AZ124" s="22" t="str">
        <f t="shared" si="608"/>
        <v/>
      </c>
      <c r="BA124" s="22" t="str">
        <f t="shared" si="608"/>
        <v/>
      </c>
      <c r="BB124" s="22" t="str">
        <f t="shared" si="608"/>
        <v/>
      </c>
      <c r="BC124" s="22"/>
      <c r="BD124" s="22" t="str">
        <f t="shared" ref="BD124:BG124" si="609">if(BC35=0,"",BD35/BC35-1)</f>
        <v/>
      </c>
      <c r="BE124" s="22" t="str">
        <f t="shared" si="609"/>
        <v/>
      </c>
      <c r="BF124" s="22" t="str">
        <f t="shared" si="609"/>
        <v/>
      </c>
      <c r="BG124" s="22" t="str">
        <f t="shared" si="609"/>
        <v/>
      </c>
      <c r="BH124" s="22"/>
      <c r="BI124" s="22" t="str">
        <f t="shared" ref="BI124:BK124" si="610">if(BH35=0,"",BI35/BH35-1)</f>
        <v/>
      </c>
      <c r="BJ124" s="22" t="str">
        <f t="shared" si="610"/>
        <v/>
      </c>
      <c r="BK124" s="22" t="str">
        <f t="shared" si="610"/>
        <v/>
      </c>
      <c r="BL124" s="22"/>
      <c r="BM124" s="22" t="str">
        <f t="shared" ref="BM124:BO124" si="611">if(BL35=0,"",BM35/BL35-1)</f>
        <v/>
      </c>
      <c r="BN124" s="22" t="str">
        <f t="shared" si="611"/>
        <v/>
      </c>
      <c r="BO124" s="22" t="str">
        <f t="shared" si="611"/>
        <v/>
      </c>
      <c r="BP124" s="22"/>
      <c r="BQ124" s="22" t="str">
        <f t="shared" ref="BQ124:BR124" si="612">if(BP35=0,"",BQ35/BP35-1)</f>
        <v/>
      </c>
      <c r="BR124" s="22" t="str">
        <f t="shared" si="612"/>
        <v/>
      </c>
      <c r="BS124" s="22"/>
      <c r="BT124" s="22" t="str">
        <f t="shared" ref="BT124:BV124" si="613">if(BS35=0,"",BT35/BS35-1)</f>
        <v/>
      </c>
      <c r="BU124" s="22" t="str">
        <f t="shared" si="613"/>
        <v/>
      </c>
      <c r="BV124" s="22" t="str">
        <f t="shared" si="613"/>
        <v/>
      </c>
    </row>
    <row r="125" ht="15.75" customHeight="1">
      <c r="A125" s="11" t="s">
        <v>83</v>
      </c>
      <c r="E125" s="22">
        <f t="shared" ref="E125:H125" si="614">if(D36=0,"",E36/D36-1)</f>
        <v>-0.2713864516</v>
      </c>
      <c r="F125" s="22">
        <f t="shared" si="614"/>
        <v>0.3923731458</v>
      </c>
      <c r="G125" s="22">
        <f t="shared" si="614"/>
        <v>0.009144510504</v>
      </c>
      <c r="H125" s="22">
        <f t="shared" si="614"/>
        <v>-0.1709045327</v>
      </c>
      <c r="I125" s="22"/>
      <c r="J125" s="22"/>
      <c r="K125" s="22">
        <f t="shared" ref="K125:N125" si="615">if(J36=0,"",K36/J36-1)</f>
        <v>-0.317749009</v>
      </c>
      <c r="L125" s="22">
        <f t="shared" si="615"/>
        <v>0.6944130884</v>
      </c>
      <c r="M125" s="22">
        <f t="shared" si="615"/>
        <v>0.03259534984</v>
      </c>
      <c r="N125" s="22">
        <f t="shared" si="615"/>
        <v>-0.1015255301</v>
      </c>
      <c r="O125" s="22"/>
      <c r="P125" s="22"/>
      <c r="Q125" s="22">
        <f t="shared" ref="Q125:T125" si="616">if(P36=0,"",Q36/P36-1)</f>
        <v>-0.9029131394</v>
      </c>
      <c r="R125" s="22">
        <f t="shared" si="616"/>
        <v>-0.05043287312</v>
      </c>
      <c r="S125" s="22">
        <f t="shared" si="616"/>
        <v>0.2512228705</v>
      </c>
      <c r="T125" s="22">
        <f t="shared" si="616"/>
        <v>-0.4079061294</v>
      </c>
      <c r="U125" s="22"/>
      <c r="V125" s="22" t="str">
        <f t="shared" ref="V125:Y125" si="617">if(U36=0,"",V36/U36-1)</f>
        <v/>
      </c>
      <c r="W125" s="22">
        <f t="shared" si="617"/>
        <v>-0.2904812236</v>
      </c>
      <c r="X125" s="22">
        <f t="shared" si="617"/>
        <v>0.5774964805</v>
      </c>
      <c r="Y125" s="22">
        <f t="shared" si="617"/>
        <v>-0.5662808577</v>
      </c>
      <c r="Z125" s="22"/>
      <c r="AA125" s="22"/>
      <c r="AB125" s="22" t="str">
        <f t="shared" ref="AB125:AD125" si="618">if(AA36=0,"",AB36/AA36-1)</f>
        <v/>
      </c>
      <c r="AC125" s="22">
        <f t="shared" si="618"/>
        <v>-0.295893532</v>
      </c>
      <c r="AD125" s="22">
        <f t="shared" si="618"/>
        <v>0.03597824324</v>
      </c>
      <c r="AE125" s="22"/>
      <c r="AF125" s="22" t="str">
        <f t="shared" si="280"/>
        <v/>
      </c>
      <c r="AG125" s="22"/>
      <c r="AH125" s="22" t="str">
        <f t="shared" si="310"/>
        <v/>
      </c>
      <c r="AI125" s="22"/>
      <c r="AJ125" s="22" t="str">
        <f t="shared" si="265"/>
        <v/>
      </c>
      <c r="AK125" s="22"/>
      <c r="AL125" s="22"/>
      <c r="AM125" s="22" t="str">
        <f t="shared" ref="AM125:AO125" si="619">if(AL36=0,"",AM36/AL36-1)</f>
        <v/>
      </c>
      <c r="AN125" s="22">
        <f t="shared" si="619"/>
        <v>0.1380603883</v>
      </c>
      <c r="AO125" s="22">
        <f t="shared" si="619"/>
        <v>-0.08305363227</v>
      </c>
      <c r="AP125" s="22"/>
      <c r="AQ125" s="22" t="str">
        <f t="shared" ref="AQ125:AS125" si="620">if(AP36=0,"",AQ36/AP36-1)</f>
        <v/>
      </c>
      <c r="AR125" s="22">
        <f t="shared" si="620"/>
        <v>0.6255160986</v>
      </c>
      <c r="AS125" s="22">
        <f t="shared" si="620"/>
        <v>-0.08433628642</v>
      </c>
      <c r="AT125" s="22"/>
      <c r="AU125" s="22" t="str">
        <f t="shared" ref="AU125:AW125" si="621">if(AT36=0,"",AU36/AT36-1)</f>
        <v/>
      </c>
      <c r="AV125" s="22">
        <f t="shared" si="621"/>
        <v>-0.2357947378</v>
      </c>
      <c r="AW125" s="22">
        <f t="shared" si="621"/>
        <v>-0.1316369576</v>
      </c>
      <c r="AX125" s="22"/>
      <c r="AY125" s="22" t="str">
        <f t="shared" ref="AY125:BB125" si="622">if(AX36=0,"",AY36/AX36-1)</f>
        <v/>
      </c>
      <c r="AZ125" s="22">
        <f t="shared" si="622"/>
        <v>1.366825714</v>
      </c>
      <c r="BA125" s="22">
        <f t="shared" si="622"/>
        <v>-0.3875118928</v>
      </c>
      <c r="BB125" s="22">
        <f t="shared" si="622"/>
        <v>-0.4689923942</v>
      </c>
      <c r="BC125" s="22"/>
      <c r="BD125" s="22" t="str">
        <f t="shared" ref="BD125:BG125" si="623">if(BC36=0,"",BD36/BC36-1)</f>
        <v/>
      </c>
      <c r="BE125" s="22">
        <f t="shared" si="623"/>
        <v>-0.09571884533</v>
      </c>
      <c r="BF125" s="22">
        <f t="shared" si="623"/>
        <v>0.07988557357</v>
      </c>
      <c r="BG125" s="22">
        <f t="shared" si="623"/>
        <v>0.5537631585</v>
      </c>
      <c r="BH125" s="22"/>
      <c r="BI125" s="22" t="str">
        <f t="shared" ref="BI125:BK125" si="624">if(BH36=0,"",BI36/BH36-1)</f>
        <v/>
      </c>
      <c r="BJ125" s="22">
        <f t="shared" si="624"/>
        <v>0.2785533669</v>
      </c>
      <c r="BK125" s="22">
        <f t="shared" si="624"/>
        <v>-0.4320692053</v>
      </c>
      <c r="BL125" s="22"/>
      <c r="BM125" s="22" t="str">
        <f t="shared" ref="BM125:BO125" si="625">if(BL36=0,"",BM36/BL36-1)</f>
        <v/>
      </c>
      <c r="BN125" s="22">
        <f t="shared" si="625"/>
        <v>-0.1232738331</v>
      </c>
      <c r="BO125" s="22">
        <f t="shared" si="625"/>
        <v>0.298479503</v>
      </c>
      <c r="BP125" s="22"/>
      <c r="BQ125" s="22" t="str">
        <f t="shared" ref="BQ125:BR125" si="626">if(BP36=0,"",BQ36/BP36-1)</f>
        <v/>
      </c>
      <c r="BR125" s="22">
        <f t="shared" si="626"/>
        <v>-16.71374113</v>
      </c>
      <c r="BS125" s="22"/>
      <c r="BT125" s="22" t="str">
        <f t="shared" ref="BT125:BV125" si="627">if(BS36=0,"",BT36/BS36-1)</f>
        <v/>
      </c>
      <c r="BU125" s="22">
        <f t="shared" si="627"/>
        <v>0.161674727</v>
      </c>
      <c r="BV125" s="22">
        <f t="shared" si="627"/>
        <v>0.8141489868</v>
      </c>
    </row>
    <row r="126" ht="15.75" customHeight="1">
      <c r="A126" s="11" t="s">
        <v>84</v>
      </c>
      <c r="E126" s="22">
        <f t="shared" ref="E126:H126" si="628">if(D37=0,"",E37/D37-1)</f>
        <v>-0.7992963436</v>
      </c>
      <c r="F126" s="22">
        <f t="shared" si="628"/>
        <v>0.8088070596</v>
      </c>
      <c r="G126" s="22">
        <f t="shared" si="628"/>
        <v>0.1881808227</v>
      </c>
      <c r="H126" s="22">
        <f t="shared" si="628"/>
        <v>-0.3905562244</v>
      </c>
      <c r="I126" s="22"/>
      <c r="J126" s="22"/>
      <c r="K126" s="22">
        <f t="shared" ref="K126:N126" si="629">if(J37=0,"",K37/J37-1)</f>
        <v>-0.111778716</v>
      </c>
      <c r="L126" s="22">
        <f t="shared" si="629"/>
        <v>-0.1965290796</v>
      </c>
      <c r="M126" s="22">
        <f t="shared" si="629"/>
        <v>-0.1890006951</v>
      </c>
      <c r="N126" s="22">
        <f t="shared" si="629"/>
        <v>0.3652909778</v>
      </c>
      <c r="O126" s="22"/>
      <c r="P126" s="22"/>
      <c r="Q126" s="22">
        <f t="shared" ref="Q126:T126" si="630">if(P37=0,"",Q37/P37-1)</f>
        <v>-3.427322451</v>
      </c>
      <c r="R126" s="22">
        <f t="shared" si="630"/>
        <v>-0.004936744741</v>
      </c>
      <c r="S126" s="22">
        <f t="shared" si="630"/>
        <v>0.4643450925</v>
      </c>
      <c r="T126" s="22">
        <f t="shared" si="630"/>
        <v>-0.3106057248</v>
      </c>
      <c r="U126" s="22"/>
      <c r="V126" s="22" t="str">
        <f t="shared" ref="V126:Y126" si="631">if(U37=0,"",V37/U37-1)</f>
        <v/>
      </c>
      <c r="W126" s="22">
        <f t="shared" si="631"/>
        <v>75.28317936</v>
      </c>
      <c r="X126" s="22">
        <f t="shared" si="631"/>
        <v>-1.355249564</v>
      </c>
      <c r="Y126" s="22">
        <f t="shared" si="631"/>
        <v>0.1553646391</v>
      </c>
      <c r="Z126" s="22"/>
      <c r="AA126" s="22"/>
      <c r="AB126" s="22" t="str">
        <f t="shared" ref="AB126:AD126" si="632">if(AA37=0,"",AB37/AA37-1)</f>
        <v/>
      </c>
      <c r="AC126" s="22">
        <f t="shared" si="632"/>
        <v>0.4591645512</v>
      </c>
      <c r="AD126" s="22">
        <f t="shared" si="632"/>
        <v>0.4453574094</v>
      </c>
      <c r="AE126" s="22"/>
      <c r="AF126" s="22" t="str">
        <f t="shared" si="280"/>
        <v/>
      </c>
      <c r="AG126" s="22"/>
      <c r="AH126" s="22">
        <f t="shared" si="310"/>
        <v>-0.6652064889</v>
      </c>
      <c r="AI126" s="22"/>
      <c r="AJ126" s="22" t="str">
        <f t="shared" si="265"/>
        <v/>
      </c>
      <c r="AK126" s="22"/>
      <c r="AL126" s="22"/>
      <c r="AM126" s="22" t="str">
        <f t="shared" ref="AM126:AO126" si="633">if(AL37=0,"",AM37/AL37-1)</f>
        <v/>
      </c>
      <c r="AN126" s="22">
        <f t="shared" si="633"/>
        <v>0.1877502653</v>
      </c>
      <c r="AO126" s="22">
        <f t="shared" si="633"/>
        <v>-0.5906867528</v>
      </c>
      <c r="AP126" s="22"/>
      <c r="AQ126" s="22" t="str">
        <f t="shared" ref="AQ126:AS126" si="634">if(AP37=0,"",AQ37/AP37-1)</f>
        <v/>
      </c>
      <c r="AR126" s="22">
        <f t="shared" si="634"/>
        <v>-0.2458797993</v>
      </c>
      <c r="AS126" s="22">
        <f t="shared" si="634"/>
        <v>-0.703738621</v>
      </c>
      <c r="AT126" s="22"/>
      <c r="AU126" s="22" t="str">
        <f t="shared" ref="AU126:AW126" si="635">if(AT37=0,"",AU37/AT37-1)</f>
        <v/>
      </c>
      <c r="AV126" s="22">
        <f t="shared" si="635"/>
        <v>0.4413955846</v>
      </c>
      <c r="AW126" s="22">
        <f t="shared" si="635"/>
        <v>0.1756598972</v>
      </c>
      <c r="AX126" s="22"/>
      <c r="AY126" s="22" t="str">
        <f t="shared" ref="AY126:BB126" si="636">if(AX37=0,"",AY37/AX37-1)</f>
        <v/>
      </c>
      <c r="AZ126" s="22">
        <f t="shared" si="636"/>
        <v>1.959116209</v>
      </c>
      <c r="BA126" s="22">
        <f t="shared" si="636"/>
        <v>2.250824433</v>
      </c>
      <c r="BB126" s="22">
        <f t="shared" si="636"/>
        <v>0.6225344104</v>
      </c>
      <c r="BC126" s="22"/>
      <c r="BD126" s="22" t="str">
        <f t="shared" ref="BD126:BG126" si="637">if(BC37=0,"",BD37/BC37-1)</f>
        <v/>
      </c>
      <c r="BE126" s="22">
        <f t="shared" si="637"/>
        <v>0.1158364329</v>
      </c>
      <c r="BF126" s="22">
        <f t="shared" si="637"/>
        <v>0.3654662521</v>
      </c>
      <c r="BG126" s="22">
        <f t="shared" si="637"/>
        <v>-0.1621659618</v>
      </c>
      <c r="BH126" s="22"/>
      <c r="BI126" s="22" t="str">
        <f t="shared" ref="BI126:BK126" si="638">if(BH37=0,"",BI37/BH37-1)</f>
        <v/>
      </c>
      <c r="BJ126" s="22">
        <f t="shared" si="638"/>
        <v>-9.329131751</v>
      </c>
      <c r="BK126" s="22">
        <f t="shared" si="638"/>
        <v>-2.604511466</v>
      </c>
      <c r="BL126" s="22"/>
      <c r="BM126" s="22" t="str">
        <f t="shared" ref="BM126:BO126" si="639">if(BL37=0,"",BM37/BL37-1)</f>
        <v/>
      </c>
      <c r="BN126" s="22">
        <f t="shared" si="639"/>
        <v>0.3929381526</v>
      </c>
      <c r="BO126" s="22">
        <f t="shared" si="639"/>
        <v>0.4976273858</v>
      </c>
      <c r="BP126" s="22"/>
      <c r="BQ126" s="22" t="str">
        <f t="shared" ref="BQ126:BR126" si="640">if(BP37=0,"",BQ37/BP37-1)</f>
        <v/>
      </c>
      <c r="BR126" s="22">
        <f t="shared" si="640"/>
        <v>2.837924442</v>
      </c>
      <c r="BS126" s="22"/>
      <c r="BT126" s="22" t="str">
        <f t="shared" ref="BT126:BV126" si="641">if(BS37=0,"",BT37/BS37-1)</f>
        <v/>
      </c>
      <c r="BU126" s="22">
        <f t="shared" si="641"/>
        <v>2.87416836</v>
      </c>
      <c r="BV126" s="22">
        <f t="shared" si="641"/>
        <v>0.6032469317</v>
      </c>
    </row>
    <row r="127" ht="15.75" customHeight="1">
      <c r="A127" s="11"/>
      <c r="E127" s="22" t="str">
        <f t="shared" ref="E127:H127" si="642">if(D38=0,"",E38/D38-1)</f>
        <v/>
      </c>
      <c r="F127" s="22" t="str">
        <f t="shared" si="642"/>
        <v/>
      </c>
      <c r="G127" s="22" t="str">
        <f t="shared" si="642"/>
        <v/>
      </c>
      <c r="H127" s="22" t="str">
        <f t="shared" si="642"/>
        <v/>
      </c>
      <c r="I127" s="22"/>
      <c r="J127" s="22"/>
      <c r="K127" s="22" t="str">
        <f t="shared" ref="K127:N127" si="643">if(J38=0,"",K38/J38-1)</f>
        <v/>
      </c>
      <c r="L127" s="22" t="str">
        <f t="shared" si="643"/>
        <v/>
      </c>
      <c r="M127" s="22" t="str">
        <f t="shared" si="643"/>
        <v/>
      </c>
      <c r="N127" s="22" t="str">
        <f t="shared" si="643"/>
        <v/>
      </c>
      <c r="O127" s="22"/>
      <c r="P127" s="22"/>
      <c r="Q127" s="22" t="str">
        <f t="shared" ref="Q127:T127" si="644">if(P38=0,"",Q38/P38-1)</f>
        <v/>
      </c>
      <c r="R127" s="22" t="str">
        <f t="shared" si="644"/>
        <v/>
      </c>
      <c r="S127" s="22" t="str">
        <f t="shared" si="644"/>
        <v/>
      </c>
      <c r="T127" s="22" t="str">
        <f t="shared" si="644"/>
        <v/>
      </c>
      <c r="U127" s="22"/>
      <c r="V127" s="22" t="str">
        <f t="shared" ref="V127:Y127" si="645">if(U38=0,"",V38/U38-1)</f>
        <v/>
      </c>
      <c r="W127" s="22" t="str">
        <f t="shared" si="645"/>
        <v/>
      </c>
      <c r="X127" s="22" t="str">
        <f t="shared" si="645"/>
        <v/>
      </c>
      <c r="Y127" s="22" t="str">
        <f t="shared" si="645"/>
        <v/>
      </c>
      <c r="Z127" s="22"/>
      <c r="AA127" s="22"/>
      <c r="AB127" s="22" t="str">
        <f t="shared" ref="AB127:AD127" si="646">if(AA38=0,"",AB38/AA38-1)</f>
        <v/>
      </c>
      <c r="AC127" s="22" t="str">
        <f t="shared" si="646"/>
        <v/>
      </c>
      <c r="AD127" s="22" t="str">
        <f t="shared" si="646"/>
        <v/>
      </c>
      <c r="AE127" s="22"/>
      <c r="AF127" s="22" t="str">
        <f t="shared" si="280"/>
        <v/>
      </c>
      <c r="AG127" s="22"/>
      <c r="AH127" s="22" t="str">
        <f t="shared" si="310"/>
        <v/>
      </c>
      <c r="AI127" s="22"/>
      <c r="AJ127" s="22" t="str">
        <f t="shared" si="265"/>
        <v/>
      </c>
      <c r="AK127" s="22"/>
      <c r="AL127" s="22"/>
      <c r="AM127" s="22" t="str">
        <f t="shared" ref="AM127:AO127" si="647">if(AL38=0,"",AM38/AL38-1)</f>
        <v/>
      </c>
      <c r="AN127" s="22" t="str">
        <f t="shared" si="647"/>
        <v/>
      </c>
      <c r="AO127" s="22" t="str">
        <f t="shared" si="647"/>
        <v/>
      </c>
      <c r="AP127" s="22"/>
      <c r="AQ127" s="22" t="str">
        <f t="shared" ref="AQ127:AS127" si="648">if(AP38=0,"",AQ38/AP38-1)</f>
        <v/>
      </c>
      <c r="AR127" s="22" t="str">
        <f t="shared" si="648"/>
        <v/>
      </c>
      <c r="AS127" s="22" t="str">
        <f t="shared" si="648"/>
        <v/>
      </c>
      <c r="AT127" s="22"/>
      <c r="AU127" s="22" t="str">
        <f t="shared" ref="AU127:AW127" si="649">if(AT38=0,"",AU38/AT38-1)</f>
        <v/>
      </c>
      <c r="AV127" s="22" t="str">
        <f t="shared" si="649"/>
        <v/>
      </c>
      <c r="AW127" s="22" t="str">
        <f t="shared" si="649"/>
        <v/>
      </c>
      <c r="AX127" s="22"/>
      <c r="AY127" s="22" t="str">
        <f t="shared" ref="AY127:BB127" si="650">if(AX38=0,"",AY38/AX38-1)</f>
        <v/>
      </c>
      <c r="AZ127" s="22" t="str">
        <f t="shared" si="650"/>
        <v/>
      </c>
      <c r="BA127" s="22" t="str">
        <f t="shared" si="650"/>
        <v/>
      </c>
      <c r="BB127" s="22" t="str">
        <f t="shared" si="650"/>
        <v/>
      </c>
      <c r="BC127" s="22"/>
      <c r="BD127" s="22" t="str">
        <f t="shared" ref="BD127:BG127" si="651">if(BC38=0,"",BD38/BC38-1)</f>
        <v/>
      </c>
      <c r="BE127" s="22" t="str">
        <f t="shared" si="651"/>
        <v/>
      </c>
      <c r="BF127" s="22" t="str">
        <f t="shared" si="651"/>
        <v/>
      </c>
      <c r="BG127" s="22" t="str">
        <f t="shared" si="651"/>
        <v/>
      </c>
      <c r="BH127" s="22"/>
      <c r="BI127" s="22" t="str">
        <f t="shared" ref="BI127:BK127" si="652">if(BH38=0,"",BI38/BH38-1)</f>
        <v/>
      </c>
      <c r="BJ127" s="22" t="str">
        <f t="shared" si="652"/>
        <v/>
      </c>
      <c r="BK127" s="22" t="str">
        <f t="shared" si="652"/>
        <v/>
      </c>
      <c r="BL127" s="22"/>
      <c r="BM127" s="22" t="str">
        <f t="shared" ref="BM127:BO127" si="653">if(BL38=0,"",BM38/BL38-1)</f>
        <v/>
      </c>
      <c r="BN127" s="22" t="str">
        <f t="shared" si="653"/>
        <v/>
      </c>
      <c r="BO127" s="22" t="str">
        <f t="shared" si="653"/>
        <v/>
      </c>
      <c r="BP127" s="22"/>
      <c r="BQ127" s="22" t="str">
        <f t="shared" ref="BQ127:BR127" si="654">if(BP38=0,"",BQ38/BP38-1)</f>
        <v/>
      </c>
      <c r="BR127" s="22" t="str">
        <f t="shared" si="654"/>
        <v/>
      </c>
      <c r="BS127" s="22"/>
      <c r="BT127" s="22" t="str">
        <f t="shared" ref="BT127:BV127" si="655">if(BS38=0,"",BT38/BS38-1)</f>
        <v/>
      </c>
      <c r="BU127" s="22" t="str">
        <f t="shared" si="655"/>
        <v/>
      </c>
      <c r="BV127" s="22" t="str">
        <f t="shared" si="655"/>
        <v/>
      </c>
    </row>
    <row r="128" ht="15.75" customHeight="1">
      <c r="A128" s="7" t="s">
        <v>85</v>
      </c>
      <c r="E128" s="22">
        <f t="shared" ref="E128:H128" si="656">if(D39=0,"",E39/D39-1)</f>
        <v>-0.2420500478</v>
      </c>
      <c r="F128" s="22">
        <f t="shared" si="656"/>
        <v>-0.2053493103</v>
      </c>
      <c r="G128" s="22">
        <f t="shared" si="656"/>
        <v>-0.1400707529</v>
      </c>
      <c r="H128" s="22">
        <f t="shared" si="656"/>
        <v>-0.1180608896</v>
      </c>
      <c r="I128" s="22"/>
      <c r="J128" s="22"/>
      <c r="K128" s="22">
        <f t="shared" ref="K128:N128" si="657">if(J39=0,"",K39/J39-1)</f>
        <v>0.05959341198</v>
      </c>
      <c r="L128" s="22">
        <f t="shared" si="657"/>
        <v>-0.0004204685758</v>
      </c>
      <c r="M128" s="22">
        <f t="shared" si="657"/>
        <v>0.09886319277</v>
      </c>
      <c r="N128" s="22">
        <f t="shared" si="657"/>
        <v>0.2080989535</v>
      </c>
      <c r="O128" s="22"/>
      <c r="P128" s="22"/>
      <c r="Q128" s="22">
        <f t="shared" ref="Q128:T128" si="658">if(P39=0,"",Q39/P39-1)</f>
        <v>0.2387045141</v>
      </c>
      <c r="R128" s="22">
        <f t="shared" si="658"/>
        <v>-0.002564187071</v>
      </c>
      <c r="S128" s="22">
        <f t="shared" si="658"/>
        <v>0.06623402812</v>
      </c>
      <c r="T128" s="22">
        <f t="shared" si="658"/>
        <v>0.2406379994</v>
      </c>
      <c r="U128" s="22"/>
      <c r="V128" s="22" t="str">
        <f t="shared" ref="V128:Y128" si="659">if(U39=0,"",V39/U39-1)</f>
        <v/>
      </c>
      <c r="W128" s="22">
        <f t="shared" si="659"/>
        <v>-0.8192439792</v>
      </c>
      <c r="X128" s="22">
        <f t="shared" si="659"/>
        <v>2.822810194</v>
      </c>
      <c r="Y128" s="22">
        <f t="shared" si="659"/>
        <v>0.3994469034</v>
      </c>
      <c r="Z128" s="22"/>
      <c r="AA128" s="22"/>
      <c r="AB128" s="22" t="str">
        <f t="shared" ref="AB128:AD128" si="660">if(AA39=0,"",AB39/AA39-1)</f>
        <v/>
      </c>
      <c r="AC128" s="22">
        <f t="shared" si="660"/>
        <v>-0.06070883709</v>
      </c>
      <c r="AD128" s="22">
        <f t="shared" si="660"/>
        <v>-0.1040902413</v>
      </c>
      <c r="AE128" s="22"/>
      <c r="AF128" s="22" t="str">
        <f t="shared" si="280"/>
        <v/>
      </c>
      <c r="AG128" s="22"/>
      <c r="AH128" s="22" t="str">
        <f t="shared" si="310"/>
        <v/>
      </c>
      <c r="AI128" s="22"/>
      <c r="AJ128" s="22" t="str">
        <f t="shared" si="265"/>
        <v/>
      </c>
      <c r="AK128" s="22"/>
      <c r="AL128" s="22"/>
      <c r="AM128" s="22" t="str">
        <f t="shared" ref="AM128:AO128" si="661">if(AL39=0,"",AM39/AL39-1)</f>
        <v/>
      </c>
      <c r="AN128" s="22">
        <f t="shared" si="661"/>
        <v>0.07154037782</v>
      </c>
      <c r="AO128" s="22">
        <f t="shared" si="661"/>
        <v>-0.05898177158</v>
      </c>
      <c r="AP128" s="22"/>
      <c r="AQ128" s="22" t="str">
        <f t="shared" ref="AQ128:AS128" si="662">if(AP39=0,"",AQ39/AP39-1)</f>
        <v/>
      </c>
      <c r="AR128" s="22">
        <f t="shared" si="662"/>
        <v>0.3927616672</v>
      </c>
      <c r="AS128" s="22">
        <f t="shared" si="662"/>
        <v>-0.1273335746</v>
      </c>
      <c r="AT128" s="22"/>
      <c r="AU128" s="22" t="str">
        <f t="shared" ref="AU128:AW128" si="663">if(AT39=0,"",AU39/AT39-1)</f>
        <v/>
      </c>
      <c r="AV128" s="22">
        <f t="shared" si="663"/>
        <v>-0.1108763711</v>
      </c>
      <c r="AW128" s="22">
        <f t="shared" si="663"/>
        <v>-0.01193067681</v>
      </c>
      <c r="AX128" s="22"/>
      <c r="AY128" s="22" t="str">
        <f t="shared" ref="AY128:BB128" si="664">if(AX39=0,"",AY39/AX39-1)</f>
        <v/>
      </c>
      <c r="AZ128" s="22">
        <f t="shared" si="664"/>
        <v>2.169268737</v>
      </c>
      <c r="BA128" s="22">
        <f t="shared" si="664"/>
        <v>-0.1041664206</v>
      </c>
      <c r="BB128" s="22">
        <f t="shared" si="664"/>
        <v>-0.269694148</v>
      </c>
      <c r="BC128" s="22"/>
      <c r="BD128" s="22" t="str">
        <f t="shared" ref="BD128:BG128" si="665">if(BC39=0,"",BD39/BC39-1)</f>
        <v/>
      </c>
      <c r="BE128" s="22">
        <f t="shared" si="665"/>
        <v>0.06003875911</v>
      </c>
      <c r="BF128" s="22">
        <f t="shared" si="665"/>
        <v>0.1044526683</v>
      </c>
      <c r="BG128" s="22">
        <f t="shared" si="665"/>
        <v>0.6595890418</v>
      </c>
      <c r="BH128" s="22"/>
      <c r="BI128" s="22" t="str">
        <f t="shared" ref="BI128:BK128" si="666">if(BH39=0,"",BI39/BH39-1)</f>
        <v/>
      </c>
      <c r="BJ128" s="22">
        <f t="shared" si="666"/>
        <v>1.336874034</v>
      </c>
      <c r="BK128" s="22">
        <f t="shared" si="666"/>
        <v>0.2350107831</v>
      </c>
      <c r="BL128" s="22"/>
      <c r="BM128" s="22" t="str">
        <f t="shared" ref="BM128:BO128" si="667">if(BL39=0,"",BM39/BL39-1)</f>
        <v/>
      </c>
      <c r="BN128" s="22">
        <f t="shared" si="667"/>
        <v>-0.3413237869</v>
      </c>
      <c r="BO128" s="22">
        <f t="shared" si="667"/>
        <v>1.212595898</v>
      </c>
      <c r="BP128" s="22"/>
      <c r="BQ128" s="22" t="str">
        <f t="shared" ref="BQ128:BR128" si="668">if(BP39=0,"",BQ39/BP39-1)</f>
        <v/>
      </c>
      <c r="BR128" s="22">
        <f t="shared" si="668"/>
        <v>0.2599309104</v>
      </c>
      <c r="BS128" s="22"/>
      <c r="BT128" s="22" t="str">
        <f t="shared" ref="BT128:BV128" si="669">if(BS39=0,"",BT39/BS39-1)</f>
        <v/>
      </c>
      <c r="BU128" s="22">
        <f t="shared" si="669"/>
        <v>3.683550119</v>
      </c>
      <c r="BV128" s="22">
        <f t="shared" si="669"/>
        <v>-0.1621588897</v>
      </c>
    </row>
    <row r="129" ht="15.75" customHeight="1">
      <c r="A129" s="7" t="s">
        <v>86</v>
      </c>
      <c r="E129" s="22" t="str">
        <f t="shared" ref="E129:H129" si="670">if(D40=0,"",E40/D40-1)</f>
        <v/>
      </c>
      <c r="F129" s="22" t="str">
        <f t="shared" si="670"/>
        <v/>
      </c>
      <c r="G129" s="22" t="str">
        <f t="shared" si="670"/>
        <v/>
      </c>
      <c r="H129" s="22" t="str">
        <f t="shared" si="670"/>
        <v/>
      </c>
      <c r="I129" s="22"/>
      <c r="J129" s="22"/>
      <c r="K129" s="22">
        <f t="shared" ref="K129:N129" si="671">if(J40=0,"",K40/J40-1)</f>
        <v>-0.05423900005</v>
      </c>
      <c r="L129" s="22">
        <f t="shared" si="671"/>
        <v>-0.401887609</v>
      </c>
      <c r="M129" s="22">
        <f t="shared" si="671"/>
        <v>0.08681188415</v>
      </c>
      <c r="N129" s="22">
        <f t="shared" si="671"/>
        <v>0.4064553167</v>
      </c>
      <c r="O129" s="22"/>
      <c r="P129" s="22"/>
      <c r="Q129" s="22">
        <f t="shared" ref="Q129:T129" si="672">if(P40=0,"",Q40/P40-1)</f>
        <v>-0.0298314693</v>
      </c>
      <c r="R129" s="22">
        <f t="shared" si="672"/>
        <v>-0.2707641325</v>
      </c>
      <c r="S129" s="22">
        <f t="shared" si="672"/>
        <v>0.1884771091</v>
      </c>
      <c r="T129" s="22">
        <f t="shared" si="672"/>
        <v>0.6371792375</v>
      </c>
      <c r="U129" s="22"/>
      <c r="V129" s="22" t="str">
        <f t="shared" ref="V129:Y129" si="673">if(U40=0,"",V40/U40-1)</f>
        <v/>
      </c>
      <c r="W129" s="22" t="str">
        <f t="shared" si="673"/>
        <v/>
      </c>
      <c r="X129" s="22" t="str">
        <f t="shared" si="673"/>
        <v/>
      </c>
      <c r="Y129" s="22" t="str">
        <f t="shared" si="673"/>
        <v/>
      </c>
      <c r="Z129" s="22"/>
      <c r="AA129" s="22"/>
      <c r="AB129" s="22" t="str">
        <f t="shared" ref="AB129:AD129" si="674">if(AA40=0,"",AB40/AA40-1)</f>
        <v/>
      </c>
      <c r="AC129" s="22">
        <f t="shared" si="674"/>
        <v>-0.3284221531</v>
      </c>
      <c r="AD129" s="22">
        <f t="shared" si="674"/>
        <v>-0.4478299261</v>
      </c>
      <c r="AE129" s="22"/>
      <c r="AF129" s="22" t="str">
        <f t="shared" si="280"/>
        <v/>
      </c>
      <c r="AG129" s="22"/>
      <c r="AH129" s="22" t="str">
        <f t="shared" si="310"/>
        <v/>
      </c>
      <c r="AI129" s="22"/>
      <c r="AJ129" s="22" t="str">
        <f t="shared" si="265"/>
        <v/>
      </c>
      <c r="AK129" s="22"/>
      <c r="AL129" s="22"/>
      <c r="AM129" s="22" t="str">
        <f t="shared" ref="AM129:AO129" si="675">if(AL40=0,"",AM40/AL40-1)</f>
        <v/>
      </c>
      <c r="AN129" s="22">
        <f t="shared" si="675"/>
        <v>0.1872566614</v>
      </c>
      <c r="AO129" s="22">
        <f t="shared" si="675"/>
        <v>-0.06937257556</v>
      </c>
      <c r="AP129" s="22"/>
      <c r="AQ129" s="22" t="str">
        <f t="shared" ref="AQ129:AS129" si="676">if(AP40=0,"",AQ40/AP40-1)</f>
        <v/>
      </c>
      <c r="AR129" s="22">
        <f t="shared" si="676"/>
        <v>0.63344935</v>
      </c>
      <c r="AS129" s="22">
        <f t="shared" si="676"/>
        <v>-0.04666721419</v>
      </c>
      <c r="AT129" s="22"/>
      <c r="AU129" s="22" t="str">
        <f t="shared" ref="AU129:AW129" si="677">if(AT40=0,"",AU40/AT40-1)</f>
        <v/>
      </c>
      <c r="AV129" s="22">
        <f t="shared" si="677"/>
        <v>-0.2364017162</v>
      </c>
      <c r="AW129" s="22">
        <f t="shared" si="677"/>
        <v>-0.1281701002</v>
      </c>
      <c r="AX129" s="22"/>
      <c r="AY129" s="22" t="str">
        <f t="shared" ref="AY129:BB129" si="678">if(AX40=0,"",AY40/AX40-1)</f>
        <v/>
      </c>
      <c r="AZ129" s="22">
        <f t="shared" si="678"/>
        <v>1.800089374</v>
      </c>
      <c r="BA129" s="22">
        <f t="shared" si="678"/>
        <v>0.1958784589</v>
      </c>
      <c r="BB129" s="22">
        <f t="shared" si="678"/>
        <v>-0.2714304482</v>
      </c>
      <c r="BC129" s="22"/>
      <c r="BD129" s="22" t="str">
        <f t="shared" ref="BD129:BG129" si="679">if(BC40=0,"",BD40/BC40-1)</f>
        <v/>
      </c>
      <c r="BE129" s="22">
        <f t="shared" si="679"/>
        <v>0.04359105073</v>
      </c>
      <c r="BF129" s="22">
        <f t="shared" si="679"/>
        <v>0.03148794984</v>
      </c>
      <c r="BG129" s="22">
        <f t="shared" si="679"/>
        <v>0.5207500429</v>
      </c>
      <c r="BH129" s="22"/>
      <c r="BI129" s="22" t="str">
        <f t="shared" ref="BI129:BK129" si="680">if(BH40=0,"",BI40/BH40-1)</f>
        <v/>
      </c>
      <c r="BJ129" s="22" t="str">
        <f t="shared" si="680"/>
        <v/>
      </c>
      <c r="BK129" s="22" t="str">
        <f t="shared" si="680"/>
        <v/>
      </c>
      <c r="BL129" s="22"/>
      <c r="BM129" s="22" t="str">
        <f t="shared" ref="BM129:BO129" si="681">if(BL40=0,"",BM40/BL40-1)</f>
        <v/>
      </c>
      <c r="BN129" s="22">
        <f t="shared" si="681"/>
        <v>-0.4989321293</v>
      </c>
      <c r="BO129" s="22">
        <f t="shared" si="681"/>
        <v>2.465767556</v>
      </c>
      <c r="BP129" s="22"/>
      <c r="BQ129" s="22" t="str">
        <f t="shared" ref="BQ129:BR129" si="682">if(BP40=0,"",BQ40/BP40-1)</f>
        <v/>
      </c>
      <c r="BR129" s="22" t="str">
        <f t="shared" si="682"/>
        <v/>
      </c>
      <c r="BS129" s="22"/>
      <c r="BT129" s="22" t="str">
        <f t="shared" ref="BT129:BV129" si="683">if(BS40=0,"",BT40/BS40-1)</f>
        <v/>
      </c>
      <c r="BU129" s="22">
        <f t="shared" si="683"/>
        <v>11.26958176</v>
      </c>
      <c r="BV129" s="22">
        <f t="shared" si="683"/>
        <v>1.521867138</v>
      </c>
    </row>
    <row r="130" ht="15.75" customHeight="1">
      <c r="A130" s="7" t="s">
        <v>87</v>
      </c>
      <c r="E130" s="22">
        <f t="shared" ref="E130:H130" si="684">if(D41=0,"",E41/D41-1)</f>
        <v>-0.2479335545</v>
      </c>
      <c r="F130" s="22">
        <f t="shared" si="684"/>
        <v>-0.2710733489</v>
      </c>
      <c r="G130" s="22">
        <f t="shared" si="684"/>
        <v>-0.2223381616</v>
      </c>
      <c r="H130" s="22">
        <f t="shared" si="684"/>
        <v>-0.1242771475</v>
      </c>
      <c r="I130" s="22"/>
      <c r="J130" s="22"/>
      <c r="K130" s="22">
        <f t="shared" ref="K130:N130" si="685">if(J41=0,"",K41/J41-1)</f>
        <v>0.1310540974</v>
      </c>
      <c r="L130" s="22">
        <f t="shared" si="685"/>
        <v>0.5602699584</v>
      </c>
      <c r="M130" s="22">
        <f t="shared" si="685"/>
        <v>0.1975443855</v>
      </c>
      <c r="N130" s="22">
        <f t="shared" si="685"/>
        <v>0.1341696281</v>
      </c>
      <c r="O130" s="22"/>
      <c r="P130" s="22"/>
      <c r="Q130" s="22">
        <f t="shared" ref="Q130:T130" si="686">if(P41=0,"",Q41/P41-1)</f>
        <v>0.02497746749</v>
      </c>
      <c r="R130" s="22">
        <f t="shared" si="686"/>
        <v>0.2856608329</v>
      </c>
      <c r="S130" s="22">
        <f t="shared" si="686"/>
        <v>-0.237431355</v>
      </c>
      <c r="T130" s="22">
        <f t="shared" si="686"/>
        <v>0.1891714105</v>
      </c>
      <c r="U130" s="22"/>
      <c r="V130" s="22" t="str">
        <f t="shared" ref="V130:Y130" si="687">if(U41=0,"",V41/U41-1)</f>
        <v/>
      </c>
      <c r="W130" s="22">
        <f t="shared" si="687"/>
        <v>-0.8344342351</v>
      </c>
      <c r="X130" s="22">
        <f t="shared" si="687"/>
        <v>3.027394253</v>
      </c>
      <c r="Y130" s="22">
        <f t="shared" si="687"/>
        <v>0.2011658178</v>
      </c>
      <c r="Z130" s="22"/>
      <c r="AA130" s="22"/>
      <c r="AB130" s="22" t="str">
        <f t="shared" ref="AB130:AD130" si="688">if(AA41=0,"",AB41/AA41-1)</f>
        <v/>
      </c>
      <c r="AC130" s="22">
        <f t="shared" si="688"/>
        <v>1.581004831</v>
      </c>
      <c r="AD130" s="22">
        <f t="shared" si="688"/>
        <v>-1</v>
      </c>
      <c r="AE130" s="22"/>
      <c r="AF130" s="22" t="str">
        <f t="shared" si="280"/>
        <v/>
      </c>
      <c r="AG130" s="22"/>
      <c r="AH130" s="22" t="str">
        <f t="shared" si="310"/>
        <v/>
      </c>
      <c r="AI130" s="22"/>
      <c r="AJ130" s="22" t="str">
        <f t="shared" si="265"/>
        <v/>
      </c>
      <c r="AK130" s="22"/>
      <c r="AL130" s="22"/>
      <c r="AM130" s="22" t="str">
        <f t="shared" ref="AM130:AO130" si="689">if(AL41=0,"",AM41/AL41-1)</f>
        <v/>
      </c>
      <c r="AN130" s="22">
        <f t="shared" si="689"/>
        <v>-0.4412520387</v>
      </c>
      <c r="AO130" s="22">
        <f t="shared" si="689"/>
        <v>-0.02887189069</v>
      </c>
      <c r="AP130" s="22"/>
      <c r="AQ130" s="22" t="str">
        <f t="shared" ref="AQ130:AS130" si="690">if(AP41=0,"",AQ41/AP41-1)</f>
        <v/>
      </c>
      <c r="AR130" s="22">
        <f t="shared" si="690"/>
        <v>-0.4055905815</v>
      </c>
      <c r="AS130" s="22">
        <f t="shared" si="690"/>
        <v>-0.9137667196</v>
      </c>
      <c r="AT130" s="22"/>
      <c r="AU130" s="22" t="str">
        <f t="shared" ref="AU130:AW130" si="691">if(AT41=0,"",AU41/AT41-1)</f>
        <v/>
      </c>
      <c r="AV130" s="22">
        <f t="shared" si="691"/>
        <v>0.7855454806</v>
      </c>
      <c r="AW130" s="22">
        <f t="shared" si="691"/>
        <v>0.3116974463</v>
      </c>
      <c r="AX130" s="22"/>
      <c r="AY130" s="22" t="str">
        <f t="shared" ref="AY130:BB130" si="692">if(AX41=0,"",AY41/AX41-1)</f>
        <v/>
      </c>
      <c r="AZ130" s="22">
        <f t="shared" si="692"/>
        <v>4.044537351</v>
      </c>
      <c r="BA130" s="22">
        <f t="shared" si="692"/>
        <v>-0.9461744045</v>
      </c>
      <c r="BB130" s="22">
        <f t="shared" si="692"/>
        <v>-0.1551355508</v>
      </c>
      <c r="BC130" s="22"/>
      <c r="BD130" s="22" t="str">
        <f t="shared" ref="BD130:BG130" si="693">if(BC41=0,"",BD41/BC41-1)</f>
        <v/>
      </c>
      <c r="BE130" s="22">
        <f t="shared" si="693"/>
        <v>-0.5739505715</v>
      </c>
      <c r="BF130" s="22">
        <f t="shared" si="693"/>
        <v>0.3247560731</v>
      </c>
      <c r="BG130" s="22">
        <f t="shared" si="693"/>
        <v>-0.0649999969</v>
      </c>
      <c r="BH130" s="22"/>
      <c r="BI130" s="22" t="str">
        <f t="shared" ref="BI130:BK130" si="694">if(BH41=0,"",BI41/BH41-1)</f>
        <v/>
      </c>
      <c r="BJ130" s="22">
        <f t="shared" si="694"/>
        <v>0.9098939699</v>
      </c>
      <c r="BK130" s="22">
        <f t="shared" si="694"/>
        <v>0.4594673202</v>
      </c>
      <c r="BL130" s="22"/>
      <c r="BM130" s="22" t="str">
        <f t="shared" ref="BM130:BO130" si="695">if(BL41=0,"",BM41/BL41-1)</f>
        <v/>
      </c>
      <c r="BN130" s="22">
        <f t="shared" si="695"/>
        <v>-0.1837994826</v>
      </c>
      <c r="BO130" s="22">
        <f t="shared" si="695"/>
        <v>0.1801033515</v>
      </c>
      <c r="BP130" s="22"/>
      <c r="BQ130" s="22" t="str">
        <f t="shared" ref="BQ130:BR130" si="696">if(BP41=0,"",BQ41/BP41-1)</f>
        <v/>
      </c>
      <c r="BR130" s="22">
        <f t="shared" si="696"/>
        <v>-0.918721824</v>
      </c>
      <c r="BS130" s="22"/>
      <c r="BT130" s="22" t="str">
        <f t="shared" ref="BT130:BV130" si="697">if(BS41=0,"",BT41/BS41-1)</f>
        <v/>
      </c>
      <c r="BU130" s="22" t="str">
        <f t="shared" si="697"/>
        <v/>
      </c>
      <c r="BV130" s="22">
        <f t="shared" si="697"/>
        <v>-0.8644993646</v>
      </c>
    </row>
    <row r="131" ht="15.75" customHeight="1">
      <c r="A131" s="7" t="s">
        <v>88</v>
      </c>
      <c r="E131" s="22" t="str">
        <f t="shared" ref="E131:H131" si="698">if(D42=0,"",E42/D42-1)</f>
        <v/>
      </c>
      <c r="F131" s="22">
        <f t="shared" si="698"/>
        <v>-18.94700198</v>
      </c>
      <c r="G131" s="22">
        <f t="shared" si="698"/>
        <v>-0.6209496447</v>
      </c>
      <c r="H131" s="22">
        <f t="shared" si="698"/>
        <v>-3.634350551</v>
      </c>
      <c r="I131" s="22"/>
      <c r="J131" s="22"/>
      <c r="K131" s="22" t="str">
        <f t="shared" ref="K131:N131" si="699">if(J42=0,"",K42/J42-1)</f>
        <v/>
      </c>
      <c r="L131" s="22">
        <f t="shared" si="699"/>
        <v>-5.263317121</v>
      </c>
      <c r="M131" s="22">
        <f t="shared" si="699"/>
        <v>0.7379940057</v>
      </c>
      <c r="N131" s="22">
        <f t="shared" si="699"/>
        <v>-2.574755685</v>
      </c>
      <c r="O131" s="22"/>
      <c r="P131" s="22"/>
      <c r="Q131" s="22" t="str">
        <f t="shared" ref="Q131:T131" si="700">if(P42=0,"",Q42/P42-1)</f>
        <v/>
      </c>
      <c r="R131" s="22">
        <f t="shared" si="700"/>
        <v>-0.9690618077</v>
      </c>
      <c r="S131" s="22">
        <f t="shared" si="700"/>
        <v>-0.8828513472</v>
      </c>
      <c r="T131" s="22">
        <f t="shared" si="700"/>
        <v>-6.554534734</v>
      </c>
      <c r="U131" s="22"/>
      <c r="V131" s="22" t="str">
        <f t="shared" ref="V131:Y131" si="701">if(U42=0,"",V42/U42-1)</f>
        <v/>
      </c>
      <c r="W131" s="22" t="str">
        <f t="shared" si="701"/>
        <v/>
      </c>
      <c r="X131" s="22">
        <f t="shared" si="701"/>
        <v>-0.5809858978</v>
      </c>
      <c r="Y131" s="22">
        <f t="shared" si="701"/>
        <v>-1.774543213</v>
      </c>
      <c r="Z131" s="22"/>
      <c r="AA131" s="22"/>
      <c r="AB131" s="22" t="str">
        <f t="shared" ref="AB131:AD131" si="702">if(AA42=0,"",AB42/AA42-1)</f>
        <v/>
      </c>
      <c r="AC131" s="22" t="str">
        <f t="shared" si="702"/>
        <v/>
      </c>
      <c r="AD131" s="22">
        <f t="shared" si="702"/>
        <v>-0.8635649326</v>
      </c>
      <c r="AE131" s="22"/>
      <c r="AF131" s="22" t="str">
        <f t="shared" si="280"/>
        <v/>
      </c>
      <c r="AG131" s="22"/>
      <c r="AH131" s="22" t="str">
        <f t="shared" si="310"/>
        <v/>
      </c>
      <c r="AI131" s="22"/>
      <c r="AJ131" s="22" t="str">
        <f t="shared" si="265"/>
        <v/>
      </c>
      <c r="AK131" s="22"/>
      <c r="AL131" s="22"/>
      <c r="AM131" s="22" t="str">
        <f t="shared" ref="AM131:AO131" si="703">if(AL42=0,"",AM42/AL42-1)</f>
        <v/>
      </c>
      <c r="AN131" s="22">
        <f t="shared" si="703"/>
        <v>-0.5793196248</v>
      </c>
      <c r="AO131" s="22">
        <f t="shared" si="703"/>
        <v>-0.8737409654</v>
      </c>
      <c r="AP131" s="22"/>
      <c r="AQ131" s="22" t="str">
        <f t="shared" ref="AQ131:AS131" si="704">if(AP42=0,"",AQ42/AP42-1)</f>
        <v/>
      </c>
      <c r="AR131" s="22" t="str">
        <f t="shared" si="704"/>
        <v/>
      </c>
      <c r="AS131" s="22">
        <f t="shared" si="704"/>
        <v>-1.879154508</v>
      </c>
      <c r="AT131" s="22"/>
      <c r="AU131" s="22" t="str">
        <f t="shared" ref="AU131:AW131" si="705">if(AT42=0,"",AU42/AT42-1)</f>
        <v/>
      </c>
      <c r="AV131" s="22" t="str">
        <f t="shared" si="705"/>
        <v/>
      </c>
      <c r="AW131" s="22">
        <f t="shared" si="705"/>
        <v>-0.5654092445</v>
      </c>
      <c r="AX131" s="22"/>
      <c r="AY131" s="22" t="str">
        <f t="shared" ref="AY131:BB131" si="706">if(AX42=0,"",AY42/AX42-1)</f>
        <v/>
      </c>
      <c r="AZ131" s="22" t="str">
        <f t="shared" si="706"/>
        <v/>
      </c>
      <c r="BA131" s="22">
        <f t="shared" si="706"/>
        <v>-7.902769728</v>
      </c>
      <c r="BB131" s="22">
        <f t="shared" si="706"/>
        <v>-0.7077570049</v>
      </c>
      <c r="BC131" s="22"/>
      <c r="BD131" s="22" t="str">
        <f t="shared" ref="BD131:BG131" si="707">if(BC42=0,"",BD42/BC42-1)</f>
        <v/>
      </c>
      <c r="BE131" s="22" t="str">
        <f t="shared" si="707"/>
        <v/>
      </c>
      <c r="BF131" s="22">
        <f t="shared" si="707"/>
        <v>-0.8214965996</v>
      </c>
      <c r="BG131" s="22">
        <f t="shared" si="707"/>
        <v>-4.106543933</v>
      </c>
      <c r="BH131" s="22"/>
      <c r="BI131" s="22" t="str">
        <f t="shared" ref="BI131:BK131" si="708">if(BH42=0,"",BI42/BH42-1)</f>
        <v/>
      </c>
      <c r="BJ131" s="22" t="str">
        <f t="shared" si="708"/>
        <v/>
      </c>
      <c r="BK131" s="22">
        <f t="shared" si="708"/>
        <v>-0.3610746993</v>
      </c>
      <c r="BL131" s="22"/>
      <c r="BM131" s="22" t="str">
        <f t="shared" ref="BM131:BO131" si="709">if(BL42=0,"",BM42/BL42-1)</f>
        <v/>
      </c>
      <c r="BN131" s="22" t="str">
        <f t="shared" si="709"/>
        <v/>
      </c>
      <c r="BO131" s="22">
        <f t="shared" si="709"/>
        <v>-0.2854520733</v>
      </c>
      <c r="BP131" s="22"/>
      <c r="BQ131" s="22" t="str">
        <f t="shared" ref="BQ131:BR131" si="710">if(BP42=0,"",BQ42/BP42-1)</f>
        <v/>
      </c>
      <c r="BR131" s="22" t="str">
        <f t="shared" si="710"/>
        <v/>
      </c>
      <c r="BS131" s="22"/>
      <c r="BT131" s="22" t="str">
        <f t="shared" ref="BT131:BV131" si="711">if(BS42=0,"",BT42/BS42-1)</f>
        <v/>
      </c>
      <c r="BU131" s="22">
        <f t="shared" si="711"/>
        <v>-0.249795855</v>
      </c>
      <c r="BV131" s="22">
        <f t="shared" si="711"/>
        <v>-0.7036526341</v>
      </c>
    </row>
    <row r="132" ht="15.75" customHeight="1">
      <c r="A132" s="7" t="s">
        <v>89</v>
      </c>
      <c r="E132" s="22">
        <f t="shared" ref="E132:H132" si="712">if(D43=0,"",E43/D43-1)</f>
        <v>-0.8330260443</v>
      </c>
      <c r="F132" s="22">
        <f t="shared" si="712"/>
        <v>0.3871176013</v>
      </c>
      <c r="G132" s="22">
        <f t="shared" si="712"/>
        <v>-0.06955451624</v>
      </c>
      <c r="H132" s="22">
        <f t="shared" si="712"/>
        <v>-0.4011452433</v>
      </c>
      <c r="I132" s="22"/>
      <c r="J132" s="22"/>
      <c r="K132" s="22">
        <f t="shared" ref="K132:N132" si="713">if(J43=0,"",K43/J43-1)</f>
        <v>0.05143615714</v>
      </c>
      <c r="L132" s="22">
        <f t="shared" si="713"/>
        <v>-0.3252244731</v>
      </c>
      <c r="M132" s="22">
        <f t="shared" si="713"/>
        <v>-0.5815557799</v>
      </c>
      <c r="N132" s="22">
        <f t="shared" si="713"/>
        <v>-0.5632001414</v>
      </c>
      <c r="O132" s="22"/>
      <c r="P132" s="22"/>
      <c r="Q132" s="22">
        <f t="shared" ref="Q132:T132" si="714">if(P43=0,"",Q43/P43-1)</f>
        <v>-1.420547111</v>
      </c>
      <c r="R132" s="22">
        <f t="shared" si="714"/>
        <v>1.005697391</v>
      </c>
      <c r="S132" s="22">
        <f t="shared" si="714"/>
        <v>0.6652333985</v>
      </c>
      <c r="T132" s="22">
        <f t="shared" si="714"/>
        <v>-1.840836899</v>
      </c>
      <c r="U132" s="22"/>
      <c r="V132" s="22" t="str">
        <f t="shared" ref="V132:Y132" si="715">if(U43=0,"",V43/U43-1)</f>
        <v/>
      </c>
      <c r="W132" s="22">
        <f t="shared" si="715"/>
        <v>86.24958681</v>
      </c>
      <c r="X132" s="22">
        <f t="shared" si="715"/>
        <v>-1.253200136</v>
      </c>
      <c r="Y132" s="22">
        <f t="shared" si="715"/>
        <v>0.9706431036</v>
      </c>
      <c r="Z132" s="22"/>
      <c r="AA132" s="22"/>
      <c r="AB132" s="22" t="str">
        <f t="shared" ref="AB132:AD132" si="716">if(AA43=0,"",AB43/AA43-1)</f>
        <v/>
      </c>
      <c r="AC132" s="22">
        <f t="shared" si="716"/>
        <v>-0.2535569615</v>
      </c>
      <c r="AD132" s="22">
        <f t="shared" si="716"/>
        <v>2.113892849</v>
      </c>
      <c r="AE132" s="22"/>
      <c r="AF132" s="22" t="str">
        <f t="shared" si="280"/>
        <v/>
      </c>
      <c r="AG132" s="22"/>
      <c r="AH132" s="22">
        <f t="shared" si="310"/>
        <v>-0.3304797204</v>
      </c>
      <c r="AI132" s="22"/>
      <c r="AJ132" s="22" t="str">
        <f t="shared" si="265"/>
        <v/>
      </c>
      <c r="AK132" s="22"/>
      <c r="AL132" s="22"/>
      <c r="AM132" s="22" t="str">
        <f t="shared" ref="AM132:AO132" si="717">if(AL43=0,"",AM43/AL43-1)</f>
        <v/>
      </c>
      <c r="AN132" s="22">
        <f t="shared" si="717"/>
        <v>-0.08141389538</v>
      </c>
      <c r="AO132" s="22">
        <f t="shared" si="717"/>
        <v>-0.0817429555</v>
      </c>
      <c r="AP132" s="22"/>
      <c r="AQ132" s="22" t="str">
        <f t="shared" ref="AQ132:AS132" si="718">if(AP43=0,"",AQ43/AP43-1)</f>
        <v/>
      </c>
      <c r="AR132" s="22">
        <f t="shared" si="718"/>
        <v>-0.4485963964</v>
      </c>
      <c r="AS132" s="22">
        <f t="shared" si="718"/>
        <v>0.2360479176</v>
      </c>
      <c r="AT132" s="22"/>
      <c r="AU132" s="22" t="str">
        <f t="shared" ref="AU132:AW132" si="719">if(AT43=0,"",AU43/AT43-1)</f>
        <v/>
      </c>
      <c r="AV132" s="22">
        <f t="shared" si="719"/>
        <v>0.5787497539</v>
      </c>
      <c r="AW132" s="22">
        <f t="shared" si="719"/>
        <v>0.4750553489</v>
      </c>
      <c r="AX132" s="22"/>
      <c r="AY132" s="22" t="str">
        <f t="shared" ref="AY132:BB132" si="720">if(AX43=0,"",AY43/AX43-1)</f>
        <v/>
      </c>
      <c r="AZ132" s="22">
        <f t="shared" si="720"/>
        <v>33.00932324</v>
      </c>
      <c r="BA132" s="22">
        <f t="shared" si="720"/>
        <v>1.755535486</v>
      </c>
      <c r="BB132" s="22">
        <f t="shared" si="720"/>
        <v>0.2286552314</v>
      </c>
      <c r="BC132" s="22"/>
      <c r="BD132" s="22" t="str">
        <f t="shared" ref="BD132:BG132" si="721">if(BC43=0,"",BD43/BC43-1)</f>
        <v/>
      </c>
      <c r="BE132" s="22">
        <f t="shared" si="721"/>
        <v>1.621957348</v>
      </c>
      <c r="BF132" s="22">
        <f t="shared" si="721"/>
        <v>1.729386267</v>
      </c>
      <c r="BG132" s="22">
        <f t="shared" si="721"/>
        <v>-0.9005191498</v>
      </c>
      <c r="BH132" s="22"/>
      <c r="BI132" s="22" t="str">
        <f t="shared" ref="BI132:BK132" si="722">if(BH43=0,"",BI43/BH43-1)</f>
        <v/>
      </c>
      <c r="BJ132" s="22">
        <f t="shared" si="722"/>
        <v>3.854428692</v>
      </c>
      <c r="BK132" s="22">
        <f t="shared" si="722"/>
        <v>-1.286140013</v>
      </c>
      <c r="BL132" s="22"/>
      <c r="BM132" s="22" t="str">
        <f t="shared" ref="BM132:BO132" si="723">if(BL43=0,"",BM43/BL43-1)</f>
        <v/>
      </c>
      <c r="BN132" s="22">
        <f t="shared" si="723"/>
        <v>0.1479964829</v>
      </c>
      <c r="BO132" s="22">
        <f t="shared" si="723"/>
        <v>0.1888724286</v>
      </c>
      <c r="BP132" s="22"/>
      <c r="BQ132" s="22" t="str">
        <f t="shared" ref="BQ132:BR132" si="724">if(BP43=0,"",BQ43/BP43-1)</f>
        <v/>
      </c>
      <c r="BR132" s="22">
        <f t="shared" si="724"/>
        <v>-0.1902755885</v>
      </c>
      <c r="BS132" s="22"/>
      <c r="BT132" s="22" t="str">
        <f t="shared" ref="BT132:BV132" si="725">if(BS43=0,"",BT43/BS43-1)</f>
        <v/>
      </c>
      <c r="BU132" s="22">
        <f t="shared" si="725"/>
        <v>8.013181552</v>
      </c>
      <c r="BV132" s="22">
        <f t="shared" si="725"/>
        <v>-0.3941104103</v>
      </c>
    </row>
    <row r="133" ht="15.75" customHeight="1">
      <c r="A133" s="11" t="s">
        <v>90</v>
      </c>
      <c r="E133" s="22">
        <f t="shared" ref="E133:H133" si="726">if(D44=0,"",E44/D44-1)</f>
        <v>-0.7941265963</v>
      </c>
      <c r="F133" s="22">
        <f t="shared" si="726"/>
        <v>0.6315314406</v>
      </c>
      <c r="G133" s="22">
        <f t="shared" si="726"/>
        <v>0.02869479937</v>
      </c>
      <c r="H133" s="22">
        <f t="shared" si="726"/>
        <v>-0.3515133364</v>
      </c>
      <c r="I133" s="22"/>
      <c r="J133" s="22"/>
      <c r="K133" s="22">
        <f t="shared" ref="K133:N133" si="727">if(J44=0,"",K44/J44-1)</f>
        <v>0.02025037883</v>
      </c>
      <c r="L133" s="22">
        <f t="shared" si="727"/>
        <v>-0.3250748017</v>
      </c>
      <c r="M133" s="22">
        <f t="shared" si="727"/>
        <v>-0.6022889529</v>
      </c>
      <c r="N133" s="22">
        <f t="shared" si="727"/>
        <v>-0.6081127446</v>
      </c>
      <c r="O133" s="22"/>
      <c r="P133" s="22"/>
      <c r="Q133" s="22">
        <f t="shared" ref="Q133:T133" si="728">if(P44=0,"",Q44/P44-1)</f>
        <v>-1.386179792</v>
      </c>
      <c r="R133" s="22">
        <f t="shared" si="728"/>
        <v>1.007880864</v>
      </c>
      <c r="S133" s="22">
        <f t="shared" si="728"/>
        <v>0.6198015314</v>
      </c>
      <c r="T133" s="22">
        <f t="shared" si="728"/>
        <v>-1.760465661</v>
      </c>
      <c r="U133" s="22"/>
      <c r="V133" s="22" t="str">
        <f t="shared" ref="V133:Y133" si="729">if(U44=0,"",V44/U44-1)</f>
        <v/>
      </c>
      <c r="W133" s="22">
        <f t="shared" si="729"/>
        <v>186.8015011</v>
      </c>
      <c r="X133" s="22">
        <f t="shared" si="729"/>
        <v>-1.147400794</v>
      </c>
      <c r="Y133" s="22">
        <f t="shared" si="729"/>
        <v>0.6073190926</v>
      </c>
      <c r="Z133" s="22"/>
      <c r="AA133" s="22"/>
      <c r="AB133" s="22" t="str">
        <f t="shared" ref="AB133:AD133" si="730">if(AA44=0,"",AB44/AA44-1)</f>
        <v/>
      </c>
      <c r="AC133" s="22">
        <f t="shared" si="730"/>
        <v>-0.2285662462</v>
      </c>
      <c r="AD133" s="22">
        <f t="shared" si="730"/>
        <v>2.291359033</v>
      </c>
      <c r="AE133" s="22"/>
      <c r="AF133" s="22" t="str">
        <f t="shared" si="280"/>
        <v/>
      </c>
      <c r="AG133" s="22"/>
      <c r="AH133" s="22">
        <f t="shared" si="310"/>
        <v>-0.3304797204</v>
      </c>
      <c r="AI133" s="22"/>
      <c r="AJ133" s="22" t="str">
        <f t="shared" si="265"/>
        <v/>
      </c>
      <c r="AK133" s="22"/>
      <c r="AL133" s="22"/>
      <c r="AM133" s="22" t="str">
        <f t="shared" ref="AM133:AO133" si="731">if(AL44=0,"",AM44/AL44-1)</f>
        <v/>
      </c>
      <c r="AN133" s="22">
        <f t="shared" si="731"/>
        <v>-0.1206660263</v>
      </c>
      <c r="AO133" s="22">
        <f t="shared" si="731"/>
        <v>-0.04571870945</v>
      </c>
      <c r="AP133" s="22"/>
      <c r="AQ133" s="22" t="str">
        <f t="shared" ref="AQ133:AS133" si="732">if(AP44=0,"",AQ44/AP44-1)</f>
        <v/>
      </c>
      <c r="AR133" s="22">
        <f t="shared" si="732"/>
        <v>-0.5441823501</v>
      </c>
      <c r="AS133" s="22">
        <f t="shared" si="732"/>
        <v>0.3410138539</v>
      </c>
      <c r="AT133" s="22"/>
      <c r="AU133" s="22" t="str">
        <f t="shared" ref="AU133:AW133" si="733">if(AT44=0,"",AU44/AT44-1)</f>
        <v/>
      </c>
      <c r="AV133" s="22">
        <f t="shared" si="733"/>
        <v>0.7208815972</v>
      </c>
      <c r="AW133" s="22">
        <f t="shared" si="733"/>
        <v>0.4878707299</v>
      </c>
      <c r="AX133" s="22"/>
      <c r="AY133" s="22" t="str">
        <f t="shared" ref="AY133:BB133" si="734">if(AX44=0,"",AY44/AX44-1)</f>
        <v/>
      </c>
      <c r="AZ133" s="22">
        <f t="shared" si="734"/>
        <v>16.46676651</v>
      </c>
      <c r="BA133" s="22">
        <f t="shared" si="734"/>
        <v>1.97582043</v>
      </c>
      <c r="BB133" s="22">
        <f t="shared" si="734"/>
        <v>0.5083244715</v>
      </c>
      <c r="BC133" s="22"/>
      <c r="BD133" s="22" t="str">
        <f t="shared" ref="BD133:BG133" si="735">if(BC44=0,"",BD44/BC44-1)</f>
        <v/>
      </c>
      <c r="BE133" s="22">
        <f t="shared" si="735"/>
        <v>1.52923028</v>
      </c>
      <c r="BF133" s="22">
        <f t="shared" si="735"/>
        <v>1.56227121</v>
      </c>
      <c r="BG133" s="22">
        <f t="shared" si="735"/>
        <v>-0.9302878588</v>
      </c>
      <c r="BH133" s="22"/>
      <c r="BI133" s="22" t="str">
        <f t="shared" ref="BI133:BK133" si="736">if(BH44=0,"",BI44/BH44-1)</f>
        <v/>
      </c>
      <c r="BJ133" s="22">
        <f t="shared" si="736"/>
        <v>1.571190344</v>
      </c>
      <c r="BK133" s="22">
        <f t="shared" si="736"/>
        <v>-1.239805477</v>
      </c>
      <c r="BL133" s="22"/>
      <c r="BM133" s="22" t="str">
        <f t="shared" ref="BM133:BO133" si="737">if(BL44=0,"",BM44/BL44-1)</f>
        <v/>
      </c>
      <c r="BN133" s="22">
        <f t="shared" si="737"/>
        <v>0.2112063913</v>
      </c>
      <c r="BO133" s="22">
        <f t="shared" si="737"/>
        <v>0.05317637105</v>
      </c>
      <c r="BP133" s="22"/>
      <c r="BQ133" s="22" t="str">
        <f t="shared" ref="BQ133:BR133" si="738">if(BP44=0,"",BQ44/BP44-1)</f>
        <v/>
      </c>
      <c r="BR133" s="22">
        <f t="shared" si="738"/>
        <v>-0.3342610134</v>
      </c>
      <c r="BS133" s="22"/>
      <c r="BT133" s="22" t="str">
        <f t="shared" ref="BT133:BV133" si="739">if(BS44=0,"",BT44/BS44-1)</f>
        <v/>
      </c>
      <c r="BU133" s="22">
        <f t="shared" si="739"/>
        <v>2.617398527</v>
      </c>
      <c r="BV133" s="22">
        <f t="shared" si="739"/>
        <v>-0.308793869</v>
      </c>
    </row>
    <row r="134" ht="15.75" customHeight="1">
      <c r="BQ134" s="3"/>
      <c r="BR134" s="3"/>
      <c r="BT134" s="3"/>
      <c r="BU134" s="3"/>
      <c r="BV134" s="3"/>
    </row>
    <row r="135" ht="15.75" customHeight="1">
      <c r="BQ135" s="3"/>
      <c r="BR135" s="3"/>
      <c r="BT135" s="3"/>
      <c r="BU135" s="3"/>
      <c r="BV135" s="3"/>
    </row>
    <row r="136" ht="15.75" customHeight="1">
      <c r="BQ136" s="3"/>
      <c r="BR136" s="3"/>
      <c r="BT136" s="3"/>
      <c r="BU136" s="3"/>
      <c r="BV136" s="3"/>
    </row>
    <row r="137" ht="15.75" customHeight="1">
      <c r="BQ137" s="3"/>
      <c r="BR137" s="3"/>
      <c r="BT137" s="3"/>
      <c r="BU137" s="3"/>
      <c r="BV137" s="3"/>
    </row>
    <row r="138" ht="15.75" customHeight="1">
      <c r="BQ138" s="3"/>
      <c r="BR138" s="3"/>
      <c r="BT138" s="3"/>
      <c r="BU138" s="3"/>
      <c r="BV138" s="3"/>
    </row>
    <row r="139" ht="15.75" customHeight="1">
      <c r="BQ139" s="3"/>
      <c r="BR139" s="3"/>
      <c r="BT139" s="3"/>
      <c r="BU139" s="3"/>
      <c r="BV139" s="3"/>
    </row>
    <row r="140" ht="15.75" customHeight="1">
      <c r="BQ140" s="3"/>
      <c r="BR140" s="3"/>
      <c r="BT140" s="3"/>
      <c r="BU140" s="3"/>
      <c r="BV140" s="3"/>
    </row>
    <row r="141" ht="15.75" customHeight="1">
      <c r="BQ141" s="3"/>
      <c r="BR141" s="3"/>
      <c r="BT141" s="3"/>
      <c r="BU141" s="3"/>
      <c r="BV141" s="3"/>
    </row>
    <row r="142" ht="15.75" customHeight="1">
      <c r="BQ142" s="3"/>
      <c r="BR142" s="3"/>
      <c r="BT142" s="3"/>
      <c r="BU142" s="3"/>
      <c r="BV142" s="3"/>
    </row>
    <row r="143" ht="15.75" customHeight="1">
      <c r="BQ143" s="3"/>
      <c r="BR143" s="3"/>
      <c r="BT143" s="3"/>
      <c r="BU143" s="3"/>
      <c r="BV143" s="3"/>
    </row>
    <row r="144" ht="15.75" customHeight="1">
      <c r="BQ144" s="3"/>
      <c r="BR144" s="3"/>
      <c r="BT144" s="3"/>
      <c r="BU144" s="3"/>
      <c r="BV144" s="3"/>
    </row>
    <row r="145" ht="15.75" customHeight="1">
      <c r="BQ145" s="3"/>
      <c r="BR145" s="3"/>
      <c r="BT145" s="3"/>
      <c r="BU145" s="3"/>
      <c r="BV145" s="3"/>
    </row>
    <row r="146" ht="15.75" customHeight="1">
      <c r="BQ146" s="3"/>
      <c r="BR146" s="3"/>
      <c r="BT146" s="3"/>
      <c r="BU146" s="3"/>
      <c r="BV146" s="3"/>
    </row>
    <row r="147" ht="15.75" customHeight="1">
      <c r="BQ147" s="3"/>
      <c r="BR147" s="3"/>
      <c r="BT147" s="3"/>
      <c r="BU147" s="3"/>
      <c r="BV147" s="3"/>
    </row>
    <row r="148" ht="15.75" customHeight="1">
      <c r="BQ148" s="3"/>
      <c r="BR148" s="3"/>
      <c r="BT148" s="3"/>
      <c r="BU148" s="3"/>
      <c r="BV148" s="3"/>
    </row>
    <row r="149" ht="15.75" customHeight="1">
      <c r="BQ149" s="3"/>
      <c r="BR149" s="3"/>
      <c r="BT149" s="3"/>
      <c r="BU149" s="3"/>
      <c r="BV149" s="3"/>
    </row>
    <row r="150" ht="15.75" customHeight="1">
      <c r="BQ150" s="3"/>
      <c r="BR150" s="3"/>
      <c r="BT150" s="3"/>
      <c r="BU150" s="3"/>
      <c r="BV150" s="3"/>
    </row>
    <row r="151" ht="15.75" customHeight="1">
      <c r="BQ151" s="3"/>
      <c r="BR151" s="3"/>
      <c r="BT151" s="3"/>
      <c r="BU151" s="3"/>
      <c r="BV151" s="3"/>
    </row>
    <row r="152" ht="15.75" customHeight="1">
      <c r="BQ152" s="3"/>
      <c r="BR152" s="3"/>
      <c r="BT152" s="3"/>
      <c r="BU152" s="3"/>
      <c r="BV152" s="3"/>
    </row>
    <row r="153" ht="15.75" customHeight="1">
      <c r="BQ153" s="3"/>
      <c r="BR153" s="3"/>
      <c r="BT153" s="3"/>
      <c r="BU153" s="3"/>
      <c r="BV153" s="3"/>
    </row>
    <row r="154" ht="15.75" customHeight="1">
      <c r="BQ154" s="3"/>
      <c r="BR154" s="3"/>
      <c r="BT154" s="3"/>
      <c r="BU154" s="3"/>
      <c r="BV154" s="3"/>
    </row>
    <row r="155" ht="15.75" customHeight="1">
      <c r="BQ155" s="3"/>
      <c r="BR155" s="3"/>
      <c r="BT155" s="3"/>
      <c r="BU155" s="3"/>
      <c r="BV155" s="3"/>
    </row>
    <row r="156" ht="15.75" customHeight="1">
      <c r="BQ156" s="3"/>
      <c r="BR156" s="3"/>
      <c r="BT156" s="3"/>
      <c r="BU156" s="3"/>
      <c r="BV156" s="3"/>
    </row>
    <row r="157" ht="15.75" customHeight="1">
      <c r="BQ157" s="3"/>
      <c r="BR157" s="3"/>
      <c r="BT157" s="3"/>
      <c r="BU157" s="3"/>
      <c r="BV157" s="3"/>
    </row>
    <row r="158" ht="15.75" customHeight="1">
      <c r="BQ158" s="3"/>
      <c r="BR158" s="3"/>
      <c r="BT158" s="3"/>
      <c r="BU158" s="3"/>
      <c r="BV158" s="3"/>
    </row>
    <row r="159" ht="15.75" customHeight="1">
      <c r="BQ159" s="3"/>
      <c r="BR159" s="3"/>
      <c r="BT159" s="3"/>
      <c r="BU159" s="3"/>
      <c r="BV159" s="3"/>
    </row>
    <row r="160" ht="15.75" customHeight="1">
      <c r="BQ160" s="3"/>
      <c r="BR160" s="3"/>
      <c r="BT160" s="3"/>
      <c r="BU160" s="3"/>
      <c r="BV160" s="3"/>
    </row>
    <row r="161" ht="15.75" customHeight="1">
      <c r="BQ161" s="3"/>
      <c r="BR161" s="3"/>
      <c r="BT161" s="3"/>
      <c r="BU161" s="3"/>
      <c r="BV161" s="3"/>
    </row>
    <row r="162" ht="15.75" customHeight="1">
      <c r="BQ162" s="3"/>
      <c r="BR162" s="3"/>
      <c r="BT162" s="3"/>
      <c r="BU162" s="3"/>
      <c r="BV162" s="3"/>
    </row>
    <row r="163" ht="15.75" customHeight="1">
      <c r="BQ163" s="3"/>
      <c r="BR163" s="3"/>
      <c r="BT163" s="3"/>
      <c r="BU163" s="3"/>
      <c r="BV163" s="3"/>
    </row>
    <row r="164" ht="15.75" customHeight="1">
      <c r="BQ164" s="3"/>
      <c r="BR164" s="3"/>
      <c r="BT164" s="3"/>
      <c r="BU164" s="3"/>
      <c r="BV164" s="3"/>
    </row>
    <row r="165" ht="15.75" customHeight="1">
      <c r="BQ165" s="3"/>
      <c r="BR165" s="3"/>
      <c r="BT165" s="3"/>
      <c r="BU165" s="3"/>
      <c r="BV165" s="3"/>
    </row>
    <row r="166" ht="15.75" customHeight="1">
      <c r="BQ166" s="3"/>
      <c r="BR166" s="3"/>
      <c r="BT166" s="3"/>
      <c r="BU166" s="3"/>
      <c r="BV166" s="3"/>
    </row>
    <row r="167" ht="15.75" customHeight="1">
      <c r="BQ167" s="3"/>
      <c r="BR167" s="3"/>
      <c r="BT167" s="3"/>
      <c r="BU167" s="3"/>
      <c r="BV167" s="3"/>
    </row>
    <row r="168" ht="15.75" customHeight="1">
      <c r="BQ168" s="3"/>
      <c r="BR168" s="3"/>
      <c r="BT168" s="3"/>
      <c r="BU168" s="3"/>
      <c r="BV168" s="3"/>
    </row>
    <row r="169" ht="15.75" customHeight="1">
      <c r="BQ169" s="3"/>
      <c r="BR169" s="3"/>
      <c r="BT169" s="3"/>
      <c r="BU169" s="3"/>
      <c r="BV169" s="3"/>
    </row>
    <row r="170" ht="15.75" customHeight="1">
      <c r="BQ170" s="3"/>
      <c r="BR170" s="3"/>
      <c r="BT170" s="3"/>
      <c r="BU170" s="3"/>
      <c r="BV170" s="3"/>
    </row>
    <row r="171" ht="15.75" customHeight="1">
      <c r="BQ171" s="3"/>
      <c r="BR171" s="3"/>
      <c r="BT171" s="3"/>
      <c r="BU171" s="3"/>
      <c r="BV171" s="3"/>
    </row>
    <row r="172" ht="15.75" customHeight="1">
      <c r="BQ172" s="3"/>
      <c r="BR172" s="3"/>
      <c r="BT172" s="3"/>
      <c r="BU172" s="3"/>
      <c r="BV172" s="3"/>
    </row>
    <row r="173" ht="15.75" customHeight="1">
      <c r="BQ173" s="3"/>
      <c r="BR173" s="3"/>
      <c r="BT173" s="3"/>
      <c r="BU173" s="3"/>
      <c r="BV173" s="3"/>
    </row>
    <row r="174" ht="15.75" customHeight="1">
      <c r="BQ174" s="3"/>
      <c r="BR174" s="3"/>
      <c r="BT174" s="3"/>
      <c r="BU174" s="3"/>
      <c r="BV174" s="3"/>
    </row>
    <row r="175" ht="15.75" customHeight="1">
      <c r="BQ175" s="3"/>
      <c r="BR175" s="3"/>
      <c r="BT175" s="3"/>
      <c r="BU175" s="3"/>
      <c r="BV175" s="3"/>
    </row>
    <row r="176" ht="15.75" customHeight="1">
      <c r="BQ176" s="3"/>
      <c r="BR176" s="3"/>
      <c r="BT176" s="3"/>
      <c r="BU176" s="3"/>
      <c r="BV176" s="3"/>
    </row>
    <row r="177" ht="15.75" customHeight="1">
      <c r="BQ177" s="3"/>
      <c r="BR177" s="3"/>
      <c r="BT177" s="3"/>
      <c r="BU177" s="3"/>
      <c r="BV177" s="3"/>
    </row>
    <row r="178" ht="15.75" customHeight="1">
      <c r="BQ178" s="3"/>
      <c r="BR178" s="3"/>
      <c r="BT178" s="3"/>
      <c r="BU178" s="3"/>
      <c r="BV178" s="3"/>
    </row>
    <row r="179" ht="15.75" customHeight="1">
      <c r="BQ179" s="3"/>
      <c r="BR179" s="3"/>
      <c r="BT179" s="3"/>
      <c r="BU179" s="3"/>
      <c r="BV179" s="3"/>
    </row>
    <row r="180" ht="15.75" customHeight="1">
      <c r="BQ180" s="3"/>
      <c r="BR180" s="3"/>
      <c r="BT180" s="3"/>
      <c r="BU180" s="3"/>
      <c r="BV180" s="3"/>
    </row>
    <row r="181" ht="15.75" customHeight="1">
      <c r="BQ181" s="3"/>
      <c r="BR181" s="3"/>
      <c r="BT181" s="3"/>
      <c r="BU181" s="3"/>
      <c r="BV181" s="3"/>
    </row>
    <row r="182" ht="15.75" customHeight="1">
      <c r="BQ182" s="3"/>
      <c r="BR182" s="3"/>
      <c r="BT182" s="3"/>
      <c r="BU182" s="3"/>
      <c r="BV182" s="3"/>
    </row>
    <row r="183" ht="15.75" customHeight="1">
      <c r="BQ183" s="3"/>
      <c r="BR183" s="3"/>
      <c r="BT183" s="3"/>
      <c r="BU183" s="3"/>
      <c r="BV183" s="3"/>
    </row>
    <row r="184" ht="15.75" customHeight="1">
      <c r="BQ184" s="3"/>
      <c r="BR184" s="3"/>
      <c r="BT184" s="3"/>
      <c r="BU184" s="3"/>
      <c r="BV184" s="3"/>
    </row>
    <row r="185" ht="15.75" customHeight="1">
      <c r="BQ185" s="3"/>
      <c r="BR185" s="3"/>
      <c r="BT185" s="3"/>
      <c r="BU185" s="3"/>
      <c r="BV185" s="3"/>
    </row>
    <row r="186" ht="15.75" customHeight="1">
      <c r="BQ186" s="3"/>
      <c r="BR186" s="3"/>
      <c r="BT186" s="3"/>
      <c r="BU186" s="3"/>
      <c r="BV186" s="3"/>
    </row>
    <row r="187" ht="15.75" customHeight="1">
      <c r="BQ187" s="3"/>
      <c r="BR187" s="3"/>
      <c r="BT187" s="3"/>
      <c r="BU187" s="3"/>
      <c r="BV187" s="3"/>
    </row>
    <row r="188" ht="15.75" customHeight="1">
      <c r="BQ188" s="3"/>
      <c r="BR188" s="3"/>
      <c r="BT188" s="3"/>
      <c r="BU188" s="3"/>
      <c r="BV188" s="3"/>
    </row>
    <row r="189" ht="15.75" customHeight="1">
      <c r="BQ189" s="3"/>
      <c r="BR189" s="3"/>
      <c r="BT189" s="3"/>
      <c r="BU189" s="3"/>
      <c r="BV189" s="3"/>
    </row>
    <row r="190" ht="15.75" customHeight="1">
      <c r="BQ190" s="3"/>
      <c r="BR190" s="3"/>
      <c r="BT190" s="3"/>
      <c r="BU190" s="3"/>
      <c r="BV190" s="3"/>
    </row>
    <row r="191" ht="15.75" customHeight="1">
      <c r="BQ191" s="3"/>
      <c r="BR191" s="3"/>
      <c r="BT191" s="3"/>
      <c r="BU191" s="3"/>
      <c r="BV191" s="3"/>
    </row>
    <row r="192" ht="15.75" customHeight="1">
      <c r="BQ192" s="3"/>
      <c r="BR192" s="3"/>
      <c r="BT192" s="3"/>
      <c r="BU192" s="3"/>
      <c r="BV192" s="3"/>
    </row>
    <row r="193" ht="15.75" customHeight="1">
      <c r="BQ193" s="3"/>
      <c r="BR193" s="3"/>
      <c r="BT193" s="3"/>
      <c r="BU193" s="3"/>
      <c r="BV193" s="3"/>
    </row>
    <row r="194" ht="15.75" customHeight="1">
      <c r="BQ194" s="3"/>
      <c r="BR194" s="3"/>
      <c r="BT194" s="3"/>
      <c r="BU194" s="3"/>
      <c r="BV194" s="3"/>
    </row>
    <row r="195" ht="15.75" customHeight="1">
      <c r="BQ195" s="3"/>
      <c r="BR195" s="3"/>
      <c r="BT195" s="3"/>
      <c r="BU195" s="3"/>
      <c r="BV195" s="3"/>
    </row>
    <row r="196" ht="15.75" customHeight="1">
      <c r="BQ196" s="3"/>
      <c r="BR196" s="3"/>
      <c r="BT196" s="3"/>
      <c r="BU196" s="3"/>
      <c r="BV196" s="3"/>
    </row>
    <row r="197" ht="15.75" customHeight="1">
      <c r="BQ197" s="3"/>
      <c r="BR197" s="3"/>
      <c r="BT197" s="3"/>
      <c r="BU197" s="3"/>
      <c r="BV197" s="3"/>
    </row>
    <row r="198" ht="15.75" customHeight="1">
      <c r="BQ198" s="3"/>
      <c r="BR198" s="3"/>
      <c r="BT198" s="3"/>
      <c r="BU198" s="3"/>
      <c r="BV198" s="3"/>
    </row>
    <row r="199" ht="15.75" customHeight="1">
      <c r="BQ199" s="3"/>
      <c r="BR199" s="3"/>
      <c r="BT199" s="3"/>
      <c r="BU199" s="3"/>
      <c r="BV199" s="3"/>
    </row>
    <row r="200" ht="15.75" customHeight="1">
      <c r="BQ200" s="3"/>
      <c r="BR200" s="3"/>
      <c r="BT200" s="3"/>
      <c r="BU200" s="3"/>
      <c r="BV200" s="3"/>
    </row>
    <row r="201" ht="15.75" customHeight="1">
      <c r="BQ201" s="3"/>
      <c r="BR201" s="3"/>
      <c r="BT201" s="3"/>
      <c r="BU201" s="3"/>
      <c r="BV201" s="3"/>
    </row>
    <row r="202" ht="15.75" customHeight="1">
      <c r="BQ202" s="3"/>
      <c r="BR202" s="3"/>
      <c r="BT202" s="3"/>
      <c r="BU202" s="3"/>
      <c r="BV202" s="3"/>
    </row>
    <row r="203" ht="15.75" customHeight="1">
      <c r="BQ203" s="3"/>
      <c r="BR203" s="3"/>
      <c r="BT203" s="3"/>
      <c r="BU203" s="3"/>
      <c r="BV203" s="3"/>
    </row>
    <row r="204" ht="15.75" customHeight="1">
      <c r="BQ204" s="3"/>
      <c r="BR204" s="3"/>
      <c r="BT204" s="3"/>
      <c r="BU204" s="3"/>
      <c r="BV204" s="3"/>
    </row>
    <row r="205" ht="15.75" customHeight="1">
      <c r="BQ205" s="3"/>
      <c r="BR205" s="3"/>
      <c r="BT205" s="3"/>
      <c r="BU205" s="3"/>
      <c r="BV205" s="3"/>
    </row>
    <row r="206" ht="15.75" customHeight="1">
      <c r="BQ206" s="3"/>
      <c r="BR206" s="3"/>
      <c r="BT206" s="3"/>
      <c r="BU206" s="3"/>
      <c r="BV206" s="3"/>
    </row>
    <row r="207" ht="15.75" customHeight="1">
      <c r="BQ207" s="3"/>
      <c r="BR207" s="3"/>
      <c r="BT207" s="3"/>
      <c r="BU207" s="3"/>
      <c r="BV207" s="3"/>
    </row>
    <row r="208" ht="15.75" customHeight="1">
      <c r="BQ208" s="3"/>
      <c r="BR208" s="3"/>
      <c r="BT208" s="3"/>
      <c r="BU208" s="3"/>
      <c r="BV208" s="3"/>
    </row>
    <row r="209" ht="15.75" customHeight="1">
      <c r="BQ209" s="3"/>
      <c r="BR209" s="3"/>
      <c r="BT209" s="3"/>
      <c r="BU209" s="3"/>
      <c r="BV209" s="3"/>
    </row>
    <row r="210" ht="15.75" customHeight="1">
      <c r="BQ210" s="3"/>
      <c r="BR210" s="3"/>
      <c r="BT210" s="3"/>
      <c r="BU210" s="3"/>
      <c r="BV210" s="3"/>
    </row>
    <row r="211" ht="15.75" customHeight="1">
      <c r="BQ211" s="3"/>
      <c r="BR211" s="3"/>
      <c r="BT211" s="3"/>
      <c r="BU211" s="3"/>
      <c r="BV211" s="3"/>
    </row>
    <row r="212" ht="15.75" customHeight="1">
      <c r="BQ212" s="3"/>
      <c r="BR212" s="3"/>
      <c r="BT212" s="3"/>
      <c r="BU212" s="3"/>
      <c r="BV212" s="3"/>
    </row>
    <row r="213" ht="15.75" customHeight="1">
      <c r="BQ213" s="3"/>
      <c r="BR213" s="3"/>
      <c r="BT213" s="3"/>
      <c r="BU213" s="3"/>
      <c r="BV213" s="3"/>
    </row>
    <row r="214" ht="15.75" customHeight="1">
      <c r="BQ214" s="3"/>
      <c r="BR214" s="3"/>
      <c r="BT214" s="3"/>
      <c r="BU214" s="3"/>
      <c r="BV214" s="3"/>
    </row>
    <row r="215" ht="15.75" customHeight="1">
      <c r="BQ215" s="3"/>
      <c r="BR215" s="3"/>
      <c r="BT215" s="3"/>
      <c r="BU215" s="3"/>
      <c r="BV215" s="3"/>
    </row>
    <row r="216" ht="15.75" customHeight="1">
      <c r="BQ216" s="3"/>
      <c r="BR216" s="3"/>
      <c r="BT216" s="3"/>
      <c r="BU216" s="3"/>
      <c r="BV216" s="3"/>
    </row>
    <row r="217" ht="15.75" customHeight="1">
      <c r="BQ217" s="3"/>
      <c r="BR217" s="3"/>
      <c r="BT217" s="3"/>
      <c r="BU217" s="3"/>
      <c r="BV217" s="3"/>
    </row>
    <row r="218" ht="15.75" customHeight="1">
      <c r="BQ218" s="3"/>
      <c r="BR218" s="3"/>
      <c r="BT218" s="3"/>
      <c r="BU218" s="3"/>
      <c r="BV218" s="3"/>
    </row>
    <row r="219" ht="15.75" customHeight="1">
      <c r="BQ219" s="3"/>
      <c r="BR219" s="3"/>
      <c r="BT219" s="3"/>
      <c r="BU219" s="3"/>
      <c r="BV219" s="3"/>
    </row>
    <row r="220" ht="15.75" customHeight="1">
      <c r="BQ220" s="3"/>
      <c r="BR220" s="3"/>
      <c r="BT220" s="3"/>
      <c r="BU220" s="3"/>
      <c r="BV220" s="3"/>
    </row>
    <row r="221" ht="15.75" customHeight="1">
      <c r="BQ221" s="3"/>
      <c r="BR221" s="3"/>
      <c r="BT221" s="3"/>
      <c r="BU221" s="3"/>
      <c r="BV221" s="3"/>
    </row>
    <row r="222" ht="15.75" customHeight="1">
      <c r="BQ222" s="3"/>
      <c r="BR222" s="3"/>
      <c r="BT222" s="3"/>
      <c r="BU222" s="3"/>
      <c r="BV222" s="3"/>
    </row>
    <row r="223" ht="15.75" customHeight="1">
      <c r="BQ223" s="3"/>
      <c r="BR223" s="3"/>
      <c r="BT223" s="3"/>
      <c r="BU223" s="3"/>
      <c r="BV223" s="3"/>
    </row>
    <row r="224" ht="15.75" customHeight="1">
      <c r="BQ224" s="3"/>
      <c r="BR224" s="3"/>
      <c r="BT224" s="3"/>
      <c r="BU224" s="3"/>
      <c r="BV224" s="3"/>
    </row>
    <row r="225" ht="15.75" customHeight="1">
      <c r="BQ225" s="3"/>
      <c r="BR225" s="3"/>
      <c r="BT225" s="3"/>
      <c r="BU225" s="3"/>
      <c r="BV225" s="3"/>
    </row>
    <row r="226" ht="15.75" customHeight="1">
      <c r="BQ226" s="3"/>
      <c r="BR226" s="3"/>
      <c r="BT226" s="3"/>
      <c r="BU226" s="3"/>
      <c r="BV226" s="3"/>
    </row>
    <row r="227" ht="15.75" customHeight="1">
      <c r="BQ227" s="3"/>
      <c r="BR227" s="3"/>
      <c r="BT227" s="3"/>
      <c r="BU227" s="3"/>
      <c r="BV227" s="3"/>
    </row>
    <row r="228" ht="15.75" customHeight="1">
      <c r="BQ228" s="3"/>
      <c r="BR228" s="3"/>
      <c r="BT228" s="3"/>
      <c r="BU228" s="3"/>
      <c r="BV228" s="3"/>
    </row>
    <row r="229" ht="15.75" customHeight="1">
      <c r="BQ229" s="3"/>
      <c r="BR229" s="3"/>
      <c r="BT229" s="3"/>
      <c r="BU229" s="3"/>
      <c r="BV229" s="3"/>
    </row>
    <row r="230" ht="15.75" customHeight="1">
      <c r="BQ230" s="3"/>
      <c r="BR230" s="3"/>
      <c r="BT230" s="3"/>
      <c r="BU230" s="3"/>
      <c r="BV230" s="3"/>
    </row>
    <row r="231" ht="15.75" customHeight="1">
      <c r="BQ231" s="3"/>
      <c r="BR231" s="3"/>
      <c r="BT231" s="3"/>
      <c r="BU231" s="3"/>
      <c r="BV231" s="3"/>
    </row>
    <row r="232" ht="15.75" customHeight="1">
      <c r="BQ232" s="3"/>
      <c r="BR232" s="3"/>
      <c r="BT232" s="3"/>
      <c r="BU232" s="3"/>
      <c r="BV232" s="3"/>
    </row>
    <row r="233" ht="15.75" customHeight="1">
      <c r="BQ233" s="3"/>
      <c r="BR233" s="3"/>
      <c r="BT233" s="3"/>
      <c r="BU233" s="3"/>
      <c r="BV233" s="3"/>
    </row>
    <row r="234" ht="15.75" customHeight="1">
      <c r="BQ234" s="3"/>
      <c r="BR234" s="3"/>
      <c r="BT234" s="3"/>
      <c r="BU234" s="3"/>
      <c r="BV234" s="3"/>
    </row>
    <row r="235" ht="15.75" customHeight="1">
      <c r="BQ235" s="3"/>
      <c r="BR235" s="3"/>
      <c r="BT235" s="3"/>
      <c r="BU235" s="3"/>
      <c r="BV235" s="3"/>
    </row>
    <row r="236" ht="15.75" customHeight="1">
      <c r="BQ236" s="3"/>
      <c r="BR236" s="3"/>
      <c r="BT236" s="3"/>
      <c r="BU236" s="3"/>
      <c r="BV236" s="3"/>
    </row>
    <row r="237" ht="15.75" customHeight="1">
      <c r="BQ237" s="3"/>
      <c r="BR237" s="3"/>
      <c r="BT237" s="3"/>
      <c r="BU237" s="3"/>
      <c r="BV237" s="3"/>
    </row>
    <row r="238" ht="15.75" customHeight="1">
      <c r="BQ238" s="3"/>
      <c r="BR238" s="3"/>
      <c r="BT238" s="3"/>
      <c r="BU238" s="3"/>
      <c r="BV238" s="3"/>
    </row>
    <row r="239" ht="15.75" customHeight="1">
      <c r="BQ239" s="3"/>
      <c r="BR239" s="3"/>
      <c r="BT239" s="3"/>
      <c r="BU239" s="3"/>
      <c r="BV239" s="3"/>
    </row>
    <row r="240" ht="15.75" customHeight="1">
      <c r="BQ240" s="3"/>
      <c r="BR240" s="3"/>
      <c r="BT240" s="3"/>
      <c r="BU240" s="3"/>
      <c r="BV240" s="3"/>
    </row>
    <row r="241" ht="15.75" customHeight="1">
      <c r="BQ241" s="3"/>
      <c r="BR241" s="3"/>
      <c r="BT241" s="3"/>
      <c r="BU241" s="3"/>
      <c r="BV241" s="3"/>
    </row>
    <row r="242" ht="15.75" customHeight="1">
      <c r="BQ242" s="3"/>
      <c r="BR242" s="3"/>
      <c r="BT242" s="3"/>
      <c r="BU242" s="3"/>
      <c r="BV242" s="3"/>
    </row>
    <row r="243" ht="15.75" customHeight="1">
      <c r="BQ243" s="3"/>
      <c r="BR243" s="3"/>
      <c r="BT243" s="3"/>
      <c r="BU243" s="3"/>
      <c r="BV243" s="3"/>
    </row>
    <row r="244" ht="15.75" customHeight="1">
      <c r="BQ244" s="3"/>
      <c r="BR244" s="3"/>
      <c r="BT244" s="3"/>
      <c r="BU244" s="3"/>
      <c r="BV244" s="3"/>
    </row>
    <row r="245" ht="15.75" customHeight="1">
      <c r="BQ245" s="3"/>
      <c r="BR245" s="3"/>
      <c r="BT245" s="3"/>
      <c r="BU245" s="3"/>
      <c r="BV245" s="3"/>
    </row>
    <row r="246" ht="15.75" customHeight="1">
      <c r="BQ246" s="3"/>
      <c r="BR246" s="3"/>
      <c r="BT246" s="3"/>
      <c r="BU246" s="3"/>
      <c r="BV246" s="3"/>
    </row>
    <row r="247" ht="15.75" customHeight="1">
      <c r="BQ247" s="3"/>
      <c r="BR247" s="3"/>
      <c r="BT247" s="3"/>
      <c r="BU247" s="3"/>
      <c r="BV247" s="3"/>
    </row>
    <row r="248" ht="15.75" customHeight="1">
      <c r="BQ248" s="3"/>
      <c r="BR248" s="3"/>
      <c r="BT248" s="3"/>
      <c r="BU248" s="3"/>
      <c r="BV248" s="3"/>
    </row>
    <row r="249" ht="15.75" customHeight="1">
      <c r="BQ249" s="3"/>
      <c r="BR249" s="3"/>
      <c r="BT249" s="3"/>
      <c r="BU249" s="3"/>
      <c r="BV249" s="3"/>
    </row>
    <row r="250" ht="15.75" customHeight="1">
      <c r="BQ250" s="3"/>
      <c r="BR250" s="3"/>
      <c r="BT250" s="3"/>
      <c r="BU250" s="3"/>
      <c r="BV250" s="3"/>
    </row>
    <row r="251" ht="15.75" customHeight="1">
      <c r="BQ251" s="3"/>
      <c r="BR251" s="3"/>
      <c r="BT251" s="3"/>
      <c r="BU251" s="3"/>
      <c r="BV251" s="3"/>
    </row>
    <row r="252" ht="15.75" customHeight="1">
      <c r="BQ252" s="3"/>
      <c r="BR252" s="3"/>
      <c r="BT252" s="3"/>
      <c r="BU252" s="3"/>
      <c r="BV252" s="3"/>
    </row>
    <row r="253" ht="15.75" customHeight="1">
      <c r="BQ253" s="3"/>
      <c r="BR253" s="3"/>
      <c r="BT253" s="3"/>
      <c r="BU253" s="3"/>
      <c r="BV253" s="3"/>
    </row>
    <row r="254" ht="15.75" customHeight="1">
      <c r="BQ254" s="3"/>
      <c r="BR254" s="3"/>
      <c r="BT254" s="3"/>
      <c r="BU254" s="3"/>
      <c r="BV254" s="3"/>
    </row>
    <row r="255" ht="15.75" customHeight="1">
      <c r="BQ255" s="3"/>
      <c r="BR255" s="3"/>
      <c r="BT255" s="3"/>
      <c r="BU255" s="3"/>
      <c r="BV255" s="3"/>
    </row>
    <row r="256" ht="15.75" customHeight="1">
      <c r="BQ256" s="3"/>
      <c r="BR256" s="3"/>
      <c r="BT256" s="3"/>
      <c r="BU256" s="3"/>
      <c r="BV256" s="3"/>
    </row>
    <row r="257" ht="15.75" customHeight="1">
      <c r="BQ257" s="3"/>
      <c r="BR257" s="3"/>
      <c r="BT257" s="3"/>
      <c r="BU257" s="3"/>
      <c r="BV257" s="3"/>
    </row>
    <row r="258" ht="15.75" customHeight="1">
      <c r="BQ258" s="3"/>
      <c r="BR258" s="3"/>
      <c r="BT258" s="3"/>
      <c r="BU258" s="3"/>
      <c r="BV258" s="3"/>
    </row>
    <row r="259" ht="15.75" customHeight="1">
      <c r="BQ259" s="3"/>
      <c r="BR259" s="3"/>
      <c r="BT259" s="3"/>
      <c r="BU259" s="3"/>
      <c r="BV259" s="3"/>
    </row>
    <row r="260" ht="15.75" customHeight="1">
      <c r="BQ260" s="3"/>
      <c r="BR260" s="3"/>
      <c r="BT260" s="3"/>
      <c r="BU260" s="3"/>
      <c r="BV260" s="3"/>
    </row>
    <row r="261" ht="15.75" customHeight="1">
      <c r="BQ261" s="3"/>
      <c r="BR261" s="3"/>
      <c r="BT261" s="3"/>
      <c r="BU261" s="3"/>
      <c r="BV261" s="3"/>
    </row>
    <row r="262" ht="15.75" customHeight="1">
      <c r="BQ262" s="3"/>
      <c r="BR262" s="3"/>
      <c r="BT262" s="3"/>
      <c r="BU262" s="3"/>
      <c r="BV262" s="3"/>
    </row>
    <row r="263" ht="15.75" customHeight="1">
      <c r="BQ263" s="3"/>
      <c r="BR263" s="3"/>
      <c r="BT263" s="3"/>
      <c r="BU263" s="3"/>
      <c r="BV263" s="3"/>
    </row>
    <row r="264" ht="15.75" customHeight="1">
      <c r="BQ264" s="3"/>
      <c r="BR264" s="3"/>
      <c r="BT264" s="3"/>
      <c r="BU264" s="3"/>
      <c r="BV264" s="3"/>
    </row>
    <row r="265" ht="15.75" customHeight="1">
      <c r="BQ265" s="3"/>
      <c r="BR265" s="3"/>
      <c r="BT265" s="3"/>
      <c r="BU265" s="3"/>
      <c r="BV265" s="3"/>
    </row>
    <row r="266" ht="15.75" customHeight="1">
      <c r="BQ266" s="3"/>
      <c r="BR266" s="3"/>
      <c r="BT266" s="3"/>
      <c r="BU266" s="3"/>
      <c r="BV266" s="3"/>
    </row>
    <row r="267" ht="15.75" customHeight="1">
      <c r="BQ267" s="3"/>
      <c r="BR267" s="3"/>
      <c r="BT267" s="3"/>
      <c r="BU267" s="3"/>
      <c r="BV267" s="3"/>
    </row>
    <row r="268" ht="15.75" customHeight="1">
      <c r="BQ268" s="3"/>
      <c r="BR268" s="3"/>
      <c r="BT268" s="3"/>
      <c r="BU268" s="3"/>
      <c r="BV268" s="3"/>
    </row>
    <row r="269" ht="15.75" customHeight="1">
      <c r="BQ269" s="3"/>
      <c r="BR269" s="3"/>
      <c r="BT269" s="3"/>
      <c r="BU269" s="3"/>
      <c r="BV269" s="3"/>
    </row>
    <row r="270" ht="15.75" customHeight="1">
      <c r="BQ270" s="3"/>
      <c r="BR270" s="3"/>
      <c r="BT270" s="3"/>
      <c r="BU270" s="3"/>
      <c r="BV270" s="3"/>
    </row>
    <row r="271" ht="15.75" customHeight="1">
      <c r="BQ271" s="3"/>
      <c r="BR271" s="3"/>
      <c r="BT271" s="3"/>
      <c r="BU271" s="3"/>
      <c r="BV271" s="3"/>
    </row>
    <row r="272" ht="15.75" customHeight="1">
      <c r="BQ272" s="3"/>
      <c r="BR272" s="3"/>
      <c r="BT272" s="3"/>
      <c r="BU272" s="3"/>
      <c r="BV272" s="3"/>
    </row>
    <row r="273" ht="15.75" customHeight="1">
      <c r="BQ273" s="3"/>
      <c r="BR273" s="3"/>
      <c r="BT273" s="3"/>
      <c r="BU273" s="3"/>
      <c r="BV273" s="3"/>
    </row>
    <row r="274" ht="15.75" customHeight="1">
      <c r="BQ274" s="3"/>
      <c r="BR274" s="3"/>
      <c r="BT274" s="3"/>
      <c r="BU274" s="3"/>
      <c r="BV274" s="3"/>
    </row>
    <row r="275" ht="15.75" customHeight="1">
      <c r="BQ275" s="3"/>
      <c r="BR275" s="3"/>
      <c r="BT275" s="3"/>
      <c r="BU275" s="3"/>
      <c r="BV275" s="3"/>
    </row>
    <row r="276" ht="15.75" customHeight="1">
      <c r="BQ276" s="3"/>
      <c r="BR276" s="3"/>
      <c r="BT276" s="3"/>
      <c r="BU276" s="3"/>
      <c r="BV276" s="3"/>
    </row>
    <row r="277" ht="15.75" customHeight="1">
      <c r="BQ277" s="3"/>
      <c r="BR277" s="3"/>
      <c r="BT277" s="3"/>
      <c r="BU277" s="3"/>
      <c r="BV277" s="3"/>
    </row>
    <row r="278" ht="15.75" customHeight="1">
      <c r="BQ278" s="3"/>
      <c r="BR278" s="3"/>
      <c r="BT278" s="3"/>
      <c r="BU278" s="3"/>
      <c r="BV278" s="3"/>
    </row>
    <row r="279" ht="15.75" customHeight="1">
      <c r="BQ279" s="3"/>
      <c r="BR279" s="3"/>
      <c r="BT279" s="3"/>
      <c r="BU279" s="3"/>
      <c r="BV279" s="3"/>
    </row>
    <row r="280" ht="15.75" customHeight="1">
      <c r="BQ280" s="3"/>
      <c r="BR280" s="3"/>
      <c r="BT280" s="3"/>
      <c r="BU280" s="3"/>
      <c r="BV280" s="3"/>
    </row>
    <row r="281" ht="15.75" customHeight="1">
      <c r="BQ281" s="3"/>
      <c r="BR281" s="3"/>
      <c r="BT281" s="3"/>
      <c r="BU281" s="3"/>
      <c r="BV281" s="3"/>
    </row>
    <row r="282" ht="15.75" customHeight="1">
      <c r="BQ282" s="3"/>
      <c r="BR282" s="3"/>
      <c r="BT282" s="3"/>
      <c r="BU282" s="3"/>
      <c r="BV282" s="3"/>
    </row>
    <row r="283" ht="15.75" customHeight="1">
      <c r="BQ283" s="3"/>
      <c r="BR283" s="3"/>
      <c r="BT283" s="3"/>
      <c r="BU283" s="3"/>
      <c r="BV283" s="3"/>
    </row>
    <row r="284" ht="15.75" customHeight="1">
      <c r="BQ284" s="3"/>
      <c r="BR284" s="3"/>
      <c r="BT284" s="3"/>
      <c r="BU284" s="3"/>
      <c r="BV284" s="3"/>
    </row>
    <row r="285" ht="15.75" customHeight="1">
      <c r="BQ285" s="3"/>
      <c r="BR285" s="3"/>
      <c r="BT285" s="3"/>
      <c r="BU285" s="3"/>
      <c r="BV285" s="3"/>
    </row>
    <row r="286" ht="15.75" customHeight="1">
      <c r="BQ286" s="3"/>
      <c r="BR286" s="3"/>
      <c r="BT286" s="3"/>
      <c r="BU286" s="3"/>
      <c r="BV286" s="3"/>
    </row>
    <row r="287" ht="15.75" customHeight="1">
      <c r="BQ287" s="3"/>
      <c r="BR287" s="3"/>
      <c r="BT287" s="3"/>
      <c r="BU287" s="3"/>
      <c r="BV287" s="3"/>
    </row>
    <row r="288" ht="15.75" customHeight="1">
      <c r="BQ288" s="3"/>
      <c r="BR288" s="3"/>
      <c r="BT288" s="3"/>
      <c r="BU288" s="3"/>
      <c r="BV288" s="3"/>
    </row>
    <row r="289" ht="15.75" customHeight="1">
      <c r="BQ289" s="3"/>
      <c r="BR289" s="3"/>
      <c r="BT289" s="3"/>
      <c r="BU289" s="3"/>
      <c r="BV289" s="3"/>
    </row>
    <row r="290" ht="15.75" customHeight="1">
      <c r="BQ290" s="3"/>
      <c r="BR290" s="3"/>
      <c r="BT290" s="3"/>
      <c r="BU290" s="3"/>
      <c r="BV290" s="3"/>
    </row>
    <row r="291" ht="15.75" customHeight="1">
      <c r="BQ291" s="3"/>
      <c r="BR291" s="3"/>
      <c r="BT291" s="3"/>
      <c r="BU291" s="3"/>
      <c r="BV291" s="3"/>
    </row>
    <row r="292" ht="15.75" customHeight="1">
      <c r="BQ292" s="3"/>
      <c r="BR292" s="3"/>
      <c r="BT292" s="3"/>
      <c r="BU292" s="3"/>
      <c r="BV292" s="3"/>
    </row>
    <row r="293" ht="15.75" customHeight="1">
      <c r="BQ293" s="3"/>
      <c r="BR293" s="3"/>
      <c r="BT293" s="3"/>
      <c r="BU293" s="3"/>
      <c r="BV293" s="3"/>
    </row>
    <row r="294" ht="15.75" customHeight="1">
      <c r="BQ294" s="3"/>
      <c r="BR294" s="3"/>
      <c r="BT294" s="3"/>
      <c r="BU294" s="3"/>
      <c r="BV294" s="3"/>
    </row>
    <row r="295" ht="15.75" customHeight="1">
      <c r="BQ295" s="3"/>
      <c r="BR295" s="3"/>
      <c r="BT295" s="3"/>
      <c r="BU295" s="3"/>
      <c r="BV295" s="3"/>
    </row>
    <row r="296" ht="15.75" customHeight="1">
      <c r="BQ296" s="3"/>
      <c r="BR296" s="3"/>
      <c r="BT296" s="3"/>
      <c r="BU296" s="3"/>
      <c r="BV296" s="3"/>
    </row>
    <row r="297" ht="15.75" customHeight="1">
      <c r="BQ297" s="3"/>
      <c r="BR297" s="3"/>
      <c r="BT297" s="3"/>
      <c r="BU297" s="3"/>
      <c r="BV297" s="3"/>
    </row>
    <row r="298" ht="15.75" customHeight="1">
      <c r="BQ298" s="3"/>
      <c r="BR298" s="3"/>
      <c r="BT298" s="3"/>
      <c r="BU298" s="3"/>
      <c r="BV298" s="3"/>
    </row>
    <row r="299" ht="15.75" customHeight="1">
      <c r="BQ299" s="3"/>
      <c r="BR299" s="3"/>
      <c r="BT299" s="3"/>
      <c r="BU299" s="3"/>
      <c r="BV299" s="3"/>
    </row>
    <row r="300" ht="15.75" customHeight="1">
      <c r="BQ300" s="3"/>
      <c r="BR300" s="3"/>
      <c r="BT300" s="3"/>
      <c r="BU300" s="3"/>
      <c r="BV300" s="3"/>
    </row>
    <row r="301" ht="15.75" customHeight="1">
      <c r="BQ301" s="3"/>
      <c r="BR301" s="3"/>
      <c r="BT301" s="3"/>
      <c r="BU301" s="3"/>
      <c r="BV301" s="3"/>
    </row>
    <row r="302" ht="15.75" customHeight="1">
      <c r="BQ302" s="3"/>
      <c r="BR302" s="3"/>
      <c r="BT302" s="3"/>
      <c r="BU302" s="3"/>
      <c r="BV302" s="3"/>
    </row>
    <row r="303" ht="15.75" customHeight="1">
      <c r="BQ303" s="3"/>
      <c r="BR303" s="3"/>
      <c r="BT303" s="3"/>
      <c r="BU303" s="3"/>
      <c r="BV303" s="3"/>
    </row>
    <row r="304" ht="15.75" customHeight="1">
      <c r="BQ304" s="3"/>
      <c r="BR304" s="3"/>
      <c r="BT304" s="3"/>
      <c r="BU304" s="3"/>
      <c r="BV304" s="3"/>
    </row>
    <row r="305" ht="15.75" customHeight="1">
      <c r="BQ305" s="3"/>
      <c r="BR305" s="3"/>
      <c r="BT305" s="3"/>
      <c r="BU305" s="3"/>
      <c r="BV305" s="3"/>
    </row>
    <row r="306" ht="15.75" customHeight="1">
      <c r="BQ306" s="3"/>
      <c r="BR306" s="3"/>
      <c r="BT306" s="3"/>
      <c r="BU306" s="3"/>
      <c r="BV306" s="3"/>
    </row>
    <row r="307" ht="15.75" customHeight="1">
      <c r="BQ307" s="3"/>
      <c r="BR307" s="3"/>
      <c r="BT307" s="3"/>
      <c r="BU307" s="3"/>
      <c r="BV307" s="3"/>
    </row>
    <row r="308" ht="15.75" customHeight="1">
      <c r="BQ308" s="3"/>
      <c r="BR308" s="3"/>
      <c r="BT308" s="3"/>
      <c r="BU308" s="3"/>
      <c r="BV308" s="3"/>
    </row>
    <row r="309" ht="15.75" customHeight="1">
      <c r="BQ309" s="3"/>
      <c r="BR309" s="3"/>
      <c r="BT309" s="3"/>
      <c r="BU309" s="3"/>
      <c r="BV309" s="3"/>
    </row>
    <row r="310" ht="15.75" customHeight="1">
      <c r="BQ310" s="3"/>
      <c r="BR310" s="3"/>
      <c r="BT310" s="3"/>
      <c r="BU310" s="3"/>
      <c r="BV310" s="3"/>
    </row>
    <row r="311" ht="15.75" customHeight="1">
      <c r="BQ311" s="3"/>
      <c r="BR311" s="3"/>
      <c r="BT311" s="3"/>
      <c r="BU311" s="3"/>
      <c r="BV311" s="3"/>
    </row>
    <row r="312" ht="15.75" customHeight="1">
      <c r="BQ312" s="3"/>
      <c r="BR312" s="3"/>
      <c r="BT312" s="3"/>
      <c r="BU312" s="3"/>
      <c r="BV312" s="3"/>
    </row>
    <row r="313" ht="15.75" customHeight="1">
      <c r="BQ313" s="3"/>
      <c r="BR313" s="3"/>
      <c r="BT313" s="3"/>
      <c r="BU313" s="3"/>
      <c r="BV313" s="3"/>
    </row>
    <row r="314" ht="15.75" customHeight="1">
      <c r="BQ314" s="3"/>
      <c r="BR314" s="3"/>
      <c r="BT314" s="3"/>
      <c r="BU314" s="3"/>
      <c r="BV314" s="3"/>
    </row>
    <row r="315" ht="15.75" customHeight="1">
      <c r="BQ315" s="3"/>
      <c r="BR315" s="3"/>
      <c r="BT315" s="3"/>
      <c r="BU315" s="3"/>
      <c r="BV315" s="3"/>
    </row>
    <row r="316" ht="15.75" customHeight="1">
      <c r="BQ316" s="3"/>
      <c r="BR316" s="3"/>
      <c r="BT316" s="3"/>
      <c r="BU316" s="3"/>
      <c r="BV316" s="3"/>
    </row>
    <row r="317" ht="15.75" customHeight="1">
      <c r="BQ317" s="3"/>
      <c r="BR317" s="3"/>
      <c r="BT317" s="3"/>
      <c r="BU317" s="3"/>
      <c r="BV317" s="3"/>
    </row>
    <row r="318" ht="15.75" customHeight="1">
      <c r="BQ318" s="3"/>
      <c r="BR318" s="3"/>
      <c r="BT318" s="3"/>
      <c r="BU318" s="3"/>
      <c r="BV318" s="3"/>
    </row>
    <row r="319" ht="15.75" customHeight="1">
      <c r="BQ319" s="3"/>
      <c r="BR319" s="3"/>
      <c r="BT319" s="3"/>
      <c r="BU319" s="3"/>
      <c r="BV319" s="3"/>
    </row>
    <row r="320" ht="15.75" customHeight="1">
      <c r="BQ320" s="3"/>
      <c r="BR320" s="3"/>
      <c r="BT320" s="3"/>
      <c r="BU320" s="3"/>
      <c r="BV320" s="3"/>
    </row>
    <row r="321" ht="15.75" customHeight="1">
      <c r="BQ321" s="3"/>
      <c r="BR321" s="3"/>
      <c r="BT321" s="3"/>
      <c r="BU321" s="3"/>
      <c r="BV321" s="3"/>
    </row>
    <row r="322" ht="15.75" customHeight="1">
      <c r="BQ322" s="3"/>
      <c r="BR322" s="3"/>
      <c r="BT322" s="3"/>
      <c r="BU322" s="3"/>
      <c r="BV322" s="3"/>
    </row>
    <row r="323" ht="15.75" customHeight="1">
      <c r="BQ323" s="3"/>
      <c r="BR323" s="3"/>
      <c r="BT323" s="3"/>
      <c r="BU323" s="3"/>
      <c r="BV323" s="3"/>
    </row>
    <row r="324" ht="15.75" customHeight="1">
      <c r="BQ324" s="3"/>
      <c r="BR324" s="3"/>
      <c r="BT324" s="3"/>
      <c r="BU324" s="3"/>
      <c r="BV324" s="3"/>
    </row>
    <row r="325" ht="15.75" customHeight="1">
      <c r="BQ325" s="3"/>
      <c r="BR325" s="3"/>
      <c r="BT325" s="3"/>
      <c r="BU325" s="3"/>
      <c r="BV325" s="3"/>
    </row>
    <row r="326" ht="15.75" customHeight="1">
      <c r="BQ326" s="3"/>
      <c r="BR326" s="3"/>
      <c r="BT326" s="3"/>
      <c r="BU326" s="3"/>
      <c r="BV326" s="3"/>
    </row>
    <row r="327" ht="15.75" customHeight="1">
      <c r="BQ327" s="3"/>
      <c r="BR327" s="3"/>
      <c r="BT327" s="3"/>
      <c r="BU327" s="3"/>
      <c r="BV327" s="3"/>
    </row>
    <row r="328" ht="15.75" customHeight="1">
      <c r="BQ328" s="3"/>
      <c r="BR328" s="3"/>
      <c r="BT328" s="3"/>
      <c r="BU328" s="3"/>
      <c r="BV328" s="3"/>
    </row>
    <row r="329" ht="15.75" customHeight="1">
      <c r="BQ329" s="3"/>
      <c r="BR329" s="3"/>
      <c r="BT329" s="3"/>
      <c r="BU329" s="3"/>
      <c r="BV329" s="3"/>
    </row>
    <row r="330" ht="15.75" customHeight="1">
      <c r="BQ330" s="3"/>
      <c r="BR330" s="3"/>
      <c r="BT330" s="3"/>
      <c r="BU330" s="3"/>
      <c r="BV330" s="3"/>
    </row>
    <row r="331" ht="15.75" customHeight="1">
      <c r="BQ331" s="3"/>
      <c r="BR331" s="3"/>
      <c r="BT331" s="3"/>
      <c r="BU331" s="3"/>
      <c r="BV331" s="3"/>
    </row>
    <row r="332" ht="15.75" customHeight="1">
      <c r="BQ332" s="3"/>
      <c r="BR332" s="3"/>
      <c r="BT332" s="3"/>
      <c r="BU332" s="3"/>
      <c r="BV332" s="3"/>
    </row>
    <row r="333" ht="15.75" customHeight="1">
      <c r="BQ333" s="3"/>
      <c r="BR333" s="3"/>
      <c r="BT333" s="3"/>
      <c r="BU333" s="3"/>
      <c r="BV333" s="3"/>
    </row>
    <row r="334" ht="15.75" customHeight="1">
      <c r="BQ334" s="3"/>
      <c r="BR334" s="3"/>
      <c r="BT334" s="3"/>
      <c r="BU334" s="3"/>
      <c r="BV334" s="3"/>
    </row>
    <row r="335" ht="15.75" customHeight="1">
      <c r="BQ335" s="3"/>
      <c r="BR335" s="3"/>
      <c r="BT335" s="3"/>
      <c r="BU335" s="3"/>
      <c r="BV335" s="3"/>
    </row>
    <row r="336" ht="15.75" customHeight="1">
      <c r="BQ336" s="3"/>
      <c r="BR336" s="3"/>
      <c r="BT336" s="3"/>
      <c r="BU336" s="3"/>
      <c r="BV336" s="3"/>
    </row>
    <row r="337" ht="15.75" customHeight="1">
      <c r="BQ337" s="3"/>
      <c r="BR337" s="3"/>
      <c r="BT337" s="3"/>
      <c r="BU337" s="3"/>
      <c r="BV337" s="3"/>
    </row>
    <row r="338" ht="15.75" customHeight="1">
      <c r="BQ338" s="3"/>
      <c r="BR338" s="3"/>
      <c r="BT338" s="3"/>
      <c r="BU338" s="3"/>
      <c r="BV338" s="3"/>
    </row>
    <row r="339" ht="15.75" customHeight="1">
      <c r="BQ339" s="3"/>
      <c r="BR339" s="3"/>
      <c r="BT339" s="3"/>
      <c r="BU339" s="3"/>
      <c r="BV339" s="3"/>
    </row>
    <row r="340" ht="15.75" customHeight="1">
      <c r="BQ340" s="3"/>
      <c r="BR340" s="3"/>
      <c r="BT340" s="3"/>
      <c r="BU340" s="3"/>
      <c r="BV340" s="3"/>
    </row>
    <row r="341" ht="15.75" customHeight="1">
      <c r="BQ341" s="3"/>
      <c r="BR341" s="3"/>
      <c r="BT341" s="3"/>
      <c r="BU341" s="3"/>
      <c r="BV341" s="3"/>
    </row>
    <row r="342" ht="15.75" customHeight="1">
      <c r="BQ342" s="3"/>
      <c r="BR342" s="3"/>
      <c r="BT342" s="3"/>
      <c r="BU342" s="3"/>
      <c r="BV342" s="3"/>
    </row>
    <row r="343" ht="15.75" customHeight="1">
      <c r="BQ343" s="3"/>
      <c r="BR343" s="3"/>
      <c r="BT343" s="3"/>
      <c r="BU343" s="3"/>
      <c r="BV343" s="3"/>
    </row>
    <row r="344" ht="15.75" customHeight="1">
      <c r="BQ344" s="3"/>
      <c r="BR344" s="3"/>
      <c r="BT344" s="3"/>
      <c r="BU344" s="3"/>
      <c r="BV344" s="3"/>
    </row>
    <row r="345" ht="15.75" customHeight="1">
      <c r="BQ345" s="3"/>
      <c r="BR345" s="3"/>
      <c r="BT345" s="3"/>
      <c r="BU345" s="3"/>
      <c r="BV345" s="3"/>
    </row>
    <row r="346" ht="15.75" customHeight="1">
      <c r="BQ346" s="3"/>
      <c r="BR346" s="3"/>
      <c r="BT346" s="3"/>
      <c r="BU346" s="3"/>
      <c r="BV346" s="3"/>
    </row>
    <row r="347" ht="15.75" customHeight="1">
      <c r="BQ347" s="3"/>
      <c r="BR347" s="3"/>
      <c r="BT347" s="3"/>
      <c r="BU347" s="3"/>
      <c r="BV347" s="3"/>
    </row>
    <row r="348" ht="15.75" customHeight="1">
      <c r="BQ348" s="3"/>
      <c r="BR348" s="3"/>
      <c r="BT348" s="3"/>
      <c r="BU348" s="3"/>
      <c r="BV348" s="3"/>
    </row>
    <row r="349" ht="15.75" customHeight="1">
      <c r="BQ349" s="3"/>
      <c r="BR349" s="3"/>
      <c r="BT349" s="3"/>
      <c r="BU349" s="3"/>
      <c r="BV349" s="3"/>
    </row>
    <row r="350" ht="15.75" customHeight="1">
      <c r="BQ350" s="3"/>
      <c r="BR350" s="3"/>
      <c r="BT350" s="3"/>
      <c r="BU350" s="3"/>
      <c r="BV350" s="3"/>
    </row>
    <row r="351" ht="15.75" customHeight="1">
      <c r="BQ351" s="3"/>
      <c r="BR351" s="3"/>
      <c r="BT351" s="3"/>
      <c r="BU351" s="3"/>
      <c r="BV351" s="3"/>
    </row>
    <row r="352" ht="15.75" customHeight="1">
      <c r="BQ352" s="3"/>
      <c r="BR352" s="3"/>
      <c r="BT352" s="3"/>
      <c r="BU352" s="3"/>
      <c r="BV352" s="3"/>
    </row>
    <row r="353" ht="15.75" customHeight="1">
      <c r="BQ353" s="3"/>
      <c r="BR353" s="3"/>
      <c r="BT353" s="3"/>
      <c r="BU353" s="3"/>
      <c r="BV353" s="3"/>
    </row>
    <row r="354" ht="15.75" customHeight="1">
      <c r="BQ354" s="3"/>
      <c r="BR354" s="3"/>
      <c r="BT354" s="3"/>
      <c r="BU354" s="3"/>
      <c r="BV354" s="3"/>
    </row>
    <row r="355" ht="15.75" customHeight="1">
      <c r="BQ355" s="3"/>
      <c r="BR355" s="3"/>
      <c r="BT355" s="3"/>
      <c r="BU355" s="3"/>
      <c r="BV355" s="3"/>
    </row>
    <row r="356" ht="15.75" customHeight="1">
      <c r="BQ356" s="3"/>
      <c r="BR356" s="3"/>
      <c r="BT356" s="3"/>
      <c r="BU356" s="3"/>
      <c r="BV356" s="3"/>
    </row>
    <row r="357" ht="15.75" customHeight="1">
      <c r="BQ357" s="3"/>
      <c r="BR357" s="3"/>
      <c r="BT357" s="3"/>
      <c r="BU357" s="3"/>
      <c r="BV357" s="3"/>
    </row>
    <row r="358" ht="15.75" customHeight="1">
      <c r="BQ358" s="3"/>
      <c r="BR358" s="3"/>
      <c r="BT358" s="3"/>
      <c r="BU358" s="3"/>
      <c r="BV358" s="3"/>
    </row>
    <row r="359" ht="15.75" customHeight="1">
      <c r="BQ359" s="3"/>
      <c r="BR359" s="3"/>
      <c r="BT359" s="3"/>
      <c r="BU359" s="3"/>
      <c r="BV359" s="3"/>
    </row>
    <row r="360" ht="15.75" customHeight="1">
      <c r="BQ360" s="3"/>
      <c r="BR360" s="3"/>
      <c r="BT360" s="3"/>
      <c r="BU360" s="3"/>
      <c r="BV360" s="3"/>
    </row>
    <row r="361" ht="15.75" customHeight="1">
      <c r="BQ361" s="3"/>
      <c r="BR361" s="3"/>
      <c r="BT361" s="3"/>
      <c r="BU361" s="3"/>
      <c r="BV361" s="3"/>
    </row>
    <row r="362" ht="15.75" customHeight="1">
      <c r="BQ362" s="3"/>
      <c r="BR362" s="3"/>
      <c r="BT362" s="3"/>
      <c r="BU362" s="3"/>
      <c r="BV362" s="3"/>
    </row>
    <row r="363" ht="15.75" customHeight="1">
      <c r="BQ363" s="3"/>
      <c r="BR363" s="3"/>
      <c r="BT363" s="3"/>
      <c r="BU363" s="3"/>
      <c r="BV363" s="3"/>
    </row>
    <row r="364" ht="15.75" customHeight="1">
      <c r="BQ364" s="3"/>
      <c r="BR364" s="3"/>
      <c r="BT364" s="3"/>
      <c r="BU364" s="3"/>
      <c r="BV364" s="3"/>
    </row>
    <row r="365" ht="15.75" customHeight="1">
      <c r="BQ365" s="3"/>
      <c r="BR365" s="3"/>
      <c r="BT365" s="3"/>
      <c r="BU365" s="3"/>
      <c r="BV365" s="3"/>
    </row>
    <row r="366" ht="15.75" customHeight="1">
      <c r="BQ366" s="3"/>
      <c r="BR366" s="3"/>
      <c r="BT366" s="3"/>
      <c r="BU366" s="3"/>
      <c r="BV366" s="3"/>
    </row>
    <row r="367" ht="15.75" customHeight="1">
      <c r="BQ367" s="3"/>
      <c r="BR367" s="3"/>
      <c r="BT367" s="3"/>
      <c r="BU367" s="3"/>
      <c r="BV367" s="3"/>
    </row>
    <row r="368" ht="15.75" customHeight="1">
      <c r="BQ368" s="3"/>
      <c r="BR368" s="3"/>
      <c r="BT368" s="3"/>
      <c r="BU368" s="3"/>
      <c r="BV368" s="3"/>
    </row>
    <row r="369" ht="15.75" customHeight="1">
      <c r="BQ369" s="3"/>
      <c r="BR369" s="3"/>
      <c r="BT369" s="3"/>
      <c r="BU369" s="3"/>
      <c r="BV369" s="3"/>
    </row>
    <row r="370" ht="15.75" customHeight="1">
      <c r="BQ370" s="3"/>
      <c r="BR370" s="3"/>
      <c r="BT370" s="3"/>
      <c r="BU370" s="3"/>
      <c r="BV370" s="3"/>
    </row>
    <row r="371" ht="15.75" customHeight="1">
      <c r="BQ371" s="3"/>
      <c r="BR371" s="3"/>
      <c r="BT371" s="3"/>
      <c r="BU371" s="3"/>
      <c r="BV371" s="3"/>
    </row>
    <row r="372" ht="15.75" customHeight="1">
      <c r="BQ372" s="3"/>
      <c r="BR372" s="3"/>
      <c r="BT372" s="3"/>
      <c r="BU372" s="3"/>
      <c r="BV372" s="3"/>
    </row>
    <row r="373" ht="15.75" customHeight="1">
      <c r="BQ373" s="3"/>
      <c r="BR373" s="3"/>
      <c r="BT373" s="3"/>
      <c r="BU373" s="3"/>
      <c r="BV373" s="3"/>
    </row>
    <row r="374" ht="15.75" customHeight="1">
      <c r="BQ374" s="3"/>
      <c r="BR374" s="3"/>
      <c r="BT374" s="3"/>
      <c r="BU374" s="3"/>
      <c r="BV374" s="3"/>
    </row>
    <row r="375" ht="15.75" customHeight="1">
      <c r="BQ375" s="3"/>
      <c r="BR375" s="3"/>
      <c r="BT375" s="3"/>
      <c r="BU375" s="3"/>
      <c r="BV375" s="3"/>
    </row>
    <row r="376" ht="15.75" customHeight="1">
      <c r="BQ376" s="3"/>
      <c r="BR376" s="3"/>
      <c r="BT376" s="3"/>
      <c r="BU376" s="3"/>
      <c r="BV376" s="3"/>
    </row>
    <row r="377" ht="15.75" customHeight="1">
      <c r="BQ377" s="3"/>
      <c r="BR377" s="3"/>
      <c r="BT377" s="3"/>
      <c r="BU377" s="3"/>
      <c r="BV377" s="3"/>
    </row>
    <row r="378" ht="15.75" customHeight="1">
      <c r="BQ378" s="3"/>
      <c r="BR378" s="3"/>
      <c r="BT378" s="3"/>
      <c r="BU378" s="3"/>
      <c r="BV378" s="3"/>
    </row>
    <row r="379" ht="15.75" customHeight="1">
      <c r="BQ379" s="3"/>
      <c r="BR379" s="3"/>
      <c r="BT379" s="3"/>
      <c r="BU379" s="3"/>
      <c r="BV379" s="3"/>
    </row>
    <row r="380" ht="15.75" customHeight="1">
      <c r="BQ380" s="3"/>
      <c r="BR380" s="3"/>
      <c r="BT380" s="3"/>
      <c r="BU380" s="3"/>
      <c r="BV380" s="3"/>
    </row>
    <row r="381" ht="15.75" customHeight="1">
      <c r="BQ381" s="3"/>
      <c r="BR381" s="3"/>
      <c r="BT381" s="3"/>
      <c r="BU381" s="3"/>
      <c r="BV381" s="3"/>
    </row>
    <row r="382" ht="15.75" customHeight="1">
      <c r="BQ382" s="3"/>
      <c r="BR382" s="3"/>
      <c r="BT382" s="3"/>
      <c r="BU382" s="3"/>
      <c r="BV382" s="3"/>
    </row>
    <row r="383" ht="15.75" customHeight="1">
      <c r="BQ383" s="3"/>
      <c r="BR383" s="3"/>
      <c r="BT383" s="3"/>
      <c r="BU383" s="3"/>
      <c r="BV383" s="3"/>
    </row>
    <row r="384" ht="15.75" customHeight="1">
      <c r="BQ384" s="3"/>
      <c r="BR384" s="3"/>
      <c r="BT384" s="3"/>
      <c r="BU384" s="3"/>
      <c r="BV384" s="3"/>
    </row>
    <row r="385" ht="15.75" customHeight="1">
      <c r="BQ385" s="3"/>
      <c r="BR385" s="3"/>
      <c r="BT385" s="3"/>
      <c r="BU385" s="3"/>
      <c r="BV385" s="3"/>
    </row>
    <row r="386" ht="15.75" customHeight="1">
      <c r="BQ386" s="3"/>
      <c r="BR386" s="3"/>
      <c r="BT386" s="3"/>
      <c r="BU386" s="3"/>
      <c r="BV386" s="3"/>
    </row>
    <row r="387" ht="15.75" customHeight="1">
      <c r="BQ387" s="3"/>
      <c r="BR387" s="3"/>
      <c r="BT387" s="3"/>
      <c r="BU387" s="3"/>
      <c r="BV387" s="3"/>
    </row>
    <row r="388" ht="15.75" customHeight="1">
      <c r="BQ388" s="3"/>
      <c r="BR388" s="3"/>
      <c r="BT388" s="3"/>
      <c r="BU388" s="3"/>
      <c r="BV388" s="3"/>
    </row>
    <row r="389" ht="15.75" customHeight="1">
      <c r="BQ389" s="3"/>
      <c r="BR389" s="3"/>
      <c r="BT389" s="3"/>
      <c r="BU389" s="3"/>
      <c r="BV389" s="3"/>
    </row>
    <row r="390" ht="15.75" customHeight="1">
      <c r="BQ390" s="3"/>
      <c r="BR390" s="3"/>
      <c r="BT390" s="3"/>
      <c r="BU390" s="3"/>
      <c r="BV390" s="3"/>
    </row>
    <row r="391" ht="15.75" customHeight="1">
      <c r="BQ391" s="3"/>
      <c r="BR391" s="3"/>
      <c r="BT391" s="3"/>
      <c r="BU391" s="3"/>
      <c r="BV391" s="3"/>
    </row>
    <row r="392" ht="15.75" customHeight="1">
      <c r="BQ392" s="3"/>
      <c r="BR392" s="3"/>
      <c r="BT392" s="3"/>
      <c r="BU392" s="3"/>
      <c r="BV392" s="3"/>
    </row>
    <row r="393" ht="15.75" customHeight="1">
      <c r="BQ393" s="3"/>
      <c r="BR393" s="3"/>
      <c r="BT393" s="3"/>
      <c r="BU393" s="3"/>
      <c r="BV393" s="3"/>
    </row>
    <row r="394" ht="15.75" customHeight="1">
      <c r="BQ394" s="3"/>
      <c r="BR394" s="3"/>
      <c r="BT394" s="3"/>
      <c r="BU394" s="3"/>
      <c r="BV394" s="3"/>
    </row>
    <row r="395" ht="15.75" customHeight="1">
      <c r="BQ395" s="3"/>
      <c r="BR395" s="3"/>
      <c r="BT395" s="3"/>
      <c r="BU395" s="3"/>
      <c r="BV395" s="3"/>
    </row>
    <row r="396" ht="15.75" customHeight="1">
      <c r="BQ396" s="3"/>
      <c r="BR396" s="3"/>
      <c r="BT396" s="3"/>
      <c r="BU396" s="3"/>
      <c r="BV396" s="3"/>
    </row>
    <row r="397" ht="15.75" customHeight="1">
      <c r="BQ397" s="3"/>
      <c r="BR397" s="3"/>
      <c r="BT397" s="3"/>
      <c r="BU397" s="3"/>
      <c r="BV397" s="3"/>
    </row>
    <row r="398" ht="15.75" customHeight="1">
      <c r="BQ398" s="3"/>
      <c r="BR398" s="3"/>
      <c r="BT398" s="3"/>
      <c r="BU398" s="3"/>
      <c r="BV398" s="3"/>
    </row>
    <row r="399" ht="15.75" customHeight="1">
      <c r="BQ399" s="3"/>
      <c r="BR399" s="3"/>
      <c r="BT399" s="3"/>
      <c r="BU399" s="3"/>
      <c r="BV399" s="3"/>
    </row>
    <row r="400" ht="15.75" customHeight="1">
      <c r="BQ400" s="3"/>
      <c r="BR400" s="3"/>
      <c r="BT400" s="3"/>
      <c r="BU400" s="3"/>
      <c r="BV400" s="3"/>
    </row>
    <row r="401" ht="15.75" customHeight="1">
      <c r="BQ401" s="3"/>
      <c r="BR401" s="3"/>
      <c r="BT401" s="3"/>
      <c r="BU401" s="3"/>
      <c r="BV401" s="3"/>
    </row>
    <row r="402" ht="15.75" customHeight="1">
      <c r="BQ402" s="3"/>
      <c r="BR402" s="3"/>
      <c r="BT402" s="3"/>
      <c r="BU402" s="3"/>
      <c r="BV402" s="3"/>
    </row>
    <row r="403" ht="15.75" customHeight="1">
      <c r="BQ403" s="3"/>
      <c r="BR403" s="3"/>
      <c r="BT403" s="3"/>
      <c r="BU403" s="3"/>
      <c r="BV403" s="3"/>
    </row>
    <row r="404" ht="15.75" customHeight="1">
      <c r="BQ404" s="3"/>
      <c r="BR404" s="3"/>
      <c r="BT404" s="3"/>
      <c r="BU404" s="3"/>
      <c r="BV404" s="3"/>
    </row>
    <row r="405" ht="15.75" customHeight="1">
      <c r="BQ405" s="3"/>
      <c r="BR405" s="3"/>
      <c r="BT405" s="3"/>
      <c r="BU405" s="3"/>
      <c r="BV405" s="3"/>
    </row>
    <row r="406" ht="15.75" customHeight="1">
      <c r="BQ406" s="3"/>
      <c r="BR406" s="3"/>
      <c r="BT406" s="3"/>
      <c r="BU406" s="3"/>
      <c r="BV406" s="3"/>
    </row>
    <row r="407" ht="15.75" customHeight="1">
      <c r="BQ407" s="3"/>
      <c r="BR407" s="3"/>
      <c r="BT407" s="3"/>
      <c r="BU407" s="3"/>
      <c r="BV407" s="3"/>
    </row>
    <row r="408" ht="15.75" customHeight="1">
      <c r="BQ408" s="3"/>
      <c r="BR408" s="3"/>
      <c r="BT408" s="3"/>
      <c r="BU408" s="3"/>
      <c r="BV408" s="3"/>
    </row>
    <row r="409" ht="15.75" customHeight="1">
      <c r="BQ409" s="3"/>
      <c r="BR409" s="3"/>
      <c r="BT409" s="3"/>
      <c r="BU409" s="3"/>
      <c r="BV409" s="3"/>
    </row>
    <row r="410" ht="15.75" customHeight="1">
      <c r="BQ410" s="3"/>
      <c r="BR410" s="3"/>
      <c r="BT410" s="3"/>
      <c r="BU410" s="3"/>
      <c r="BV410" s="3"/>
    </row>
    <row r="411" ht="15.75" customHeight="1">
      <c r="BQ411" s="3"/>
      <c r="BR411" s="3"/>
      <c r="BT411" s="3"/>
      <c r="BU411" s="3"/>
      <c r="BV411" s="3"/>
    </row>
    <row r="412" ht="15.75" customHeight="1">
      <c r="BQ412" s="3"/>
      <c r="BR412" s="3"/>
      <c r="BT412" s="3"/>
      <c r="BU412" s="3"/>
      <c r="BV412" s="3"/>
    </row>
    <row r="413" ht="15.75" customHeight="1">
      <c r="BQ413" s="3"/>
      <c r="BR413" s="3"/>
      <c r="BT413" s="3"/>
      <c r="BU413" s="3"/>
      <c r="BV413" s="3"/>
    </row>
    <row r="414" ht="15.75" customHeight="1">
      <c r="BQ414" s="3"/>
      <c r="BR414" s="3"/>
      <c r="BT414" s="3"/>
      <c r="BU414" s="3"/>
      <c r="BV414" s="3"/>
    </row>
    <row r="415" ht="15.75" customHeight="1">
      <c r="BQ415" s="3"/>
      <c r="BR415" s="3"/>
      <c r="BT415" s="3"/>
      <c r="BU415" s="3"/>
      <c r="BV415" s="3"/>
    </row>
    <row r="416" ht="15.75" customHeight="1">
      <c r="BQ416" s="3"/>
      <c r="BR416" s="3"/>
      <c r="BT416" s="3"/>
      <c r="BU416" s="3"/>
      <c r="BV416" s="3"/>
    </row>
    <row r="417" ht="15.75" customHeight="1">
      <c r="BQ417" s="3"/>
      <c r="BR417" s="3"/>
      <c r="BT417" s="3"/>
      <c r="BU417" s="3"/>
      <c r="BV417" s="3"/>
    </row>
    <row r="418" ht="15.75" customHeight="1">
      <c r="BQ418" s="3"/>
      <c r="BR418" s="3"/>
      <c r="BT418" s="3"/>
      <c r="BU418" s="3"/>
      <c r="BV418" s="3"/>
    </row>
    <row r="419" ht="15.75" customHeight="1">
      <c r="BQ419" s="3"/>
      <c r="BR419" s="3"/>
      <c r="BT419" s="3"/>
      <c r="BU419" s="3"/>
      <c r="BV419" s="3"/>
    </row>
    <row r="420" ht="15.75" customHeight="1">
      <c r="BQ420" s="3"/>
      <c r="BR420" s="3"/>
      <c r="BT420" s="3"/>
      <c r="BU420" s="3"/>
      <c r="BV420" s="3"/>
    </row>
    <row r="421" ht="15.75" customHeight="1">
      <c r="BQ421" s="3"/>
      <c r="BR421" s="3"/>
      <c r="BT421" s="3"/>
      <c r="BU421" s="3"/>
      <c r="BV421" s="3"/>
    </row>
    <row r="422" ht="15.75" customHeight="1">
      <c r="BQ422" s="3"/>
      <c r="BR422" s="3"/>
      <c r="BT422" s="3"/>
      <c r="BU422" s="3"/>
      <c r="BV422" s="3"/>
    </row>
    <row r="423" ht="15.75" customHeight="1">
      <c r="BQ423" s="3"/>
      <c r="BR423" s="3"/>
      <c r="BT423" s="3"/>
      <c r="BU423" s="3"/>
      <c r="BV423" s="3"/>
    </row>
    <row r="424" ht="15.75" customHeight="1">
      <c r="BQ424" s="3"/>
      <c r="BR424" s="3"/>
      <c r="BT424" s="3"/>
      <c r="BU424" s="3"/>
      <c r="BV424" s="3"/>
    </row>
    <row r="425" ht="15.75" customHeight="1">
      <c r="BQ425" s="3"/>
      <c r="BR425" s="3"/>
      <c r="BT425" s="3"/>
      <c r="BU425" s="3"/>
      <c r="BV425" s="3"/>
    </row>
    <row r="426" ht="15.75" customHeight="1">
      <c r="BQ426" s="3"/>
      <c r="BR426" s="3"/>
      <c r="BT426" s="3"/>
      <c r="BU426" s="3"/>
      <c r="BV426" s="3"/>
    </row>
    <row r="427" ht="15.75" customHeight="1">
      <c r="BQ427" s="3"/>
      <c r="BR427" s="3"/>
      <c r="BT427" s="3"/>
      <c r="BU427" s="3"/>
      <c r="BV427" s="3"/>
    </row>
    <row r="428" ht="15.75" customHeight="1">
      <c r="BQ428" s="3"/>
      <c r="BR428" s="3"/>
      <c r="BT428" s="3"/>
      <c r="BU428" s="3"/>
      <c r="BV428" s="3"/>
    </row>
    <row r="429" ht="15.75" customHeight="1">
      <c r="BQ429" s="3"/>
      <c r="BR429" s="3"/>
      <c r="BT429" s="3"/>
      <c r="BU429" s="3"/>
      <c r="BV429" s="3"/>
    </row>
    <row r="430" ht="15.75" customHeight="1">
      <c r="BQ430" s="3"/>
      <c r="BR430" s="3"/>
      <c r="BT430" s="3"/>
      <c r="BU430" s="3"/>
      <c r="BV430" s="3"/>
    </row>
    <row r="431" ht="15.75" customHeight="1">
      <c r="BQ431" s="3"/>
      <c r="BR431" s="3"/>
      <c r="BT431" s="3"/>
      <c r="BU431" s="3"/>
      <c r="BV431" s="3"/>
    </row>
    <row r="432" ht="15.75" customHeight="1">
      <c r="BQ432" s="3"/>
      <c r="BR432" s="3"/>
      <c r="BT432" s="3"/>
      <c r="BU432" s="3"/>
      <c r="BV432" s="3"/>
    </row>
    <row r="433" ht="15.75" customHeight="1">
      <c r="BQ433" s="3"/>
      <c r="BR433" s="3"/>
      <c r="BT433" s="3"/>
      <c r="BU433" s="3"/>
      <c r="BV433" s="3"/>
    </row>
    <row r="434" ht="15.75" customHeight="1">
      <c r="BQ434" s="3"/>
      <c r="BR434" s="3"/>
      <c r="BT434" s="3"/>
      <c r="BU434" s="3"/>
      <c r="BV434" s="3"/>
    </row>
    <row r="435" ht="15.75" customHeight="1">
      <c r="BQ435" s="3"/>
      <c r="BR435" s="3"/>
      <c r="BT435" s="3"/>
      <c r="BU435" s="3"/>
      <c r="BV435" s="3"/>
    </row>
    <row r="436" ht="15.75" customHeight="1">
      <c r="BQ436" s="3"/>
      <c r="BR436" s="3"/>
      <c r="BT436" s="3"/>
      <c r="BU436" s="3"/>
      <c r="BV436" s="3"/>
    </row>
    <row r="437" ht="15.75" customHeight="1">
      <c r="BQ437" s="3"/>
      <c r="BR437" s="3"/>
      <c r="BT437" s="3"/>
      <c r="BU437" s="3"/>
      <c r="BV437" s="3"/>
    </row>
    <row r="438" ht="15.75" customHeight="1">
      <c r="BQ438" s="3"/>
      <c r="BR438" s="3"/>
      <c r="BT438" s="3"/>
      <c r="BU438" s="3"/>
      <c r="BV438" s="3"/>
    </row>
    <row r="439" ht="15.75" customHeight="1">
      <c r="BQ439" s="3"/>
      <c r="BR439" s="3"/>
      <c r="BT439" s="3"/>
      <c r="BU439" s="3"/>
      <c r="BV439" s="3"/>
    </row>
    <row r="440" ht="15.75" customHeight="1">
      <c r="BQ440" s="3"/>
      <c r="BR440" s="3"/>
      <c r="BT440" s="3"/>
      <c r="BU440" s="3"/>
      <c r="BV440" s="3"/>
    </row>
    <row r="441" ht="15.75" customHeight="1">
      <c r="BQ441" s="3"/>
      <c r="BR441" s="3"/>
      <c r="BT441" s="3"/>
      <c r="BU441" s="3"/>
      <c r="BV441" s="3"/>
    </row>
    <row r="442" ht="15.75" customHeight="1">
      <c r="BQ442" s="3"/>
      <c r="BR442" s="3"/>
      <c r="BT442" s="3"/>
      <c r="BU442" s="3"/>
      <c r="BV442" s="3"/>
    </row>
    <row r="443" ht="15.75" customHeight="1">
      <c r="BQ443" s="3"/>
      <c r="BR443" s="3"/>
      <c r="BT443" s="3"/>
      <c r="BU443" s="3"/>
      <c r="BV443" s="3"/>
    </row>
    <row r="444" ht="15.75" customHeight="1">
      <c r="BQ444" s="3"/>
      <c r="BR444" s="3"/>
      <c r="BT444" s="3"/>
      <c r="BU444" s="3"/>
      <c r="BV444" s="3"/>
    </row>
    <row r="445" ht="15.75" customHeight="1">
      <c r="BQ445" s="3"/>
      <c r="BR445" s="3"/>
      <c r="BT445" s="3"/>
      <c r="BU445" s="3"/>
      <c r="BV445" s="3"/>
    </row>
    <row r="446" ht="15.75" customHeight="1">
      <c r="BQ446" s="3"/>
      <c r="BR446" s="3"/>
      <c r="BT446" s="3"/>
      <c r="BU446" s="3"/>
      <c r="BV446" s="3"/>
    </row>
    <row r="447" ht="15.75" customHeight="1">
      <c r="BQ447" s="3"/>
      <c r="BR447" s="3"/>
      <c r="BT447" s="3"/>
      <c r="BU447" s="3"/>
      <c r="BV447" s="3"/>
    </row>
    <row r="448" ht="15.75" customHeight="1">
      <c r="BQ448" s="3"/>
      <c r="BR448" s="3"/>
      <c r="BT448" s="3"/>
      <c r="BU448" s="3"/>
      <c r="BV448" s="3"/>
    </row>
    <row r="449" ht="15.75" customHeight="1">
      <c r="BQ449" s="3"/>
      <c r="BR449" s="3"/>
      <c r="BT449" s="3"/>
      <c r="BU449" s="3"/>
      <c r="BV449" s="3"/>
    </row>
    <row r="450" ht="15.75" customHeight="1">
      <c r="BQ450" s="3"/>
      <c r="BR450" s="3"/>
      <c r="BT450" s="3"/>
      <c r="BU450" s="3"/>
      <c r="BV450" s="3"/>
    </row>
    <row r="451" ht="15.75" customHeight="1">
      <c r="BQ451" s="3"/>
      <c r="BR451" s="3"/>
      <c r="BT451" s="3"/>
      <c r="BU451" s="3"/>
      <c r="BV451" s="3"/>
    </row>
    <row r="452" ht="15.75" customHeight="1">
      <c r="BQ452" s="3"/>
      <c r="BR452" s="3"/>
      <c r="BT452" s="3"/>
      <c r="BU452" s="3"/>
      <c r="BV452" s="3"/>
    </row>
    <row r="453" ht="15.75" customHeight="1">
      <c r="BQ453" s="3"/>
      <c r="BR453" s="3"/>
      <c r="BT453" s="3"/>
      <c r="BU453" s="3"/>
      <c r="BV453" s="3"/>
    </row>
    <row r="454" ht="15.75" customHeight="1">
      <c r="BQ454" s="3"/>
      <c r="BR454" s="3"/>
      <c r="BT454" s="3"/>
      <c r="BU454" s="3"/>
      <c r="BV454" s="3"/>
    </row>
    <row r="455" ht="15.75" customHeight="1">
      <c r="BQ455" s="3"/>
      <c r="BR455" s="3"/>
      <c r="BT455" s="3"/>
      <c r="BU455" s="3"/>
      <c r="BV455" s="3"/>
    </row>
    <row r="456" ht="15.75" customHeight="1">
      <c r="BQ456" s="3"/>
      <c r="BR456" s="3"/>
      <c r="BT456" s="3"/>
      <c r="BU456" s="3"/>
      <c r="BV456" s="3"/>
    </row>
    <row r="457" ht="15.75" customHeight="1">
      <c r="BQ457" s="3"/>
      <c r="BR457" s="3"/>
      <c r="BT457" s="3"/>
      <c r="BU457" s="3"/>
      <c r="BV457" s="3"/>
    </row>
    <row r="458" ht="15.75" customHeight="1">
      <c r="BQ458" s="3"/>
      <c r="BR458" s="3"/>
      <c r="BT458" s="3"/>
      <c r="BU458" s="3"/>
      <c r="BV458" s="3"/>
    </row>
    <row r="459" ht="15.75" customHeight="1">
      <c r="BQ459" s="3"/>
      <c r="BR459" s="3"/>
      <c r="BT459" s="3"/>
      <c r="BU459" s="3"/>
      <c r="BV459" s="3"/>
    </row>
    <row r="460" ht="15.75" customHeight="1">
      <c r="BQ460" s="3"/>
      <c r="BR460" s="3"/>
      <c r="BT460" s="3"/>
      <c r="BU460" s="3"/>
      <c r="BV460" s="3"/>
    </row>
    <row r="461" ht="15.75" customHeight="1">
      <c r="BQ461" s="3"/>
      <c r="BR461" s="3"/>
      <c r="BT461" s="3"/>
      <c r="BU461" s="3"/>
      <c r="BV461" s="3"/>
    </row>
    <row r="462" ht="15.75" customHeight="1">
      <c r="BQ462" s="3"/>
      <c r="BR462" s="3"/>
      <c r="BT462" s="3"/>
      <c r="BU462" s="3"/>
      <c r="BV462" s="3"/>
    </row>
    <row r="463" ht="15.75" customHeight="1">
      <c r="BQ463" s="3"/>
      <c r="BR463" s="3"/>
      <c r="BT463" s="3"/>
      <c r="BU463" s="3"/>
      <c r="BV463" s="3"/>
    </row>
    <row r="464" ht="15.75" customHeight="1">
      <c r="BQ464" s="3"/>
      <c r="BR464" s="3"/>
      <c r="BT464" s="3"/>
      <c r="BU464" s="3"/>
      <c r="BV464" s="3"/>
    </row>
    <row r="465" ht="15.75" customHeight="1">
      <c r="BQ465" s="3"/>
      <c r="BR465" s="3"/>
      <c r="BT465" s="3"/>
      <c r="BU465" s="3"/>
      <c r="BV465" s="3"/>
    </row>
    <row r="466" ht="15.75" customHeight="1">
      <c r="BQ466" s="3"/>
      <c r="BR466" s="3"/>
      <c r="BT466" s="3"/>
      <c r="BU466" s="3"/>
      <c r="BV466" s="3"/>
    </row>
    <row r="467" ht="15.75" customHeight="1">
      <c r="BQ467" s="3"/>
      <c r="BR467" s="3"/>
      <c r="BT467" s="3"/>
      <c r="BU467" s="3"/>
      <c r="BV467" s="3"/>
    </row>
    <row r="468" ht="15.75" customHeight="1">
      <c r="BQ468" s="3"/>
      <c r="BR468" s="3"/>
      <c r="BT468" s="3"/>
      <c r="BU468" s="3"/>
      <c r="BV468" s="3"/>
    </row>
    <row r="469" ht="15.75" customHeight="1">
      <c r="BQ469" s="3"/>
      <c r="BR469" s="3"/>
      <c r="BT469" s="3"/>
      <c r="BU469" s="3"/>
      <c r="BV469" s="3"/>
    </row>
    <row r="470" ht="15.75" customHeight="1">
      <c r="BQ470" s="3"/>
      <c r="BR470" s="3"/>
      <c r="BT470" s="3"/>
      <c r="BU470" s="3"/>
      <c r="BV470" s="3"/>
    </row>
    <row r="471" ht="15.75" customHeight="1">
      <c r="BQ471" s="3"/>
      <c r="BR471" s="3"/>
      <c r="BT471" s="3"/>
      <c r="BU471" s="3"/>
      <c r="BV471" s="3"/>
    </row>
    <row r="472" ht="15.75" customHeight="1">
      <c r="BQ472" s="3"/>
      <c r="BR472" s="3"/>
      <c r="BT472" s="3"/>
      <c r="BU472" s="3"/>
      <c r="BV472" s="3"/>
    </row>
    <row r="473" ht="15.75" customHeight="1">
      <c r="BQ473" s="3"/>
      <c r="BR473" s="3"/>
      <c r="BT473" s="3"/>
      <c r="BU473" s="3"/>
      <c r="BV473" s="3"/>
    </row>
    <row r="474" ht="15.75" customHeight="1">
      <c r="BQ474" s="3"/>
      <c r="BR474" s="3"/>
      <c r="BT474" s="3"/>
      <c r="BU474" s="3"/>
      <c r="BV474" s="3"/>
    </row>
    <row r="475" ht="15.75" customHeight="1">
      <c r="BQ475" s="3"/>
      <c r="BR475" s="3"/>
      <c r="BT475" s="3"/>
      <c r="BU475" s="3"/>
      <c r="BV475" s="3"/>
    </row>
    <row r="476" ht="15.75" customHeight="1">
      <c r="BQ476" s="3"/>
      <c r="BR476" s="3"/>
      <c r="BT476" s="3"/>
      <c r="BU476" s="3"/>
      <c r="BV476" s="3"/>
    </row>
    <row r="477" ht="15.75" customHeight="1">
      <c r="BQ477" s="3"/>
      <c r="BR477" s="3"/>
      <c r="BT477" s="3"/>
      <c r="BU477" s="3"/>
      <c r="BV477" s="3"/>
    </row>
    <row r="478" ht="15.75" customHeight="1">
      <c r="BQ478" s="3"/>
      <c r="BR478" s="3"/>
      <c r="BT478" s="3"/>
      <c r="BU478" s="3"/>
      <c r="BV478" s="3"/>
    </row>
    <row r="479" ht="15.75" customHeight="1">
      <c r="BQ479" s="3"/>
      <c r="BR479" s="3"/>
      <c r="BT479" s="3"/>
      <c r="BU479" s="3"/>
      <c r="BV479" s="3"/>
    </row>
    <row r="480" ht="15.75" customHeight="1">
      <c r="BQ480" s="3"/>
      <c r="BR480" s="3"/>
      <c r="BT480" s="3"/>
      <c r="BU480" s="3"/>
      <c r="BV480" s="3"/>
    </row>
    <row r="481" ht="15.75" customHeight="1">
      <c r="BQ481" s="3"/>
      <c r="BR481" s="3"/>
      <c r="BT481" s="3"/>
      <c r="BU481" s="3"/>
      <c r="BV481" s="3"/>
    </row>
    <row r="482" ht="15.75" customHeight="1">
      <c r="BQ482" s="3"/>
      <c r="BR482" s="3"/>
      <c r="BT482" s="3"/>
      <c r="BU482" s="3"/>
      <c r="BV482" s="3"/>
    </row>
    <row r="483" ht="15.75" customHeight="1">
      <c r="BQ483" s="3"/>
      <c r="BR483" s="3"/>
      <c r="BT483" s="3"/>
      <c r="BU483" s="3"/>
      <c r="BV483" s="3"/>
    </row>
    <row r="484" ht="15.75" customHeight="1">
      <c r="BQ484" s="3"/>
      <c r="BR484" s="3"/>
      <c r="BT484" s="3"/>
      <c r="BU484" s="3"/>
      <c r="BV484" s="3"/>
    </row>
    <row r="485" ht="15.75" customHeight="1">
      <c r="BQ485" s="3"/>
      <c r="BR485" s="3"/>
      <c r="BT485" s="3"/>
      <c r="BU485" s="3"/>
      <c r="BV485" s="3"/>
    </row>
    <row r="486" ht="15.75" customHeight="1">
      <c r="BQ486" s="3"/>
      <c r="BR486" s="3"/>
      <c r="BT486" s="3"/>
      <c r="BU486" s="3"/>
      <c r="BV486" s="3"/>
    </row>
    <row r="487" ht="15.75" customHeight="1">
      <c r="BQ487" s="3"/>
      <c r="BR487" s="3"/>
      <c r="BT487" s="3"/>
      <c r="BU487" s="3"/>
      <c r="BV487" s="3"/>
    </row>
    <row r="488" ht="15.75" customHeight="1">
      <c r="BQ488" s="3"/>
      <c r="BR488" s="3"/>
      <c r="BT488" s="3"/>
      <c r="BU488" s="3"/>
      <c r="BV488" s="3"/>
    </row>
    <row r="489" ht="15.75" customHeight="1">
      <c r="BQ489" s="3"/>
      <c r="BR489" s="3"/>
      <c r="BT489" s="3"/>
      <c r="BU489" s="3"/>
      <c r="BV489" s="3"/>
    </row>
    <row r="490" ht="15.75" customHeight="1">
      <c r="BQ490" s="3"/>
      <c r="BR490" s="3"/>
      <c r="BT490" s="3"/>
      <c r="BU490" s="3"/>
      <c r="BV490" s="3"/>
    </row>
    <row r="491" ht="15.75" customHeight="1">
      <c r="BQ491" s="3"/>
      <c r="BR491" s="3"/>
      <c r="BT491" s="3"/>
      <c r="BU491" s="3"/>
      <c r="BV491" s="3"/>
    </row>
    <row r="492" ht="15.75" customHeight="1">
      <c r="BQ492" s="3"/>
      <c r="BR492" s="3"/>
      <c r="BT492" s="3"/>
      <c r="BU492" s="3"/>
      <c r="BV492" s="3"/>
    </row>
    <row r="493" ht="15.75" customHeight="1">
      <c r="BQ493" s="3"/>
      <c r="BR493" s="3"/>
      <c r="BT493" s="3"/>
      <c r="BU493" s="3"/>
      <c r="BV493" s="3"/>
    </row>
    <row r="494" ht="15.75" customHeight="1">
      <c r="BQ494" s="3"/>
      <c r="BR494" s="3"/>
      <c r="BT494" s="3"/>
      <c r="BU494" s="3"/>
      <c r="BV494" s="3"/>
    </row>
    <row r="495" ht="15.75" customHeight="1">
      <c r="BQ495" s="3"/>
      <c r="BR495" s="3"/>
      <c r="BT495" s="3"/>
      <c r="BU495" s="3"/>
      <c r="BV495" s="3"/>
    </row>
    <row r="496" ht="15.75" customHeight="1">
      <c r="BQ496" s="3"/>
      <c r="BR496" s="3"/>
      <c r="BT496" s="3"/>
      <c r="BU496" s="3"/>
      <c r="BV496" s="3"/>
    </row>
    <row r="497" ht="15.75" customHeight="1">
      <c r="BQ497" s="3"/>
      <c r="BR497" s="3"/>
      <c r="BT497" s="3"/>
      <c r="BU497" s="3"/>
      <c r="BV497" s="3"/>
    </row>
    <row r="498" ht="15.75" customHeight="1">
      <c r="BQ498" s="3"/>
      <c r="BR498" s="3"/>
      <c r="BT498" s="3"/>
      <c r="BU498" s="3"/>
      <c r="BV498" s="3"/>
    </row>
    <row r="499" ht="15.75" customHeight="1">
      <c r="BQ499" s="3"/>
      <c r="BR499" s="3"/>
      <c r="BT499" s="3"/>
      <c r="BU499" s="3"/>
      <c r="BV499" s="3"/>
    </row>
    <row r="500" ht="15.75" customHeight="1">
      <c r="BQ500" s="3"/>
      <c r="BR500" s="3"/>
      <c r="BT500" s="3"/>
      <c r="BU500" s="3"/>
      <c r="BV500" s="3"/>
    </row>
    <row r="501" ht="15.75" customHeight="1">
      <c r="BQ501" s="3"/>
      <c r="BR501" s="3"/>
      <c r="BT501" s="3"/>
      <c r="BU501" s="3"/>
      <c r="BV501" s="3"/>
    </row>
    <row r="502" ht="15.75" customHeight="1">
      <c r="BQ502" s="3"/>
      <c r="BR502" s="3"/>
      <c r="BT502" s="3"/>
      <c r="BU502" s="3"/>
      <c r="BV502" s="3"/>
    </row>
    <row r="503" ht="15.75" customHeight="1">
      <c r="BQ503" s="3"/>
      <c r="BR503" s="3"/>
      <c r="BT503" s="3"/>
      <c r="BU503" s="3"/>
      <c r="BV503" s="3"/>
    </row>
    <row r="504" ht="15.75" customHeight="1">
      <c r="BQ504" s="3"/>
      <c r="BR504" s="3"/>
      <c r="BT504" s="3"/>
      <c r="BU504" s="3"/>
      <c r="BV504" s="3"/>
    </row>
    <row r="505" ht="15.75" customHeight="1">
      <c r="BQ505" s="3"/>
      <c r="BR505" s="3"/>
      <c r="BT505" s="3"/>
      <c r="BU505" s="3"/>
      <c r="BV505" s="3"/>
    </row>
    <row r="506" ht="15.75" customHeight="1">
      <c r="BQ506" s="3"/>
      <c r="BR506" s="3"/>
      <c r="BT506" s="3"/>
      <c r="BU506" s="3"/>
      <c r="BV506" s="3"/>
    </row>
    <row r="507" ht="15.75" customHeight="1">
      <c r="BQ507" s="3"/>
      <c r="BR507" s="3"/>
      <c r="BT507" s="3"/>
      <c r="BU507" s="3"/>
      <c r="BV507" s="3"/>
    </row>
    <row r="508" ht="15.75" customHeight="1">
      <c r="BQ508" s="3"/>
      <c r="BR508" s="3"/>
      <c r="BT508" s="3"/>
      <c r="BU508" s="3"/>
      <c r="BV508" s="3"/>
    </row>
    <row r="509" ht="15.75" customHeight="1">
      <c r="BQ509" s="3"/>
      <c r="BR509" s="3"/>
      <c r="BT509" s="3"/>
      <c r="BU509" s="3"/>
      <c r="BV509" s="3"/>
    </row>
    <row r="510" ht="15.75" customHeight="1">
      <c r="BQ510" s="3"/>
      <c r="BR510" s="3"/>
      <c r="BT510" s="3"/>
      <c r="BU510" s="3"/>
      <c r="BV510" s="3"/>
    </row>
    <row r="511" ht="15.75" customHeight="1">
      <c r="BQ511" s="3"/>
      <c r="BR511" s="3"/>
      <c r="BT511" s="3"/>
      <c r="BU511" s="3"/>
      <c r="BV511" s="3"/>
    </row>
    <row r="512" ht="15.75" customHeight="1">
      <c r="BQ512" s="3"/>
      <c r="BR512" s="3"/>
      <c r="BT512" s="3"/>
      <c r="BU512" s="3"/>
      <c r="BV512" s="3"/>
    </row>
    <row r="513" ht="15.75" customHeight="1">
      <c r="BQ513" s="3"/>
      <c r="BR513" s="3"/>
      <c r="BT513" s="3"/>
      <c r="BU513" s="3"/>
      <c r="BV513" s="3"/>
    </row>
    <row r="514" ht="15.75" customHeight="1">
      <c r="BQ514" s="3"/>
      <c r="BR514" s="3"/>
      <c r="BT514" s="3"/>
      <c r="BU514" s="3"/>
      <c r="BV514" s="3"/>
    </row>
    <row r="515" ht="15.75" customHeight="1">
      <c r="BQ515" s="3"/>
      <c r="BR515" s="3"/>
      <c r="BT515" s="3"/>
      <c r="BU515" s="3"/>
      <c r="BV515" s="3"/>
    </row>
    <row r="516" ht="15.75" customHeight="1">
      <c r="BQ516" s="3"/>
      <c r="BR516" s="3"/>
      <c r="BT516" s="3"/>
      <c r="BU516" s="3"/>
      <c r="BV516" s="3"/>
    </row>
    <row r="517" ht="15.75" customHeight="1">
      <c r="BQ517" s="3"/>
      <c r="BR517" s="3"/>
      <c r="BT517" s="3"/>
      <c r="BU517" s="3"/>
      <c r="BV517" s="3"/>
    </row>
    <row r="518" ht="15.75" customHeight="1">
      <c r="BQ518" s="3"/>
      <c r="BR518" s="3"/>
      <c r="BT518" s="3"/>
      <c r="BU518" s="3"/>
      <c r="BV518" s="3"/>
    </row>
    <row r="519" ht="15.75" customHeight="1">
      <c r="BQ519" s="3"/>
      <c r="BR519" s="3"/>
      <c r="BT519" s="3"/>
      <c r="BU519" s="3"/>
      <c r="BV519" s="3"/>
    </row>
    <row r="520" ht="15.75" customHeight="1">
      <c r="BQ520" s="3"/>
      <c r="BR520" s="3"/>
      <c r="BT520" s="3"/>
      <c r="BU520" s="3"/>
      <c r="BV520" s="3"/>
    </row>
    <row r="521" ht="15.75" customHeight="1">
      <c r="BQ521" s="3"/>
      <c r="BR521" s="3"/>
      <c r="BT521" s="3"/>
      <c r="BU521" s="3"/>
      <c r="BV521" s="3"/>
    </row>
    <row r="522" ht="15.75" customHeight="1">
      <c r="BQ522" s="3"/>
      <c r="BR522" s="3"/>
      <c r="BT522" s="3"/>
      <c r="BU522" s="3"/>
      <c r="BV522" s="3"/>
    </row>
    <row r="523" ht="15.75" customHeight="1">
      <c r="BQ523" s="3"/>
      <c r="BR523" s="3"/>
      <c r="BT523" s="3"/>
      <c r="BU523" s="3"/>
      <c r="BV523" s="3"/>
    </row>
    <row r="524" ht="15.75" customHeight="1">
      <c r="BQ524" s="3"/>
      <c r="BR524" s="3"/>
      <c r="BT524" s="3"/>
      <c r="BU524" s="3"/>
      <c r="BV524" s="3"/>
    </row>
    <row r="525" ht="15.75" customHeight="1">
      <c r="BQ525" s="3"/>
      <c r="BR525" s="3"/>
      <c r="BT525" s="3"/>
      <c r="BU525" s="3"/>
      <c r="BV525" s="3"/>
    </row>
    <row r="526" ht="15.75" customHeight="1">
      <c r="BQ526" s="3"/>
      <c r="BR526" s="3"/>
      <c r="BT526" s="3"/>
      <c r="BU526" s="3"/>
      <c r="BV526" s="3"/>
    </row>
    <row r="527" ht="15.75" customHeight="1">
      <c r="BQ527" s="3"/>
      <c r="BR527" s="3"/>
      <c r="BT527" s="3"/>
      <c r="BU527" s="3"/>
      <c r="BV527" s="3"/>
    </row>
    <row r="528" ht="15.75" customHeight="1">
      <c r="BQ528" s="3"/>
      <c r="BR528" s="3"/>
      <c r="BT528" s="3"/>
      <c r="BU528" s="3"/>
      <c r="BV528" s="3"/>
    </row>
    <row r="529" ht="15.75" customHeight="1">
      <c r="BQ529" s="3"/>
      <c r="BR529" s="3"/>
      <c r="BT529" s="3"/>
      <c r="BU529" s="3"/>
      <c r="BV529" s="3"/>
    </row>
    <row r="530" ht="15.75" customHeight="1">
      <c r="BQ530" s="3"/>
      <c r="BR530" s="3"/>
      <c r="BT530" s="3"/>
      <c r="BU530" s="3"/>
      <c r="BV530" s="3"/>
    </row>
    <row r="531" ht="15.75" customHeight="1">
      <c r="BQ531" s="3"/>
      <c r="BR531" s="3"/>
      <c r="BT531" s="3"/>
      <c r="BU531" s="3"/>
      <c r="BV531" s="3"/>
    </row>
    <row r="532" ht="15.75" customHeight="1">
      <c r="BQ532" s="3"/>
      <c r="BR532" s="3"/>
      <c r="BT532" s="3"/>
      <c r="BU532" s="3"/>
      <c r="BV532" s="3"/>
    </row>
    <row r="533" ht="15.75" customHeight="1">
      <c r="BQ533" s="3"/>
      <c r="BR533" s="3"/>
      <c r="BT533" s="3"/>
      <c r="BU533" s="3"/>
      <c r="BV533" s="3"/>
    </row>
    <row r="534" ht="15.75" customHeight="1">
      <c r="BQ534" s="3"/>
      <c r="BR534" s="3"/>
      <c r="BT534" s="3"/>
      <c r="BU534" s="3"/>
      <c r="BV534" s="3"/>
    </row>
    <row r="535" ht="15.75" customHeight="1">
      <c r="BQ535" s="3"/>
      <c r="BR535" s="3"/>
      <c r="BT535" s="3"/>
      <c r="BU535" s="3"/>
      <c r="BV535" s="3"/>
    </row>
    <row r="536" ht="15.75" customHeight="1">
      <c r="BQ536" s="3"/>
      <c r="BR536" s="3"/>
      <c r="BT536" s="3"/>
      <c r="BU536" s="3"/>
      <c r="BV536" s="3"/>
    </row>
    <row r="537" ht="15.75" customHeight="1">
      <c r="BQ537" s="3"/>
      <c r="BR537" s="3"/>
      <c r="BT537" s="3"/>
      <c r="BU537" s="3"/>
      <c r="BV537" s="3"/>
    </row>
    <row r="538" ht="15.75" customHeight="1">
      <c r="BQ538" s="3"/>
      <c r="BR538" s="3"/>
      <c r="BT538" s="3"/>
      <c r="BU538" s="3"/>
      <c r="BV538" s="3"/>
    </row>
    <row r="539" ht="15.75" customHeight="1">
      <c r="BQ539" s="3"/>
      <c r="BR539" s="3"/>
      <c r="BT539" s="3"/>
      <c r="BU539" s="3"/>
      <c r="BV539" s="3"/>
    </row>
    <row r="540" ht="15.75" customHeight="1">
      <c r="BQ540" s="3"/>
      <c r="BR540" s="3"/>
      <c r="BT540" s="3"/>
      <c r="BU540" s="3"/>
      <c r="BV540" s="3"/>
    </row>
    <row r="541" ht="15.75" customHeight="1">
      <c r="BQ541" s="3"/>
      <c r="BR541" s="3"/>
      <c r="BT541" s="3"/>
      <c r="BU541" s="3"/>
      <c r="BV541" s="3"/>
    </row>
    <row r="542" ht="15.75" customHeight="1">
      <c r="BQ542" s="3"/>
      <c r="BR542" s="3"/>
      <c r="BT542" s="3"/>
      <c r="BU542" s="3"/>
      <c r="BV542" s="3"/>
    </row>
    <row r="543" ht="15.75" customHeight="1">
      <c r="BQ543" s="3"/>
      <c r="BR543" s="3"/>
      <c r="BT543" s="3"/>
      <c r="BU543" s="3"/>
      <c r="BV543" s="3"/>
    </row>
    <row r="544" ht="15.75" customHeight="1">
      <c r="BQ544" s="3"/>
      <c r="BR544" s="3"/>
      <c r="BT544" s="3"/>
      <c r="BU544" s="3"/>
      <c r="BV544" s="3"/>
    </row>
    <row r="545" ht="15.75" customHeight="1">
      <c r="BQ545" s="3"/>
      <c r="BR545" s="3"/>
      <c r="BT545" s="3"/>
      <c r="BU545" s="3"/>
      <c r="BV545" s="3"/>
    </row>
    <row r="546" ht="15.75" customHeight="1">
      <c r="BQ546" s="3"/>
      <c r="BR546" s="3"/>
      <c r="BT546" s="3"/>
      <c r="BU546" s="3"/>
      <c r="BV546" s="3"/>
    </row>
    <row r="547" ht="15.75" customHeight="1">
      <c r="BQ547" s="3"/>
      <c r="BR547" s="3"/>
      <c r="BT547" s="3"/>
      <c r="BU547" s="3"/>
      <c r="BV547" s="3"/>
    </row>
    <row r="548" ht="15.75" customHeight="1">
      <c r="BQ548" s="3"/>
      <c r="BR548" s="3"/>
      <c r="BT548" s="3"/>
      <c r="BU548" s="3"/>
      <c r="BV548" s="3"/>
    </row>
    <row r="549" ht="15.75" customHeight="1">
      <c r="BQ549" s="3"/>
      <c r="BR549" s="3"/>
      <c r="BT549" s="3"/>
      <c r="BU549" s="3"/>
      <c r="BV549" s="3"/>
    </row>
    <row r="550" ht="15.75" customHeight="1">
      <c r="BQ550" s="3"/>
      <c r="BR550" s="3"/>
      <c r="BT550" s="3"/>
      <c r="BU550" s="3"/>
      <c r="BV550" s="3"/>
    </row>
    <row r="551" ht="15.75" customHeight="1">
      <c r="BQ551" s="3"/>
      <c r="BR551" s="3"/>
      <c r="BT551" s="3"/>
      <c r="BU551" s="3"/>
      <c r="BV551" s="3"/>
    </row>
    <row r="552" ht="15.75" customHeight="1">
      <c r="BQ552" s="3"/>
      <c r="BR552" s="3"/>
      <c r="BT552" s="3"/>
      <c r="BU552" s="3"/>
      <c r="BV552" s="3"/>
    </row>
    <row r="553" ht="15.75" customHeight="1">
      <c r="BQ553" s="3"/>
      <c r="BR553" s="3"/>
      <c r="BT553" s="3"/>
      <c r="BU553" s="3"/>
      <c r="BV553" s="3"/>
    </row>
    <row r="554" ht="15.75" customHeight="1">
      <c r="BQ554" s="3"/>
      <c r="BR554" s="3"/>
      <c r="BT554" s="3"/>
      <c r="BU554" s="3"/>
      <c r="BV554" s="3"/>
    </row>
    <row r="555" ht="15.75" customHeight="1">
      <c r="BQ555" s="3"/>
      <c r="BR555" s="3"/>
      <c r="BT555" s="3"/>
      <c r="BU555" s="3"/>
      <c r="BV555" s="3"/>
    </row>
    <row r="556" ht="15.75" customHeight="1">
      <c r="BQ556" s="3"/>
      <c r="BR556" s="3"/>
      <c r="BT556" s="3"/>
      <c r="BU556" s="3"/>
      <c r="BV556" s="3"/>
    </row>
    <row r="557" ht="15.75" customHeight="1">
      <c r="BQ557" s="3"/>
      <c r="BR557" s="3"/>
      <c r="BT557" s="3"/>
      <c r="BU557" s="3"/>
      <c r="BV557" s="3"/>
    </row>
    <row r="558" ht="15.75" customHeight="1">
      <c r="BQ558" s="3"/>
      <c r="BR558" s="3"/>
      <c r="BT558" s="3"/>
      <c r="BU558" s="3"/>
      <c r="BV558" s="3"/>
    </row>
    <row r="559" ht="15.75" customHeight="1">
      <c r="BQ559" s="3"/>
      <c r="BR559" s="3"/>
      <c r="BT559" s="3"/>
      <c r="BU559" s="3"/>
      <c r="BV559" s="3"/>
    </row>
    <row r="560" ht="15.75" customHeight="1">
      <c r="BQ560" s="3"/>
      <c r="BR560" s="3"/>
      <c r="BT560" s="3"/>
      <c r="BU560" s="3"/>
      <c r="BV560" s="3"/>
    </row>
    <row r="561" ht="15.75" customHeight="1">
      <c r="BQ561" s="3"/>
      <c r="BR561" s="3"/>
      <c r="BT561" s="3"/>
      <c r="BU561" s="3"/>
      <c r="BV561" s="3"/>
    </row>
    <row r="562" ht="15.75" customHeight="1">
      <c r="BQ562" s="3"/>
      <c r="BR562" s="3"/>
      <c r="BT562" s="3"/>
      <c r="BU562" s="3"/>
      <c r="BV562" s="3"/>
    </row>
    <row r="563" ht="15.75" customHeight="1">
      <c r="BQ563" s="3"/>
      <c r="BR563" s="3"/>
      <c r="BT563" s="3"/>
      <c r="BU563" s="3"/>
      <c r="BV563" s="3"/>
    </row>
    <row r="564" ht="15.75" customHeight="1">
      <c r="BQ564" s="3"/>
      <c r="BR564" s="3"/>
      <c r="BT564" s="3"/>
      <c r="BU564" s="3"/>
      <c r="BV564" s="3"/>
    </row>
    <row r="565" ht="15.75" customHeight="1">
      <c r="BQ565" s="3"/>
      <c r="BR565" s="3"/>
      <c r="BT565" s="3"/>
      <c r="BU565" s="3"/>
      <c r="BV565" s="3"/>
    </row>
    <row r="566" ht="15.75" customHeight="1">
      <c r="BQ566" s="3"/>
      <c r="BR566" s="3"/>
      <c r="BT566" s="3"/>
      <c r="BU566" s="3"/>
      <c r="BV566" s="3"/>
    </row>
    <row r="567" ht="15.75" customHeight="1">
      <c r="BQ567" s="3"/>
      <c r="BR567" s="3"/>
      <c r="BT567" s="3"/>
      <c r="BU567" s="3"/>
      <c r="BV567" s="3"/>
    </row>
    <row r="568" ht="15.75" customHeight="1">
      <c r="BQ568" s="3"/>
      <c r="BR568" s="3"/>
      <c r="BT568" s="3"/>
      <c r="BU568" s="3"/>
      <c r="BV568" s="3"/>
    </row>
    <row r="569" ht="15.75" customHeight="1">
      <c r="BQ569" s="3"/>
      <c r="BR569" s="3"/>
      <c r="BT569" s="3"/>
      <c r="BU569" s="3"/>
      <c r="BV569" s="3"/>
    </row>
    <row r="570" ht="15.75" customHeight="1">
      <c r="BQ570" s="3"/>
      <c r="BR570" s="3"/>
      <c r="BT570" s="3"/>
      <c r="BU570" s="3"/>
      <c r="BV570" s="3"/>
    </row>
    <row r="571" ht="15.75" customHeight="1">
      <c r="BQ571" s="3"/>
      <c r="BR571" s="3"/>
      <c r="BT571" s="3"/>
      <c r="BU571" s="3"/>
      <c r="BV571" s="3"/>
    </row>
    <row r="572" ht="15.75" customHeight="1">
      <c r="BQ572" s="3"/>
      <c r="BR572" s="3"/>
      <c r="BT572" s="3"/>
      <c r="BU572" s="3"/>
      <c r="BV572" s="3"/>
    </row>
    <row r="573" ht="15.75" customHeight="1">
      <c r="BQ573" s="3"/>
      <c r="BR573" s="3"/>
      <c r="BT573" s="3"/>
      <c r="BU573" s="3"/>
      <c r="BV573" s="3"/>
    </row>
    <row r="574" ht="15.75" customHeight="1">
      <c r="BQ574" s="3"/>
      <c r="BR574" s="3"/>
      <c r="BT574" s="3"/>
      <c r="BU574" s="3"/>
      <c r="BV574" s="3"/>
    </row>
    <row r="575" ht="15.75" customHeight="1">
      <c r="BQ575" s="3"/>
      <c r="BR575" s="3"/>
      <c r="BT575" s="3"/>
      <c r="BU575" s="3"/>
      <c r="BV575" s="3"/>
    </row>
    <row r="576" ht="15.75" customHeight="1">
      <c r="BQ576" s="3"/>
      <c r="BR576" s="3"/>
      <c r="BT576" s="3"/>
      <c r="BU576" s="3"/>
      <c r="BV576" s="3"/>
    </row>
    <row r="577" ht="15.75" customHeight="1">
      <c r="BQ577" s="3"/>
      <c r="BR577" s="3"/>
      <c r="BT577" s="3"/>
      <c r="BU577" s="3"/>
      <c r="BV577" s="3"/>
    </row>
    <row r="578" ht="15.75" customHeight="1">
      <c r="BQ578" s="3"/>
      <c r="BR578" s="3"/>
      <c r="BT578" s="3"/>
      <c r="BU578" s="3"/>
      <c r="BV578" s="3"/>
    </row>
    <row r="579" ht="15.75" customHeight="1">
      <c r="BQ579" s="3"/>
      <c r="BR579" s="3"/>
      <c r="BT579" s="3"/>
      <c r="BU579" s="3"/>
      <c r="BV579" s="3"/>
    </row>
    <row r="580" ht="15.75" customHeight="1">
      <c r="BQ580" s="3"/>
      <c r="BR580" s="3"/>
      <c r="BT580" s="3"/>
      <c r="BU580" s="3"/>
      <c r="BV580" s="3"/>
    </row>
    <row r="581" ht="15.75" customHeight="1">
      <c r="BQ581" s="3"/>
      <c r="BR581" s="3"/>
      <c r="BT581" s="3"/>
      <c r="BU581" s="3"/>
      <c r="BV581" s="3"/>
    </row>
    <row r="582" ht="15.75" customHeight="1">
      <c r="BQ582" s="3"/>
      <c r="BR582" s="3"/>
      <c r="BT582" s="3"/>
      <c r="BU582" s="3"/>
      <c r="BV582" s="3"/>
    </row>
    <row r="583" ht="15.75" customHeight="1">
      <c r="BQ583" s="3"/>
      <c r="BR583" s="3"/>
      <c r="BT583" s="3"/>
      <c r="BU583" s="3"/>
      <c r="BV583" s="3"/>
    </row>
    <row r="584" ht="15.75" customHeight="1">
      <c r="BQ584" s="3"/>
      <c r="BR584" s="3"/>
      <c r="BT584" s="3"/>
      <c r="BU584" s="3"/>
      <c r="BV584" s="3"/>
    </row>
    <row r="585" ht="15.75" customHeight="1">
      <c r="BQ585" s="3"/>
      <c r="BR585" s="3"/>
      <c r="BT585" s="3"/>
      <c r="BU585" s="3"/>
      <c r="BV585" s="3"/>
    </row>
    <row r="586" ht="15.75" customHeight="1">
      <c r="BQ586" s="3"/>
      <c r="BR586" s="3"/>
      <c r="BT586" s="3"/>
      <c r="BU586" s="3"/>
      <c r="BV586" s="3"/>
    </row>
    <row r="587" ht="15.75" customHeight="1">
      <c r="BQ587" s="3"/>
      <c r="BR587" s="3"/>
      <c r="BT587" s="3"/>
      <c r="BU587" s="3"/>
      <c r="BV587" s="3"/>
    </row>
    <row r="588" ht="15.75" customHeight="1">
      <c r="BQ588" s="3"/>
      <c r="BR588" s="3"/>
      <c r="BT588" s="3"/>
      <c r="BU588" s="3"/>
      <c r="BV588" s="3"/>
    </row>
    <row r="589" ht="15.75" customHeight="1">
      <c r="BQ589" s="3"/>
      <c r="BR589" s="3"/>
      <c r="BT589" s="3"/>
      <c r="BU589" s="3"/>
      <c r="BV589" s="3"/>
    </row>
    <row r="590" ht="15.75" customHeight="1">
      <c r="BQ590" s="3"/>
      <c r="BR590" s="3"/>
      <c r="BT590" s="3"/>
      <c r="BU590" s="3"/>
      <c r="BV590" s="3"/>
    </row>
    <row r="591" ht="15.75" customHeight="1">
      <c r="BQ591" s="3"/>
      <c r="BR591" s="3"/>
      <c r="BT591" s="3"/>
      <c r="BU591" s="3"/>
      <c r="BV591" s="3"/>
    </row>
    <row r="592" ht="15.75" customHeight="1">
      <c r="BQ592" s="3"/>
      <c r="BR592" s="3"/>
      <c r="BT592" s="3"/>
      <c r="BU592" s="3"/>
      <c r="BV592" s="3"/>
    </row>
    <row r="593" ht="15.75" customHeight="1">
      <c r="BQ593" s="3"/>
      <c r="BR593" s="3"/>
      <c r="BT593" s="3"/>
      <c r="BU593" s="3"/>
      <c r="BV593" s="3"/>
    </row>
    <row r="594" ht="15.75" customHeight="1">
      <c r="BQ594" s="3"/>
      <c r="BR594" s="3"/>
      <c r="BT594" s="3"/>
      <c r="BU594" s="3"/>
      <c r="BV594" s="3"/>
    </row>
    <row r="595" ht="15.75" customHeight="1">
      <c r="BQ595" s="3"/>
      <c r="BR595" s="3"/>
      <c r="BT595" s="3"/>
      <c r="BU595" s="3"/>
      <c r="BV595" s="3"/>
    </row>
    <row r="596" ht="15.75" customHeight="1">
      <c r="BQ596" s="3"/>
      <c r="BR596" s="3"/>
      <c r="BT596" s="3"/>
      <c r="BU596" s="3"/>
      <c r="BV596" s="3"/>
    </row>
    <row r="597" ht="15.75" customHeight="1">
      <c r="BQ597" s="3"/>
      <c r="BR597" s="3"/>
      <c r="BT597" s="3"/>
      <c r="BU597" s="3"/>
      <c r="BV597" s="3"/>
    </row>
    <row r="598" ht="15.75" customHeight="1">
      <c r="BQ598" s="3"/>
      <c r="BR598" s="3"/>
      <c r="BT598" s="3"/>
      <c r="BU598" s="3"/>
      <c r="BV598" s="3"/>
    </row>
    <row r="599" ht="15.75" customHeight="1">
      <c r="BQ599" s="3"/>
      <c r="BR599" s="3"/>
      <c r="BT599" s="3"/>
      <c r="BU599" s="3"/>
      <c r="BV599" s="3"/>
    </row>
    <row r="600" ht="15.75" customHeight="1">
      <c r="BQ600" s="3"/>
      <c r="BR600" s="3"/>
      <c r="BT600" s="3"/>
      <c r="BU600" s="3"/>
      <c r="BV600" s="3"/>
    </row>
    <row r="601" ht="15.75" customHeight="1">
      <c r="BQ601" s="3"/>
      <c r="BR601" s="3"/>
      <c r="BT601" s="3"/>
      <c r="BU601" s="3"/>
      <c r="BV601" s="3"/>
    </row>
    <row r="602" ht="15.75" customHeight="1">
      <c r="BQ602" s="3"/>
      <c r="BR602" s="3"/>
      <c r="BT602" s="3"/>
      <c r="BU602" s="3"/>
      <c r="BV602" s="3"/>
    </row>
    <row r="603" ht="15.75" customHeight="1">
      <c r="BQ603" s="3"/>
      <c r="BR603" s="3"/>
      <c r="BT603" s="3"/>
      <c r="BU603" s="3"/>
      <c r="BV603" s="3"/>
    </row>
    <row r="604" ht="15.75" customHeight="1">
      <c r="BQ604" s="3"/>
      <c r="BR604" s="3"/>
      <c r="BT604" s="3"/>
      <c r="BU604" s="3"/>
      <c r="BV604" s="3"/>
    </row>
    <row r="605" ht="15.75" customHeight="1">
      <c r="BQ605" s="3"/>
      <c r="BR605" s="3"/>
      <c r="BT605" s="3"/>
      <c r="BU605" s="3"/>
      <c r="BV605" s="3"/>
    </row>
    <row r="606" ht="15.75" customHeight="1">
      <c r="BQ606" s="3"/>
      <c r="BR606" s="3"/>
      <c r="BT606" s="3"/>
      <c r="BU606" s="3"/>
      <c r="BV606" s="3"/>
    </row>
    <row r="607" ht="15.75" customHeight="1">
      <c r="BQ607" s="3"/>
      <c r="BR607" s="3"/>
      <c r="BT607" s="3"/>
      <c r="BU607" s="3"/>
      <c r="BV607" s="3"/>
    </row>
    <row r="608" ht="15.75" customHeight="1">
      <c r="BQ608" s="3"/>
      <c r="BR608" s="3"/>
      <c r="BT608" s="3"/>
      <c r="BU608" s="3"/>
      <c r="BV608" s="3"/>
    </row>
    <row r="609" ht="15.75" customHeight="1">
      <c r="BQ609" s="3"/>
      <c r="BR609" s="3"/>
      <c r="BT609" s="3"/>
      <c r="BU609" s="3"/>
      <c r="BV609" s="3"/>
    </row>
    <row r="610" ht="15.75" customHeight="1">
      <c r="BQ610" s="3"/>
      <c r="BR610" s="3"/>
      <c r="BT610" s="3"/>
      <c r="BU610" s="3"/>
      <c r="BV610" s="3"/>
    </row>
    <row r="611" ht="15.75" customHeight="1">
      <c r="BQ611" s="3"/>
      <c r="BR611" s="3"/>
      <c r="BT611" s="3"/>
      <c r="BU611" s="3"/>
      <c r="BV611" s="3"/>
    </row>
    <row r="612" ht="15.75" customHeight="1">
      <c r="BQ612" s="3"/>
      <c r="BR612" s="3"/>
      <c r="BT612" s="3"/>
      <c r="BU612" s="3"/>
      <c r="BV612" s="3"/>
    </row>
    <row r="613" ht="15.75" customHeight="1">
      <c r="BQ613" s="3"/>
      <c r="BR613" s="3"/>
      <c r="BT613" s="3"/>
      <c r="BU613" s="3"/>
      <c r="BV613" s="3"/>
    </row>
    <row r="614" ht="15.75" customHeight="1">
      <c r="BQ614" s="3"/>
      <c r="BR614" s="3"/>
      <c r="BT614" s="3"/>
      <c r="BU614" s="3"/>
      <c r="BV614" s="3"/>
    </row>
    <row r="615" ht="15.75" customHeight="1">
      <c r="BQ615" s="3"/>
      <c r="BR615" s="3"/>
      <c r="BT615" s="3"/>
      <c r="BU615" s="3"/>
      <c r="BV615" s="3"/>
    </row>
    <row r="616" ht="15.75" customHeight="1">
      <c r="BQ616" s="3"/>
      <c r="BR616" s="3"/>
      <c r="BT616" s="3"/>
      <c r="BU616" s="3"/>
      <c r="BV616" s="3"/>
    </row>
    <row r="617" ht="15.75" customHeight="1">
      <c r="BQ617" s="3"/>
      <c r="BR617" s="3"/>
      <c r="BT617" s="3"/>
      <c r="BU617" s="3"/>
      <c r="BV617" s="3"/>
    </row>
    <row r="618" ht="15.75" customHeight="1">
      <c r="BQ618" s="3"/>
      <c r="BR618" s="3"/>
      <c r="BT618" s="3"/>
      <c r="BU618" s="3"/>
      <c r="BV618" s="3"/>
    </row>
    <row r="619" ht="15.75" customHeight="1">
      <c r="BQ619" s="3"/>
      <c r="BR619" s="3"/>
      <c r="BT619" s="3"/>
      <c r="BU619" s="3"/>
      <c r="BV619" s="3"/>
    </row>
    <row r="620" ht="15.75" customHeight="1">
      <c r="BQ620" s="3"/>
      <c r="BR620" s="3"/>
      <c r="BT620" s="3"/>
      <c r="BU620" s="3"/>
      <c r="BV620" s="3"/>
    </row>
    <row r="621" ht="15.75" customHeight="1">
      <c r="BQ621" s="3"/>
      <c r="BR621" s="3"/>
      <c r="BT621" s="3"/>
      <c r="BU621" s="3"/>
      <c r="BV621" s="3"/>
    </row>
    <row r="622" ht="15.75" customHeight="1">
      <c r="BQ622" s="3"/>
      <c r="BR622" s="3"/>
      <c r="BT622" s="3"/>
      <c r="BU622" s="3"/>
      <c r="BV622" s="3"/>
    </row>
    <row r="623" ht="15.75" customHeight="1">
      <c r="BQ623" s="3"/>
      <c r="BR623" s="3"/>
      <c r="BT623" s="3"/>
      <c r="BU623" s="3"/>
      <c r="BV623" s="3"/>
    </row>
    <row r="624" ht="15.75" customHeight="1">
      <c r="BQ624" s="3"/>
      <c r="BR624" s="3"/>
      <c r="BT624" s="3"/>
      <c r="BU624" s="3"/>
      <c r="BV624" s="3"/>
    </row>
    <row r="625" ht="15.75" customHeight="1">
      <c r="BQ625" s="3"/>
      <c r="BR625" s="3"/>
      <c r="BT625" s="3"/>
      <c r="BU625" s="3"/>
      <c r="BV625" s="3"/>
    </row>
    <row r="626" ht="15.75" customHeight="1">
      <c r="BQ626" s="3"/>
      <c r="BR626" s="3"/>
      <c r="BT626" s="3"/>
      <c r="BU626" s="3"/>
      <c r="BV626" s="3"/>
    </row>
    <row r="627" ht="15.75" customHeight="1">
      <c r="BQ627" s="3"/>
      <c r="BR627" s="3"/>
      <c r="BT627" s="3"/>
      <c r="BU627" s="3"/>
      <c r="BV627" s="3"/>
    </row>
    <row r="628" ht="15.75" customHeight="1">
      <c r="BQ628" s="3"/>
      <c r="BR628" s="3"/>
      <c r="BT628" s="3"/>
      <c r="BU628" s="3"/>
      <c r="BV628" s="3"/>
    </row>
    <row r="629" ht="15.75" customHeight="1">
      <c r="BQ629" s="3"/>
      <c r="BR629" s="3"/>
      <c r="BT629" s="3"/>
      <c r="BU629" s="3"/>
      <c r="BV629" s="3"/>
    </row>
    <row r="630" ht="15.75" customHeight="1">
      <c r="BQ630" s="3"/>
      <c r="BR630" s="3"/>
      <c r="BT630" s="3"/>
      <c r="BU630" s="3"/>
      <c r="BV630" s="3"/>
    </row>
    <row r="631" ht="15.75" customHeight="1">
      <c r="BQ631" s="3"/>
      <c r="BR631" s="3"/>
      <c r="BT631" s="3"/>
      <c r="BU631" s="3"/>
      <c r="BV631" s="3"/>
    </row>
    <row r="632" ht="15.75" customHeight="1">
      <c r="BQ632" s="3"/>
      <c r="BR632" s="3"/>
      <c r="BT632" s="3"/>
      <c r="BU632" s="3"/>
      <c r="BV632" s="3"/>
    </row>
    <row r="633" ht="15.75" customHeight="1">
      <c r="BQ633" s="3"/>
      <c r="BR633" s="3"/>
      <c r="BT633" s="3"/>
      <c r="BU633" s="3"/>
      <c r="BV633" s="3"/>
    </row>
    <row r="634" ht="15.75" customHeight="1">
      <c r="BQ634" s="3"/>
      <c r="BR634" s="3"/>
      <c r="BT634" s="3"/>
      <c r="BU634" s="3"/>
      <c r="BV634" s="3"/>
    </row>
    <row r="635" ht="15.75" customHeight="1">
      <c r="BQ635" s="3"/>
      <c r="BR635" s="3"/>
      <c r="BT635" s="3"/>
      <c r="BU635" s="3"/>
      <c r="BV635" s="3"/>
    </row>
    <row r="636" ht="15.75" customHeight="1">
      <c r="BQ636" s="3"/>
      <c r="BR636" s="3"/>
      <c r="BT636" s="3"/>
      <c r="BU636" s="3"/>
      <c r="BV636" s="3"/>
    </row>
    <row r="637" ht="15.75" customHeight="1">
      <c r="BQ637" s="3"/>
      <c r="BR637" s="3"/>
      <c r="BT637" s="3"/>
      <c r="BU637" s="3"/>
      <c r="BV637" s="3"/>
    </row>
    <row r="638" ht="15.75" customHeight="1">
      <c r="BQ638" s="3"/>
      <c r="BR638" s="3"/>
      <c r="BT638" s="3"/>
      <c r="BU638" s="3"/>
      <c r="BV638" s="3"/>
    </row>
    <row r="639" ht="15.75" customHeight="1">
      <c r="BQ639" s="3"/>
      <c r="BR639" s="3"/>
      <c r="BT639" s="3"/>
      <c r="BU639" s="3"/>
      <c r="BV639" s="3"/>
    </row>
    <row r="640" ht="15.75" customHeight="1">
      <c r="BQ640" s="3"/>
      <c r="BR640" s="3"/>
      <c r="BT640" s="3"/>
      <c r="BU640" s="3"/>
      <c r="BV640" s="3"/>
    </row>
    <row r="641" ht="15.75" customHeight="1">
      <c r="BQ641" s="3"/>
      <c r="BR641" s="3"/>
      <c r="BT641" s="3"/>
      <c r="BU641" s="3"/>
      <c r="BV641" s="3"/>
    </row>
    <row r="642" ht="15.75" customHeight="1">
      <c r="BQ642" s="3"/>
      <c r="BR642" s="3"/>
      <c r="BT642" s="3"/>
      <c r="BU642" s="3"/>
      <c r="BV642" s="3"/>
    </row>
    <row r="643" ht="15.75" customHeight="1">
      <c r="BQ643" s="3"/>
      <c r="BR643" s="3"/>
      <c r="BT643" s="3"/>
      <c r="BU643" s="3"/>
      <c r="BV643" s="3"/>
    </row>
    <row r="644" ht="15.75" customHeight="1">
      <c r="BQ644" s="3"/>
      <c r="BR644" s="3"/>
      <c r="BT644" s="3"/>
      <c r="BU644" s="3"/>
      <c r="BV644" s="3"/>
    </row>
    <row r="645" ht="15.75" customHeight="1">
      <c r="BQ645" s="3"/>
      <c r="BR645" s="3"/>
      <c r="BT645" s="3"/>
      <c r="BU645" s="3"/>
      <c r="BV645" s="3"/>
    </row>
    <row r="646" ht="15.75" customHeight="1">
      <c r="BQ646" s="3"/>
      <c r="BR646" s="3"/>
      <c r="BT646" s="3"/>
      <c r="BU646" s="3"/>
      <c r="BV646" s="3"/>
    </row>
    <row r="647" ht="15.75" customHeight="1">
      <c r="BQ647" s="3"/>
      <c r="BR647" s="3"/>
      <c r="BT647" s="3"/>
      <c r="BU647" s="3"/>
      <c r="BV647" s="3"/>
    </row>
    <row r="648" ht="15.75" customHeight="1">
      <c r="BQ648" s="3"/>
      <c r="BR648" s="3"/>
      <c r="BT648" s="3"/>
      <c r="BU648" s="3"/>
      <c r="BV648" s="3"/>
    </row>
    <row r="649" ht="15.75" customHeight="1">
      <c r="BQ649" s="3"/>
      <c r="BR649" s="3"/>
      <c r="BT649" s="3"/>
      <c r="BU649" s="3"/>
      <c r="BV649" s="3"/>
    </row>
    <row r="650" ht="15.75" customHeight="1">
      <c r="BQ650" s="3"/>
      <c r="BR650" s="3"/>
      <c r="BT650" s="3"/>
      <c r="BU650" s="3"/>
      <c r="BV650" s="3"/>
    </row>
    <row r="651" ht="15.75" customHeight="1">
      <c r="BQ651" s="3"/>
      <c r="BR651" s="3"/>
      <c r="BT651" s="3"/>
      <c r="BU651" s="3"/>
      <c r="BV651" s="3"/>
    </row>
    <row r="652" ht="15.75" customHeight="1">
      <c r="BQ652" s="3"/>
      <c r="BR652" s="3"/>
      <c r="BT652" s="3"/>
      <c r="BU652" s="3"/>
      <c r="BV652" s="3"/>
    </row>
    <row r="653" ht="15.75" customHeight="1">
      <c r="BQ653" s="3"/>
      <c r="BR653" s="3"/>
      <c r="BT653" s="3"/>
      <c r="BU653" s="3"/>
      <c r="BV653" s="3"/>
    </row>
    <row r="654" ht="15.75" customHeight="1">
      <c r="BQ654" s="3"/>
      <c r="BR654" s="3"/>
      <c r="BT654" s="3"/>
      <c r="BU654" s="3"/>
      <c r="BV654" s="3"/>
    </row>
    <row r="655" ht="15.75" customHeight="1">
      <c r="BQ655" s="3"/>
      <c r="BR655" s="3"/>
      <c r="BT655" s="3"/>
      <c r="BU655" s="3"/>
      <c r="BV655" s="3"/>
    </row>
    <row r="656" ht="15.75" customHeight="1">
      <c r="BQ656" s="3"/>
      <c r="BR656" s="3"/>
      <c r="BT656" s="3"/>
      <c r="BU656" s="3"/>
      <c r="BV656" s="3"/>
    </row>
    <row r="657" ht="15.75" customHeight="1">
      <c r="BQ657" s="3"/>
      <c r="BR657" s="3"/>
      <c r="BT657" s="3"/>
      <c r="BU657" s="3"/>
      <c r="BV657" s="3"/>
    </row>
    <row r="658" ht="15.75" customHeight="1">
      <c r="BQ658" s="3"/>
      <c r="BR658" s="3"/>
      <c r="BT658" s="3"/>
      <c r="BU658" s="3"/>
      <c r="BV658" s="3"/>
    </row>
    <row r="659" ht="15.75" customHeight="1">
      <c r="BQ659" s="3"/>
      <c r="BR659" s="3"/>
      <c r="BT659" s="3"/>
      <c r="BU659" s="3"/>
      <c r="BV659" s="3"/>
    </row>
    <row r="660" ht="15.75" customHeight="1">
      <c r="BQ660" s="3"/>
      <c r="BR660" s="3"/>
      <c r="BT660" s="3"/>
      <c r="BU660" s="3"/>
      <c r="BV660" s="3"/>
    </row>
    <row r="661" ht="15.75" customHeight="1">
      <c r="BQ661" s="3"/>
      <c r="BR661" s="3"/>
      <c r="BT661" s="3"/>
      <c r="BU661" s="3"/>
      <c r="BV661" s="3"/>
    </row>
    <row r="662" ht="15.75" customHeight="1">
      <c r="BQ662" s="3"/>
      <c r="BR662" s="3"/>
      <c r="BT662" s="3"/>
      <c r="BU662" s="3"/>
      <c r="BV662" s="3"/>
    </row>
    <row r="663" ht="15.75" customHeight="1">
      <c r="BQ663" s="3"/>
      <c r="BR663" s="3"/>
      <c r="BT663" s="3"/>
      <c r="BU663" s="3"/>
      <c r="BV663" s="3"/>
    </row>
    <row r="664" ht="15.75" customHeight="1">
      <c r="BQ664" s="3"/>
      <c r="BR664" s="3"/>
      <c r="BT664" s="3"/>
      <c r="BU664" s="3"/>
      <c r="BV664" s="3"/>
    </row>
    <row r="665" ht="15.75" customHeight="1">
      <c r="BQ665" s="3"/>
      <c r="BR665" s="3"/>
      <c r="BT665" s="3"/>
      <c r="BU665" s="3"/>
      <c r="BV665" s="3"/>
    </row>
    <row r="666" ht="15.75" customHeight="1">
      <c r="BQ666" s="3"/>
      <c r="BR666" s="3"/>
      <c r="BT666" s="3"/>
      <c r="BU666" s="3"/>
      <c r="BV666" s="3"/>
    </row>
    <row r="667" ht="15.75" customHeight="1">
      <c r="BQ667" s="3"/>
      <c r="BR667" s="3"/>
      <c r="BT667" s="3"/>
      <c r="BU667" s="3"/>
      <c r="BV667" s="3"/>
    </row>
    <row r="668" ht="15.75" customHeight="1">
      <c r="BQ668" s="3"/>
      <c r="BR668" s="3"/>
      <c r="BT668" s="3"/>
      <c r="BU668" s="3"/>
      <c r="BV668" s="3"/>
    </row>
    <row r="669" ht="15.75" customHeight="1">
      <c r="BQ669" s="3"/>
      <c r="BR669" s="3"/>
      <c r="BT669" s="3"/>
      <c r="BU669" s="3"/>
      <c r="BV669" s="3"/>
    </row>
    <row r="670" ht="15.75" customHeight="1">
      <c r="BQ670" s="3"/>
      <c r="BR670" s="3"/>
      <c r="BT670" s="3"/>
      <c r="BU670" s="3"/>
      <c r="BV670" s="3"/>
    </row>
    <row r="671" ht="15.75" customHeight="1">
      <c r="BQ671" s="3"/>
      <c r="BR671" s="3"/>
      <c r="BT671" s="3"/>
      <c r="BU671" s="3"/>
      <c r="BV671" s="3"/>
    </row>
    <row r="672" ht="15.75" customHeight="1">
      <c r="BQ672" s="3"/>
      <c r="BR672" s="3"/>
      <c r="BT672" s="3"/>
      <c r="BU672" s="3"/>
      <c r="BV672" s="3"/>
    </row>
    <row r="673" ht="15.75" customHeight="1">
      <c r="BQ673" s="3"/>
      <c r="BR673" s="3"/>
      <c r="BT673" s="3"/>
      <c r="BU673" s="3"/>
      <c r="BV673" s="3"/>
    </row>
    <row r="674" ht="15.75" customHeight="1">
      <c r="BQ674" s="3"/>
      <c r="BR674" s="3"/>
      <c r="BT674" s="3"/>
      <c r="BU674" s="3"/>
      <c r="BV674" s="3"/>
    </row>
    <row r="675" ht="15.75" customHeight="1">
      <c r="BQ675" s="3"/>
      <c r="BR675" s="3"/>
      <c r="BT675" s="3"/>
      <c r="BU675" s="3"/>
      <c r="BV675" s="3"/>
    </row>
    <row r="676" ht="15.75" customHeight="1">
      <c r="BQ676" s="3"/>
      <c r="BR676" s="3"/>
      <c r="BT676" s="3"/>
      <c r="BU676" s="3"/>
      <c r="BV676" s="3"/>
    </row>
    <row r="677" ht="15.75" customHeight="1">
      <c r="BQ677" s="3"/>
      <c r="BR677" s="3"/>
      <c r="BT677" s="3"/>
      <c r="BU677" s="3"/>
      <c r="BV677" s="3"/>
    </row>
    <row r="678" ht="15.75" customHeight="1">
      <c r="BQ678" s="3"/>
      <c r="BR678" s="3"/>
      <c r="BT678" s="3"/>
      <c r="BU678" s="3"/>
      <c r="BV678" s="3"/>
    </row>
    <row r="679" ht="15.75" customHeight="1">
      <c r="BQ679" s="3"/>
      <c r="BR679" s="3"/>
      <c r="BT679" s="3"/>
      <c r="BU679" s="3"/>
      <c r="BV679" s="3"/>
    </row>
    <row r="680" ht="15.75" customHeight="1">
      <c r="BQ680" s="3"/>
      <c r="BR680" s="3"/>
      <c r="BT680" s="3"/>
      <c r="BU680" s="3"/>
      <c r="BV680" s="3"/>
    </row>
    <row r="681" ht="15.75" customHeight="1">
      <c r="BQ681" s="3"/>
      <c r="BR681" s="3"/>
      <c r="BT681" s="3"/>
      <c r="BU681" s="3"/>
      <c r="BV681" s="3"/>
    </row>
    <row r="682" ht="15.75" customHeight="1">
      <c r="BQ682" s="3"/>
      <c r="BR682" s="3"/>
      <c r="BT682" s="3"/>
      <c r="BU682" s="3"/>
      <c r="BV682" s="3"/>
    </row>
    <row r="683" ht="15.75" customHeight="1">
      <c r="BQ683" s="3"/>
      <c r="BR683" s="3"/>
      <c r="BT683" s="3"/>
      <c r="BU683" s="3"/>
      <c r="BV683" s="3"/>
    </row>
    <row r="684" ht="15.75" customHeight="1">
      <c r="BQ684" s="3"/>
      <c r="BR684" s="3"/>
      <c r="BT684" s="3"/>
      <c r="BU684" s="3"/>
      <c r="BV684" s="3"/>
    </row>
    <row r="685" ht="15.75" customHeight="1">
      <c r="BQ685" s="3"/>
      <c r="BR685" s="3"/>
      <c r="BT685" s="3"/>
      <c r="BU685" s="3"/>
      <c r="BV685" s="3"/>
    </row>
    <row r="686" ht="15.75" customHeight="1">
      <c r="BQ686" s="3"/>
      <c r="BR686" s="3"/>
      <c r="BT686" s="3"/>
      <c r="BU686" s="3"/>
      <c r="BV686" s="3"/>
    </row>
    <row r="687" ht="15.75" customHeight="1">
      <c r="BQ687" s="3"/>
      <c r="BR687" s="3"/>
      <c r="BT687" s="3"/>
      <c r="BU687" s="3"/>
      <c r="BV687" s="3"/>
    </row>
    <row r="688" ht="15.75" customHeight="1">
      <c r="BQ688" s="3"/>
      <c r="BR688" s="3"/>
      <c r="BT688" s="3"/>
      <c r="BU688" s="3"/>
      <c r="BV688" s="3"/>
    </row>
    <row r="689" ht="15.75" customHeight="1">
      <c r="BQ689" s="3"/>
      <c r="BR689" s="3"/>
      <c r="BT689" s="3"/>
      <c r="BU689" s="3"/>
      <c r="BV689" s="3"/>
    </row>
    <row r="690" ht="15.75" customHeight="1">
      <c r="BQ690" s="3"/>
      <c r="BR690" s="3"/>
      <c r="BT690" s="3"/>
      <c r="BU690" s="3"/>
      <c r="BV690" s="3"/>
    </row>
    <row r="691" ht="15.75" customHeight="1">
      <c r="BQ691" s="3"/>
      <c r="BR691" s="3"/>
      <c r="BT691" s="3"/>
      <c r="BU691" s="3"/>
      <c r="BV691" s="3"/>
    </row>
    <row r="692" ht="15.75" customHeight="1">
      <c r="BQ692" s="3"/>
      <c r="BR692" s="3"/>
      <c r="BT692" s="3"/>
      <c r="BU692" s="3"/>
      <c r="BV692" s="3"/>
    </row>
    <row r="693" ht="15.75" customHeight="1">
      <c r="BQ693" s="3"/>
      <c r="BR693" s="3"/>
      <c r="BT693" s="3"/>
      <c r="BU693" s="3"/>
      <c r="BV693" s="3"/>
    </row>
    <row r="694" ht="15.75" customHeight="1">
      <c r="BQ694" s="3"/>
      <c r="BR694" s="3"/>
      <c r="BT694" s="3"/>
      <c r="BU694" s="3"/>
      <c r="BV694" s="3"/>
    </row>
    <row r="695" ht="15.75" customHeight="1">
      <c r="BQ695" s="3"/>
      <c r="BR695" s="3"/>
      <c r="BT695" s="3"/>
      <c r="BU695" s="3"/>
      <c r="BV695" s="3"/>
    </row>
    <row r="696" ht="15.75" customHeight="1">
      <c r="BQ696" s="3"/>
      <c r="BR696" s="3"/>
      <c r="BT696" s="3"/>
      <c r="BU696" s="3"/>
      <c r="BV696" s="3"/>
    </row>
    <row r="697" ht="15.75" customHeight="1">
      <c r="BQ697" s="3"/>
      <c r="BR697" s="3"/>
      <c r="BT697" s="3"/>
      <c r="BU697" s="3"/>
      <c r="BV697" s="3"/>
    </row>
    <row r="698" ht="15.75" customHeight="1">
      <c r="BQ698" s="3"/>
      <c r="BR698" s="3"/>
      <c r="BT698" s="3"/>
      <c r="BU698" s="3"/>
      <c r="BV698" s="3"/>
    </row>
    <row r="699" ht="15.75" customHeight="1">
      <c r="BQ699" s="3"/>
      <c r="BR699" s="3"/>
      <c r="BT699" s="3"/>
      <c r="BU699" s="3"/>
      <c r="BV699" s="3"/>
    </row>
    <row r="700" ht="15.75" customHeight="1">
      <c r="BQ700" s="3"/>
      <c r="BR700" s="3"/>
      <c r="BT700" s="3"/>
      <c r="BU700" s="3"/>
      <c r="BV700" s="3"/>
    </row>
    <row r="701" ht="15.75" customHeight="1">
      <c r="BQ701" s="3"/>
      <c r="BR701" s="3"/>
      <c r="BT701" s="3"/>
      <c r="BU701" s="3"/>
      <c r="BV701" s="3"/>
    </row>
    <row r="702" ht="15.75" customHeight="1">
      <c r="BQ702" s="3"/>
      <c r="BR702" s="3"/>
      <c r="BT702" s="3"/>
      <c r="BU702" s="3"/>
      <c r="BV702" s="3"/>
    </row>
    <row r="703" ht="15.75" customHeight="1">
      <c r="BQ703" s="3"/>
      <c r="BR703" s="3"/>
      <c r="BT703" s="3"/>
      <c r="BU703" s="3"/>
      <c r="BV703" s="3"/>
    </row>
    <row r="704" ht="15.75" customHeight="1">
      <c r="BQ704" s="3"/>
      <c r="BR704" s="3"/>
      <c r="BT704" s="3"/>
      <c r="BU704" s="3"/>
      <c r="BV704" s="3"/>
    </row>
    <row r="705" ht="15.75" customHeight="1">
      <c r="BQ705" s="3"/>
      <c r="BR705" s="3"/>
      <c r="BT705" s="3"/>
      <c r="BU705" s="3"/>
      <c r="BV705" s="3"/>
    </row>
    <row r="706" ht="15.75" customHeight="1">
      <c r="BQ706" s="3"/>
      <c r="BR706" s="3"/>
      <c r="BT706" s="3"/>
      <c r="BU706" s="3"/>
      <c r="BV706" s="3"/>
    </row>
    <row r="707" ht="15.75" customHeight="1">
      <c r="BQ707" s="3"/>
      <c r="BR707" s="3"/>
      <c r="BT707" s="3"/>
      <c r="BU707" s="3"/>
      <c r="BV707" s="3"/>
    </row>
    <row r="708" ht="15.75" customHeight="1">
      <c r="BQ708" s="3"/>
      <c r="BR708" s="3"/>
      <c r="BT708" s="3"/>
      <c r="BU708" s="3"/>
      <c r="BV708" s="3"/>
    </row>
    <row r="709" ht="15.75" customHeight="1">
      <c r="BQ709" s="3"/>
      <c r="BR709" s="3"/>
      <c r="BT709" s="3"/>
      <c r="BU709" s="3"/>
      <c r="BV709" s="3"/>
    </row>
    <row r="710" ht="15.75" customHeight="1">
      <c r="BQ710" s="3"/>
      <c r="BR710" s="3"/>
      <c r="BT710" s="3"/>
      <c r="BU710" s="3"/>
      <c r="BV710" s="3"/>
    </row>
    <row r="711" ht="15.75" customHeight="1">
      <c r="BQ711" s="3"/>
      <c r="BR711" s="3"/>
      <c r="BT711" s="3"/>
      <c r="BU711" s="3"/>
      <c r="BV711" s="3"/>
    </row>
    <row r="712" ht="15.75" customHeight="1">
      <c r="BQ712" s="3"/>
      <c r="BR712" s="3"/>
      <c r="BT712" s="3"/>
      <c r="BU712" s="3"/>
      <c r="BV712" s="3"/>
    </row>
    <row r="713" ht="15.75" customHeight="1">
      <c r="BQ713" s="3"/>
      <c r="BR713" s="3"/>
      <c r="BT713" s="3"/>
      <c r="BU713" s="3"/>
      <c r="BV713" s="3"/>
    </row>
    <row r="714" ht="15.75" customHeight="1">
      <c r="BQ714" s="3"/>
      <c r="BR714" s="3"/>
      <c r="BT714" s="3"/>
      <c r="BU714" s="3"/>
      <c r="BV714" s="3"/>
    </row>
    <row r="715" ht="15.75" customHeight="1">
      <c r="BQ715" s="3"/>
      <c r="BR715" s="3"/>
      <c r="BT715" s="3"/>
      <c r="BU715" s="3"/>
      <c r="BV715" s="3"/>
    </row>
    <row r="716" ht="15.75" customHeight="1">
      <c r="BQ716" s="3"/>
      <c r="BR716" s="3"/>
      <c r="BT716" s="3"/>
      <c r="BU716" s="3"/>
      <c r="BV716" s="3"/>
    </row>
    <row r="717" ht="15.75" customHeight="1">
      <c r="BQ717" s="3"/>
      <c r="BR717" s="3"/>
      <c r="BT717" s="3"/>
      <c r="BU717" s="3"/>
      <c r="BV717" s="3"/>
    </row>
    <row r="718" ht="15.75" customHeight="1">
      <c r="BQ718" s="3"/>
      <c r="BR718" s="3"/>
      <c r="BT718" s="3"/>
      <c r="BU718" s="3"/>
      <c r="BV718" s="3"/>
    </row>
    <row r="719" ht="15.75" customHeight="1">
      <c r="BQ719" s="3"/>
      <c r="BR719" s="3"/>
      <c r="BT719" s="3"/>
      <c r="BU719" s="3"/>
      <c r="BV719" s="3"/>
    </row>
    <row r="720" ht="15.75" customHeight="1">
      <c r="BQ720" s="3"/>
      <c r="BR720" s="3"/>
      <c r="BT720" s="3"/>
      <c r="BU720" s="3"/>
      <c r="BV720" s="3"/>
    </row>
    <row r="721" ht="15.75" customHeight="1">
      <c r="BQ721" s="3"/>
      <c r="BR721" s="3"/>
      <c r="BT721" s="3"/>
      <c r="BU721" s="3"/>
      <c r="BV721" s="3"/>
    </row>
    <row r="722" ht="15.75" customHeight="1">
      <c r="BQ722" s="3"/>
      <c r="BR722" s="3"/>
      <c r="BT722" s="3"/>
      <c r="BU722" s="3"/>
      <c r="BV722" s="3"/>
    </row>
    <row r="723" ht="15.75" customHeight="1">
      <c r="BQ723" s="3"/>
      <c r="BR723" s="3"/>
      <c r="BT723" s="3"/>
      <c r="BU723" s="3"/>
      <c r="BV723" s="3"/>
    </row>
    <row r="724" ht="15.75" customHeight="1">
      <c r="BQ724" s="3"/>
      <c r="BR724" s="3"/>
      <c r="BT724" s="3"/>
      <c r="BU724" s="3"/>
      <c r="BV724" s="3"/>
    </row>
    <row r="725" ht="15.75" customHeight="1">
      <c r="BQ725" s="3"/>
      <c r="BR725" s="3"/>
      <c r="BT725" s="3"/>
      <c r="BU725" s="3"/>
      <c r="BV725" s="3"/>
    </row>
    <row r="726" ht="15.75" customHeight="1">
      <c r="BQ726" s="3"/>
      <c r="BR726" s="3"/>
      <c r="BT726" s="3"/>
      <c r="BU726" s="3"/>
      <c r="BV726" s="3"/>
    </row>
    <row r="727" ht="15.75" customHeight="1">
      <c r="BQ727" s="3"/>
      <c r="BR727" s="3"/>
      <c r="BT727" s="3"/>
      <c r="BU727" s="3"/>
      <c r="BV727" s="3"/>
    </row>
    <row r="728" ht="15.75" customHeight="1">
      <c r="BQ728" s="3"/>
      <c r="BR728" s="3"/>
      <c r="BT728" s="3"/>
      <c r="BU728" s="3"/>
      <c r="BV728" s="3"/>
    </row>
    <row r="729" ht="15.75" customHeight="1">
      <c r="BQ729" s="3"/>
      <c r="BR729" s="3"/>
      <c r="BT729" s="3"/>
      <c r="BU729" s="3"/>
      <c r="BV729" s="3"/>
    </row>
    <row r="730" ht="15.75" customHeight="1">
      <c r="BQ730" s="3"/>
      <c r="BR730" s="3"/>
      <c r="BT730" s="3"/>
      <c r="BU730" s="3"/>
      <c r="BV730" s="3"/>
    </row>
    <row r="731" ht="15.75" customHeight="1">
      <c r="BQ731" s="3"/>
      <c r="BR731" s="3"/>
      <c r="BT731" s="3"/>
      <c r="BU731" s="3"/>
      <c r="BV731" s="3"/>
    </row>
    <row r="732" ht="15.75" customHeight="1">
      <c r="BQ732" s="3"/>
      <c r="BR732" s="3"/>
      <c r="BT732" s="3"/>
      <c r="BU732" s="3"/>
      <c r="BV732" s="3"/>
    </row>
    <row r="733" ht="15.75" customHeight="1">
      <c r="BQ733" s="3"/>
      <c r="BR733" s="3"/>
      <c r="BT733" s="3"/>
      <c r="BU733" s="3"/>
      <c r="BV733" s="3"/>
    </row>
    <row r="734" ht="15.75" customHeight="1">
      <c r="BQ734" s="3"/>
      <c r="BR734" s="3"/>
      <c r="BT734" s="3"/>
      <c r="BU734" s="3"/>
      <c r="BV734" s="3"/>
    </row>
    <row r="735" ht="15.75" customHeight="1">
      <c r="BQ735" s="3"/>
      <c r="BR735" s="3"/>
      <c r="BT735" s="3"/>
      <c r="BU735" s="3"/>
      <c r="BV735" s="3"/>
    </row>
    <row r="736" ht="15.75" customHeight="1">
      <c r="BQ736" s="3"/>
      <c r="BR736" s="3"/>
      <c r="BT736" s="3"/>
      <c r="BU736" s="3"/>
      <c r="BV736" s="3"/>
    </row>
    <row r="737" ht="15.75" customHeight="1">
      <c r="BQ737" s="3"/>
      <c r="BR737" s="3"/>
      <c r="BT737" s="3"/>
      <c r="BU737" s="3"/>
      <c r="BV737" s="3"/>
    </row>
    <row r="738" ht="15.75" customHeight="1">
      <c r="BQ738" s="3"/>
      <c r="BR738" s="3"/>
      <c r="BT738" s="3"/>
      <c r="BU738" s="3"/>
      <c r="BV738" s="3"/>
    </row>
    <row r="739" ht="15.75" customHeight="1">
      <c r="BQ739" s="3"/>
      <c r="BR739" s="3"/>
      <c r="BT739" s="3"/>
      <c r="BU739" s="3"/>
      <c r="BV739" s="3"/>
    </row>
    <row r="740" ht="15.75" customHeight="1">
      <c r="BQ740" s="3"/>
      <c r="BR740" s="3"/>
      <c r="BT740" s="3"/>
      <c r="BU740" s="3"/>
      <c r="BV740" s="3"/>
    </row>
    <row r="741" ht="15.75" customHeight="1">
      <c r="BQ741" s="3"/>
      <c r="BR741" s="3"/>
      <c r="BT741" s="3"/>
      <c r="BU741" s="3"/>
      <c r="BV741" s="3"/>
    </row>
    <row r="742" ht="15.75" customHeight="1">
      <c r="BQ742" s="3"/>
      <c r="BR742" s="3"/>
      <c r="BT742" s="3"/>
      <c r="BU742" s="3"/>
      <c r="BV742" s="3"/>
    </row>
    <row r="743" ht="15.75" customHeight="1">
      <c r="BQ743" s="3"/>
      <c r="BR743" s="3"/>
      <c r="BT743" s="3"/>
      <c r="BU743" s="3"/>
      <c r="BV743" s="3"/>
    </row>
    <row r="744" ht="15.75" customHeight="1">
      <c r="BQ744" s="3"/>
      <c r="BR744" s="3"/>
      <c r="BT744" s="3"/>
      <c r="BU744" s="3"/>
      <c r="BV744" s="3"/>
    </row>
    <row r="745" ht="15.75" customHeight="1">
      <c r="BQ745" s="3"/>
      <c r="BR745" s="3"/>
      <c r="BT745" s="3"/>
      <c r="BU745" s="3"/>
      <c r="BV745" s="3"/>
    </row>
    <row r="746" ht="15.75" customHeight="1">
      <c r="BQ746" s="3"/>
      <c r="BR746" s="3"/>
      <c r="BT746" s="3"/>
      <c r="BU746" s="3"/>
      <c r="BV746" s="3"/>
    </row>
    <row r="747" ht="15.75" customHeight="1">
      <c r="BQ747" s="3"/>
      <c r="BR747" s="3"/>
      <c r="BT747" s="3"/>
      <c r="BU747" s="3"/>
      <c r="BV747" s="3"/>
    </row>
    <row r="748" ht="15.75" customHeight="1">
      <c r="BQ748" s="3"/>
      <c r="BR748" s="3"/>
      <c r="BT748" s="3"/>
      <c r="BU748" s="3"/>
      <c r="BV748" s="3"/>
    </row>
    <row r="749" ht="15.75" customHeight="1">
      <c r="BQ749" s="3"/>
      <c r="BR749" s="3"/>
      <c r="BT749" s="3"/>
      <c r="BU749" s="3"/>
      <c r="BV749" s="3"/>
    </row>
    <row r="750" ht="15.75" customHeight="1">
      <c r="BQ750" s="3"/>
      <c r="BR750" s="3"/>
      <c r="BT750" s="3"/>
      <c r="BU750" s="3"/>
      <c r="BV750" s="3"/>
    </row>
    <row r="751" ht="15.75" customHeight="1">
      <c r="BQ751" s="3"/>
      <c r="BR751" s="3"/>
      <c r="BT751" s="3"/>
      <c r="BU751" s="3"/>
      <c r="BV751" s="3"/>
    </row>
    <row r="752" ht="15.75" customHeight="1">
      <c r="BQ752" s="3"/>
      <c r="BR752" s="3"/>
      <c r="BT752" s="3"/>
      <c r="BU752" s="3"/>
      <c r="BV752" s="3"/>
    </row>
    <row r="753" ht="15.75" customHeight="1">
      <c r="BQ753" s="3"/>
      <c r="BR753" s="3"/>
      <c r="BT753" s="3"/>
      <c r="BU753" s="3"/>
      <c r="BV753" s="3"/>
    </row>
    <row r="754" ht="15.75" customHeight="1">
      <c r="BQ754" s="3"/>
      <c r="BR754" s="3"/>
      <c r="BT754" s="3"/>
      <c r="BU754" s="3"/>
      <c r="BV754" s="3"/>
    </row>
    <row r="755" ht="15.75" customHeight="1">
      <c r="BQ755" s="3"/>
      <c r="BR755" s="3"/>
      <c r="BT755" s="3"/>
      <c r="BU755" s="3"/>
      <c r="BV755" s="3"/>
    </row>
    <row r="756" ht="15.75" customHeight="1">
      <c r="BQ756" s="3"/>
      <c r="BR756" s="3"/>
      <c r="BT756" s="3"/>
      <c r="BU756" s="3"/>
      <c r="BV756" s="3"/>
    </row>
    <row r="757" ht="15.75" customHeight="1">
      <c r="BQ757" s="3"/>
      <c r="BR757" s="3"/>
      <c r="BT757" s="3"/>
      <c r="BU757" s="3"/>
      <c r="BV757" s="3"/>
    </row>
    <row r="758" ht="15.75" customHeight="1">
      <c r="BQ758" s="3"/>
      <c r="BR758" s="3"/>
      <c r="BT758" s="3"/>
      <c r="BU758" s="3"/>
      <c r="BV758" s="3"/>
    </row>
    <row r="759" ht="15.75" customHeight="1">
      <c r="BQ759" s="3"/>
      <c r="BR759" s="3"/>
      <c r="BT759" s="3"/>
      <c r="BU759" s="3"/>
      <c r="BV759" s="3"/>
    </row>
    <row r="760" ht="15.75" customHeight="1">
      <c r="BQ760" s="3"/>
      <c r="BR760" s="3"/>
      <c r="BT760" s="3"/>
      <c r="BU760" s="3"/>
      <c r="BV760" s="3"/>
    </row>
    <row r="761" ht="15.75" customHeight="1">
      <c r="BQ761" s="3"/>
      <c r="BR761" s="3"/>
      <c r="BT761" s="3"/>
      <c r="BU761" s="3"/>
      <c r="BV761" s="3"/>
    </row>
    <row r="762" ht="15.75" customHeight="1">
      <c r="BQ762" s="3"/>
      <c r="BR762" s="3"/>
      <c r="BT762" s="3"/>
      <c r="BU762" s="3"/>
      <c r="BV762" s="3"/>
    </row>
    <row r="763" ht="15.75" customHeight="1">
      <c r="BQ763" s="3"/>
      <c r="BR763" s="3"/>
      <c r="BT763" s="3"/>
      <c r="BU763" s="3"/>
      <c r="BV763" s="3"/>
    </row>
    <row r="764" ht="15.75" customHeight="1">
      <c r="BQ764" s="3"/>
      <c r="BR764" s="3"/>
      <c r="BT764" s="3"/>
      <c r="BU764" s="3"/>
      <c r="BV764" s="3"/>
    </row>
    <row r="765" ht="15.75" customHeight="1">
      <c r="BQ765" s="3"/>
      <c r="BR765" s="3"/>
      <c r="BT765" s="3"/>
      <c r="BU765" s="3"/>
      <c r="BV765" s="3"/>
    </row>
    <row r="766" ht="15.75" customHeight="1">
      <c r="BQ766" s="3"/>
      <c r="BR766" s="3"/>
      <c r="BT766" s="3"/>
      <c r="BU766" s="3"/>
      <c r="BV766" s="3"/>
    </row>
    <row r="767" ht="15.75" customHeight="1">
      <c r="BQ767" s="3"/>
      <c r="BR767" s="3"/>
      <c r="BT767" s="3"/>
      <c r="BU767" s="3"/>
      <c r="BV767" s="3"/>
    </row>
    <row r="768" ht="15.75" customHeight="1">
      <c r="BQ768" s="3"/>
      <c r="BR768" s="3"/>
      <c r="BT768" s="3"/>
      <c r="BU768" s="3"/>
      <c r="BV768" s="3"/>
    </row>
    <row r="769" ht="15.75" customHeight="1">
      <c r="BQ769" s="3"/>
      <c r="BR769" s="3"/>
      <c r="BT769" s="3"/>
      <c r="BU769" s="3"/>
      <c r="BV769" s="3"/>
    </row>
    <row r="770" ht="15.75" customHeight="1">
      <c r="BQ770" s="3"/>
      <c r="BR770" s="3"/>
      <c r="BT770" s="3"/>
      <c r="BU770" s="3"/>
      <c r="BV770" s="3"/>
    </row>
    <row r="771" ht="15.75" customHeight="1">
      <c r="BQ771" s="3"/>
      <c r="BR771" s="3"/>
      <c r="BT771" s="3"/>
      <c r="BU771" s="3"/>
      <c r="BV771" s="3"/>
    </row>
    <row r="772" ht="15.75" customHeight="1">
      <c r="BQ772" s="3"/>
      <c r="BR772" s="3"/>
      <c r="BT772" s="3"/>
      <c r="BU772" s="3"/>
      <c r="BV772" s="3"/>
    </row>
    <row r="773" ht="15.75" customHeight="1">
      <c r="BQ773" s="3"/>
      <c r="BR773" s="3"/>
      <c r="BT773" s="3"/>
      <c r="BU773" s="3"/>
      <c r="BV773" s="3"/>
    </row>
    <row r="774" ht="15.75" customHeight="1">
      <c r="BQ774" s="3"/>
      <c r="BR774" s="3"/>
      <c r="BT774" s="3"/>
      <c r="BU774" s="3"/>
      <c r="BV774" s="3"/>
    </row>
    <row r="775" ht="15.75" customHeight="1">
      <c r="BQ775" s="3"/>
      <c r="BR775" s="3"/>
      <c r="BT775" s="3"/>
      <c r="BU775" s="3"/>
      <c r="BV775" s="3"/>
    </row>
    <row r="776" ht="15.75" customHeight="1">
      <c r="BQ776" s="3"/>
      <c r="BR776" s="3"/>
      <c r="BT776" s="3"/>
      <c r="BU776" s="3"/>
      <c r="BV776" s="3"/>
    </row>
    <row r="777" ht="15.75" customHeight="1">
      <c r="BQ777" s="3"/>
      <c r="BR777" s="3"/>
      <c r="BT777" s="3"/>
      <c r="BU777" s="3"/>
      <c r="BV777" s="3"/>
    </row>
    <row r="778" ht="15.75" customHeight="1">
      <c r="BQ778" s="3"/>
      <c r="BR778" s="3"/>
      <c r="BT778" s="3"/>
      <c r="BU778" s="3"/>
      <c r="BV778" s="3"/>
    </row>
    <row r="779" ht="15.75" customHeight="1">
      <c r="BQ779" s="3"/>
      <c r="BR779" s="3"/>
      <c r="BT779" s="3"/>
      <c r="BU779" s="3"/>
      <c r="BV779" s="3"/>
    </row>
    <row r="780" ht="15.75" customHeight="1">
      <c r="BQ780" s="3"/>
      <c r="BR780" s="3"/>
      <c r="BT780" s="3"/>
      <c r="BU780" s="3"/>
      <c r="BV780" s="3"/>
    </row>
    <row r="781" ht="15.75" customHeight="1">
      <c r="BQ781" s="3"/>
      <c r="BR781" s="3"/>
      <c r="BT781" s="3"/>
      <c r="BU781" s="3"/>
      <c r="BV781" s="3"/>
    </row>
    <row r="782" ht="15.75" customHeight="1">
      <c r="BQ782" s="3"/>
      <c r="BR782" s="3"/>
      <c r="BT782" s="3"/>
      <c r="BU782" s="3"/>
      <c r="BV782" s="3"/>
    </row>
    <row r="783" ht="15.75" customHeight="1">
      <c r="BQ783" s="3"/>
      <c r="BR783" s="3"/>
      <c r="BT783" s="3"/>
      <c r="BU783" s="3"/>
      <c r="BV783" s="3"/>
    </row>
    <row r="784" ht="15.75" customHeight="1">
      <c r="BQ784" s="3"/>
      <c r="BR784" s="3"/>
      <c r="BT784" s="3"/>
      <c r="BU784" s="3"/>
      <c r="BV784" s="3"/>
    </row>
    <row r="785" ht="15.75" customHeight="1">
      <c r="BQ785" s="3"/>
      <c r="BR785" s="3"/>
      <c r="BT785" s="3"/>
      <c r="BU785" s="3"/>
      <c r="BV785" s="3"/>
    </row>
    <row r="786" ht="15.75" customHeight="1">
      <c r="BQ786" s="3"/>
      <c r="BR786" s="3"/>
      <c r="BT786" s="3"/>
      <c r="BU786" s="3"/>
      <c r="BV786" s="3"/>
    </row>
    <row r="787" ht="15.75" customHeight="1">
      <c r="BQ787" s="3"/>
      <c r="BR787" s="3"/>
      <c r="BT787" s="3"/>
      <c r="BU787" s="3"/>
      <c r="BV787" s="3"/>
    </row>
    <row r="788" ht="15.75" customHeight="1">
      <c r="BQ788" s="3"/>
      <c r="BR788" s="3"/>
      <c r="BT788" s="3"/>
      <c r="BU788" s="3"/>
      <c r="BV788" s="3"/>
    </row>
    <row r="789" ht="15.75" customHeight="1">
      <c r="BQ789" s="3"/>
      <c r="BR789" s="3"/>
      <c r="BT789" s="3"/>
      <c r="BU789" s="3"/>
      <c r="BV789" s="3"/>
    </row>
    <row r="790" ht="15.75" customHeight="1">
      <c r="BQ790" s="3"/>
      <c r="BR790" s="3"/>
      <c r="BT790" s="3"/>
      <c r="BU790" s="3"/>
      <c r="BV790" s="3"/>
    </row>
    <row r="791" ht="15.75" customHeight="1">
      <c r="BQ791" s="3"/>
      <c r="BR791" s="3"/>
      <c r="BT791" s="3"/>
      <c r="BU791" s="3"/>
      <c r="BV791" s="3"/>
    </row>
    <row r="792" ht="15.75" customHeight="1">
      <c r="BQ792" s="3"/>
      <c r="BR792" s="3"/>
      <c r="BT792" s="3"/>
      <c r="BU792" s="3"/>
      <c r="BV792" s="3"/>
    </row>
    <row r="793" ht="15.75" customHeight="1">
      <c r="BQ793" s="3"/>
      <c r="BR793" s="3"/>
      <c r="BT793" s="3"/>
      <c r="BU793" s="3"/>
      <c r="BV793" s="3"/>
    </row>
    <row r="794" ht="15.75" customHeight="1">
      <c r="BQ794" s="3"/>
      <c r="BR794" s="3"/>
      <c r="BT794" s="3"/>
      <c r="BU794" s="3"/>
      <c r="BV794" s="3"/>
    </row>
    <row r="795" ht="15.75" customHeight="1">
      <c r="BQ795" s="3"/>
      <c r="BR795" s="3"/>
      <c r="BT795" s="3"/>
      <c r="BU795" s="3"/>
      <c r="BV795" s="3"/>
    </row>
    <row r="796" ht="15.75" customHeight="1">
      <c r="BQ796" s="3"/>
      <c r="BR796" s="3"/>
      <c r="BT796" s="3"/>
      <c r="BU796" s="3"/>
      <c r="BV796" s="3"/>
    </row>
    <row r="797" ht="15.75" customHeight="1">
      <c r="BQ797" s="3"/>
      <c r="BR797" s="3"/>
      <c r="BT797" s="3"/>
      <c r="BU797" s="3"/>
      <c r="BV797" s="3"/>
    </row>
    <row r="798" ht="15.75" customHeight="1">
      <c r="BQ798" s="3"/>
      <c r="BR798" s="3"/>
      <c r="BT798" s="3"/>
      <c r="BU798" s="3"/>
      <c r="BV798" s="3"/>
    </row>
    <row r="799" ht="15.75" customHeight="1">
      <c r="BQ799" s="3"/>
      <c r="BR799" s="3"/>
      <c r="BT799" s="3"/>
      <c r="BU799" s="3"/>
      <c r="BV799" s="3"/>
    </row>
    <row r="800" ht="15.75" customHeight="1">
      <c r="BQ800" s="3"/>
      <c r="BR800" s="3"/>
      <c r="BT800" s="3"/>
      <c r="BU800" s="3"/>
      <c r="BV800" s="3"/>
    </row>
    <row r="801" ht="15.75" customHeight="1">
      <c r="BQ801" s="3"/>
      <c r="BR801" s="3"/>
      <c r="BT801" s="3"/>
      <c r="BU801" s="3"/>
      <c r="BV801" s="3"/>
    </row>
    <row r="802" ht="15.75" customHeight="1">
      <c r="BQ802" s="3"/>
      <c r="BR802" s="3"/>
      <c r="BT802" s="3"/>
      <c r="BU802" s="3"/>
      <c r="BV802" s="3"/>
    </row>
    <row r="803" ht="15.75" customHeight="1">
      <c r="BQ803" s="3"/>
      <c r="BR803" s="3"/>
      <c r="BT803" s="3"/>
      <c r="BU803" s="3"/>
      <c r="BV803" s="3"/>
    </row>
    <row r="804" ht="15.75" customHeight="1">
      <c r="BQ804" s="3"/>
      <c r="BR804" s="3"/>
      <c r="BT804" s="3"/>
      <c r="BU804" s="3"/>
      <c r="BV804" s="3"/>
    </row>
    <row r="805" ht="15.75" customHeight="1">
      <c r="BQ805" s="3"/>
      <c r="BR805" s="3"/>
      <c r="BT805" s="3"/>
      <c r="BU805" s="3"/>
      <c r="BV805" s="3"/>
    </row>
    <row r="806" ht="15.75" customHeight="1">
      <c r="BQ806" s="3"/>
      <c r="BR806" s="3"/>
      <c r="BT806" s="3"/>
      <c r="BU806" s="3"/>
      <c r="BV806" s="3"/>
    </row>
    <row r="807" ht="15.75" customHeight="1">
      <c r="BQ807" s="3"/>
      <c r="BR807" s="3"/>
      <c r="BT807" s="3"/>
      <c r="BU807" s="3"/>
      <c r="BV807" s="3"/>
    </row>
    <row r="808" ht="15.75" customHeight="1">
      <c r="BQ808" s="3"/>
      <c r="BR808" s="3"/>
      <c r="BT808" s="3"/>
      <c r="BU808" s="3"/>
      <c r="BV808" s="3"/>
    </row>
    <row r="809" ht="15.75" customHeight="1">
      <c r="BQ809" s="3"/>
      <c r="BR809" s="3"/>
      <c r="BT809" s="3"/>
      <c r="BU809" s="3"/>
      <c r="BV809" s="3"/>
    </row>
    <row r="810" ht="15.75" customHeight="1">
      <c r="BQ810" s="3"/>
      <c r="BR810" s="3"/>
      <c r="BT810" s="3"/>
      <c r="BU810" s="3"/>
      <c r="BV810" s="3"/>
    </row>
    <row r="811" ht="15.75" customHeight="1">
      <c r="BQ811" s="3"/>
      <c r="BR811" s="3"/>
      <c r="BT811" s="3"/>
      <c r="BU811" s="3"/>
      <c r="BV811" s="3"/>
    </row>
    <row r="812" ht="15.75" customHeight="1">
      <c r="BQ812" s="3"/>
      <c r="BR812" s="3"/>
      <c r="BT812" s="3"/>
      <c r="BU812" s="3"/>
      <c r="BV812" s="3"/>
    </row>
    <row r="813" ht="15.75" customHeight="1">
      <c r="BQ813" s="3"/>
      <c r="BR813" s="3"/>
      <c r="BT813" s="3"/>
      <c r="BU813" s="3"/>
      <c r="BV813" s="3"/>
    </row>
    <row r="814" ht="15.75" customHeight="1">
      <c r="BQ814" s="3"/>
      <c r="BR814" s="3"/>
      <c r="BT814" s="3"/>
      <c r="BU814" s="3"/>
      <c r="BV814" s="3"/>
    </row>
    <row r="815" ht="15.75" customHeight="1">
      <c r="BQ815" s="3"/>
      <c r="BR815" s="3"/>
      <c r="BT815" s="3"/>
      <c r="BU815" s="3"/>
      <c r="BV815" s="3"/>
    </row>
    <row r="816" ht="15.75" customHeight="1">
      <c r="BQ816" s="3"/>
      <c r="BR816" s="3"/>
      <c r="BT816" s="3"/>
      <c r="BU816" s="3"/>
      <c r="BV816" s="3"/>
    </row>
    <row r="817" ht="15.75" customHeight="1">
      <c r="BQ817" s="3"/>
      <c r="BR817" s="3"/>
      <c r="BT817" s="3"/>
      <c r="BU817" s="3"/>
      <c r="BV817" s="3"/>
    </row>
    <row r="818" ht="15.75" customHeight="1">
      <c r="BQ818" s="3"/>
      <c r="BR818" s="3"/>
      <c r="BT818" s="3"/>
      <c r="BU818" s="3"/>
      <c r="BV818" s="3"/>
    </row>
    <row r="819" ht="15.75" customHeight="1">
      <c r="BQ819" s="3"/>
      <c r="BR819" s="3"/>
      <c r="BT819" s="3"/>
      <c r="BU819" s="3"/>
      <c r="BV819" s="3"/>
    </row>
    <row r="820" ht="15.75" customHeight="1">
      <c r="BQ820" s="3"/>
      <c r="BR820" s="3"/>
      <c r="BT820" s="3"/>
      <c r="BU820" s="3"/>
      <c r="BV820" s="3"/>
    </row>
    <row r="821" ht="15.75" customHeight="1">
      <c r="BQ821" s="3"/>
      <c r="BR821" s="3"/>
      <c r="BT821" s="3"/>
      <c r="BU821" s="3"/>
      <c r="BV821" s="3"/>
    </row>
    <row r="822" ht="15.75" customHeight="1">
      <c r="BQ822" s="3"/>
      <c r="BR822" s="3"/>
      <c r="BT822" s="3"/>
      <c r="BU822" s="3"/>
      <c r="BV822" s="3"/>
    </row>
    <row r="823" ht="15.75" customHeight="1">
      <c r="BQ823" s="3"/>
      <c r="BR823" s="3"/>
      <c r="BT823" s="3"/>
      <c r="BU823" s="3"/>
      <c r="BV823" s="3"/>
    </row>
    <row r="824" ht="15.75" customHeight="1">
      <c r="BQ824" s="3"/>
      <c r="BR824" s="3"/>
      <c r="BT824" s="3"/>
      <c r="BU824" s="3"/>
      <c r="BV824" s="3"/>
    </row>
    <row r="825" ht="15.75" customHeight="1">
      <c r="BQ825" s="3"/>
      <c r="BR825" s="3"/>
      <c r="BT825" s="3"/>
      <c r="BU825" s="3"/>
      <c r="BV825" s="3"/>
    </row>
    <row r="826" ht="15.75" customHeight="1">
      <c r="BQ826" s="3"/>
      <c r="BR826" s="3"/>
      <c r="BT826" s="3"/>
      <c r="BU826" s="3"/>
      <c r="BV826" s="3"/>
    </row>
    <row r="827" ht="15.75" customHeight="1">
      <c r="BQ827" s="3"/>
      <c r="BR827" s="3"/>
      <c r="BT827" s="3"/>
      <c r="BU827" s="3"/>
      <c r="BV827" s="3"/>
    </row>
    <row r="828" ht="15.75" customHeight="1">
      <c r="BQ828" s="3"/>
      <c r="BR828" s="3"/>
      <c r="BT828" s="3"/>
      <c r="BU828" s="3"/>
      <c r="BV828" s="3"/>
    </row>
    <row r="829" ht="15.75" customHeight="1">
      <c r="BQ829" s="3"/>
      <c r="BR829" s="3"/>
      <c r="BT829" s="3"/>
      <c r="BU829" s="3"/>
      <c r="BV829" s="3"/>
    </row>
    <row r="830" ht="15.75" customHeight="1">
      <c r="BQ830" s="3"/>
      <c r="BR830" s="3"/>
      <c r="BT830" s="3"/>
      <c r="BU830" s="3"/>
      <c r="BV830" s="3"/>
    </row>
    <row r="831" ht="15.75" customHeight="1">
      <c r="BQ831" s="3"/>
      <c r="BR831" s="3"/>
      <c r="BT831" s="3"/>
      <c r="BU831" s="3"/>
      <c r="BV831" s="3"/>
    </row>
    <row r="832" ht="15.75" customHeight="1">
      <c r="BQ832" s="3"/>
      <c r="BR832" s="3"/>
      <c r="BT832" s="3"/>
      <c r="BU832" s="3"/>
      <c r="BV832" s="3"/>
    </row>
    <row r="833" ht="15.75" customHeight="1">
      <c r="BQ833" s="3"/>
      <c r="BR833" s="3"/>
      <c r="BT833" s="3"/>
      <c r="BU833" s="3"/>
      <c r="BV833" s="3"/>
    </row>
    <row r="834" ht="15.75" customHeight="1">
      <c r="BQ834" s="3"/>
      <c r="BR834" s="3"/>
      <c r="BT834" s="3"/>
      <c r="BU834" s="3"/>
      <c r="BV834" s="3"/>
    </row>
    <row r="835" ht="15.75" customHeight="1">
      <c r="BQ835" s="3"/>
      <c r="BR835" s="3"/>
      <c r="BT835" s="3"/>
      <c r="BU835" s="3"/>
      <c r="BV835" s="3"/>
    </row>
    <row r="836" ht="15.75" customHeight="1">
      <c r="BQ836" s="3"/>
      <c r="BR836" s="3"/>
      <c r="BT836" s="3"/>
      <c r="BU836" s="3"/>
      <c r="BV836" s="3"/>
    </row>
    <row r="837" ht="15.75" customHeight="1">
      <c r="BQ837" s="3"/>
      <c r="BR837" s="3"/>
      <c r="BT837" s="3"/>
      <c r="BU837" s="3"/>
      <c r="BV837" s="3"/>
    </row>
    <row r="838" ht="15.75" customHeight="1">
      <c r="BQ838" s="3"/>
      <c r="BR838" s="3"/>
      <c r="BT838" s="3"/>
      <c r="BU838" s="3"/>
      <c r="BV838" s="3"/>
    </row>
    <row r="839" ht="15.75" customHeight="1">
      <c r="BQ839" s="3"/>
      <c r="BR839" s="3"/>
      <c r="BT839" s="3"/>
      <c r="BU839" s="3"/>
      <c r="BV839" s="3"/>
    </row>
    <row r="840" ht="15.75" customHeight="1">
      <c r="BQ840" s="3"/>
      <c r="BR840" s="3"/>
      <c r="BT840" s="3"/>
      <c r="BU840" s="3"/>
      <c r="BV840" s="3"/>
    </row>
    <row r="841" ht="15.75" customHeight="1">
      <c r="BQ841" s="3"/>
      <c r="BR841" s="3"/>
      <c r="BT841" s="3"/>
      <c r="BU841" s="3"/>
      <c r="BV841" s="3"/>
    </row>
    <row r="842" ht="15.75" customHeight="1">
      <c r="BQ842" s="3"/>
      <c r="BR842" s="3"/>
      <c r="BT842" s="3"/>
      <c r="BU842" s="3"/>
      <c r="BV842" s="3"/>
    </row>
    <row r="843" ht="15.75" customHeight="1">
      <c r="BQ843" s="3"/>
      <c r="BR843" s="3"/>
      <c r="BT843" s="3"/>
      <c r="BU843" s="3"/>
      <c r="BV843" s="3"/>
    </row>
    <row r="844" ht="15.75" customHeight="1">
      <c r="BQ844" s="3"/>
      <c r="BR844" s="3"/>
      <c r="BT844" s="3"/>
      <c r="BU844" s="3"/>
      <c r="BV844" s="3"/>
    </row>
    <row r="845" ht="15.75" customHeight="1">
      <c r="BQ845" s="3"/>
      <c r="BR845" s="3"/>
      <c r="BT845" s="3"/>
      <c r="BU845" s="3"/>
      <c r="BV845" s="3"/>
    </row>
    <row r="846" ht="15.75" customHeight="1">
      <c r="BQ846" s="3"/>
      <c r="BR846" s="3"/>
      <c r="BT846" s="3"/>
      <c r="BU846" s="3"/>
      <c r="BV846" s="3"/>
    </row>
    <row r="847" ht="15.75" customHeight="1">
      <c r="BQ847" s="3"/>
      <c r="BR847" s="3"/>
      <c r="BT847" s="3"/>
      <c r="BU847" s="3"/>
      <c r="BV847" s="3"/>
    </row>
    <row r="848" ht="15.75" customHeight="1">
      <c r="BQ848" s="3"/>
      <c r="BR848" s="3"/>
      <c r="BT848" s="3"/>
      <c r="BU848" s="3"/>
      <c r="BV848" s="3"/>
    </row>
    <row r="849" ht="15.75" customHeight="1">
      <c r="BQ849" s="3"/>
      <c r="BR849" s="3"/>
      <c r="BT849" s="3"/>
      <c r="BU849" s="3"/>
      <c r="BV849" s="3"/>
    </row>
    <row r="850" ht="15.75" customHeight="1">
      <c r="BQ850" s="3"/>
      <c r="BR850" s="3"/>
      <c r="BT850" s="3"/>
      <c r="BU850" s="3"/>
      <c r="BV850" s="3"/>
    </row>
    <row r="851" ht="15.75" customHeight="1">
      <c r="BQ851" s="3"/>
      <c r="BR851" s="3"/>
      <c r="BT851" s="3"/>
      <c r="BU851" s="3"/>
      <c r="BV851" s="3"/>
    </row>
    <row r="852" ht="15.75" customHeight="1">
      <c r="BQ852" s="3"/>
      <c r="BR852" s="3"/>
      <c r="BT852" s="3"/>
      <c r="BU852" s="3"/>
      <c r="BV852" s="3"/>
    </row>
    <row r="853" ht="15.75" customHeight="1">
      <c r="BQ853" s="3"/>
      <c r="BR853" s="3"/>
      <c r="BT853" s="3"/>
      <c r="BU853" s="3"/>
      <c r="BV853" s="3"/>
    </row>
    <row r="854" ht="15.75" customHeight="1">
      <c r="BQ854" s="3"/>
      <c r="BR854" s="3"/>
      <c r="BT854" s="3"/>
      <c r="BU854" s="3"/>
      <c r="BV854" s="3"/>
    </row>
    <row r="855" ht="15.75" customHeight="1">
      <c r="BQ855" s="3"/>
      <c r="BR855" s="3"/>
      <c r="BT855" s="3"/>
      <c r="BU855" s="3"/>
      <c r="BV855" s="3"/>
    </row>
    <row r="856" ht="15.75" customHeight="1">
      <c r="BQ856" s="3"/>
      <c r="BR856" s="3"/>
      <c r="BT856" s="3"/>
      <c r="BU856" s="3"/>
      <c r="BV856" s="3"/>
    </row>
    <row r="857" ht="15.75" customHeight="1">
      <c r="BQ857" s="3"/>
      <c r="BR857" s="3"/>
      <c r="BT857" s="3"/>
      <c r="BU857" s="3"/>
      <c r="BV857" s="3"/>
    </row>
    <row r="858" ht="15.75" customHeight="1">
      <c r="BQ858" s="3"/>
      <c r="BR858" s="3"/>
      <c r="BT858" s="3"/>
      <c r="BU858" s="3"/>
      <c r="BV858" s="3"/>
    </row>
    <row r="859" ht="15.75" customHeight="1">
      <c r="BQ859" s="3"/>
      <c r="BR859" s="3"/>
      <c r="BT859" s="3"/>
      <c r="BU859" s="3"/>
      <c r="BV859" s="3"/>
    </row>
    <row r="860" ht="15.75" customHeight="1">
      <c r="BQ860" s="3"/>
      <c r="BR860" s="3"/>
      <c r="BT860" s="3"/>
      <c r="BU860" s="3"/>
      <c r="BV860" s="3"/>
    </row>
    <row r="861" ht="15.75" customHeight="1">
      <c r="BQ861" s="3"/>
      <c r="BR861" s="3"/>
      <c r="BT861" s="3"/>
      <c r="BU861" s="3"/>
      <c r="BV861" s="3"/>
    </row>
    <row r="862" ht="15.75" customHeight="1">
      <c r="BQ862" s="3"/>
      <c r="BR862" s="3"/>
      <c r="BT862" s="3"/>
      <c r="BU862" s="3"/>
      <c r="BV862" s="3"/>
    </row>
    <row r="863" ht="15.75" customHeight="1">
      <c r="BQ863" s="3"/>
      <c r="BR863" s="3"/>
      <c r="BT863" s="3"/>
      <c r="BU863" s="3"/>
      <c r="BV863" s="3"/>
    </row>
    <row r="864" ht="15.75" customHeight="1">
      <c r="BQ864" s="3"/>
      <c r="BR864" s="3"/>
      <c r="BT864" s="3"/>
      <c r="BU864" s="3"/>
      <c r="BV864" s="3"/>
    </row>
    <row r="865" ht="15.75" customHeight="1">
      <c r="BQ865" s="3"/>
      <c r="BR865" s="3"/>
      <c r="BT865" s="3"/>
      <c r="BU865" s="3"/>
      <c r="BV865" s="3"/>
    </row>
    <row r="866" ht="15.75" customHeight="1">
      <c r="BQ866" s="3"/>
      <c r="BR866" s="3"/>
      <c r="BT866" s="3"/>
      <c r="BU866" s="3"/>
      <c r="BV866" s="3"/>
    </row>
    <row r="867" ht="15.75" customHeight="1">
      <c r="BQ867" s="3"/>
      <c r="BR867" s="3"/>
      <c r="BT867" s="3"/>
      <c r="BU867" s="3"/>
      <c r="BV867" s="3"/>
    </row>
    <row r="868" ht="15.75" customHeight="1">
      <c r="BQ868" s="3"/>
      <c r="BR868" s="3"/>
      <c r="BT868" s="3"/>
      <c r="BU868" s="3"/>
      <c r="BV868" s="3"/>
    </row>
    <row r="869" ht="15.75" customHeight="1">
      <c r="BQ869" s="3"/>
      <c r="BR869" s="3"/>
      <c r="BT869" s="3"/>
      <c r="BU869" s="3"/>
      <c r="BV869" s="3"/>
    </row>
    <row r="870" ht="15.75" customHeight="1">
      <c r="BQ870" s="3"/>
      <c r="BR870" s="3"/>
      <c r="BT870" s="3"/>
      <c r="BU870" s="3"/>
      <c r="BV870" s="3"/>
    </row>
    <row r="871" ht="15.75" customHeight="1">
      <c r="BQ871" s="3"/>
      <c r="BR871" s="3"/>
      <c r="BT871" s="3"/>
      <c r="BU871" s="3"/>
      <c r="BV871" s="3"/>
    </row>
    <row r="872" ht="15.75" customHeight="1">
      <c r="BQ872" s="3"/>
      <c r="BR872" s="3"/>
      <c r="BT872" s="3"/>
      <c r="BU872" s="3"/>
      <c r="BV872" s="3"/>
    </row>
    <row r="873" ht="15.75" customHeight="1">
      <c r="BQ873" s="3"/>
      <c r="BR873" s="3"/>
      <c r="BT873" s="3"/>
      <c r="BU873" s="3"/>
      <c r="BV873" s="3"/>
    </row>
    <row r="874" ht="15.75" customHeight="1">
      <c r="BQ874" s="3"/>
      <c r="BR874" s="3"/>
      <c r="BT874" s="3"/>
      <c r="BU874" s="3"/>
      <c r="BV874" s="3"/>
    </row>
    <row r="875" ht="15.75" customHeight="1">
      <c r="BQ875" s="3"/>
      <c r="BR875" s="3"/>
      <c r="BT875" s="3"/>
      <c r="BU875" s="3"/>
      <c r="BV875" s="3"/>
    </row>
    <row r="876" ht="15.75" customHeight="1">
      <c r="BQ876" s="3"/>
      <c r="BR876" s="3"/>
      <c r="BT876" s="3"/>
      <c r="BU876" s="3"/>
      <c r="BV876" s="3"/>
    </row>
    <row r="877" ht="15.75" customHeight="1">
      <c r="BQ877" s="3"/>
      <c r="BR877" s="3"/>
      <c r="BT877" s="3"/>
      <c r="BU877" s="3"/>
      <c r="BV877" s="3"/>
    </row>
    <row r="878" ht="15.75" customHeight="1">
      <c r="BQ878" s="3"/>
      <c r="BR878" s="3"/>
      <c r="BT878" s="3"/>
      <c r="BU878" s="3"/>
      <c r="BV878" s="3"/>
    </row>
    <row r="879" ht="15.75" customHeight="1">
      <c r="BQ879" s="3"/>
      <c r="BR879" s="3"/>
      <c r="BT879" s="3"/>
      <c r="BU879" s="3"/>
      <c r="BV879" s="3"/>
    </row>
    <row r="880" ht="15.75" customHeight="1">
      <c r="BQ880" s="3"/>
      <c r="BR880" s="3"/>
      <c r="BT880" s="3"/>
      <c r="BU880" s="3"/>
      <c r="BV880" s="3"/>
    </row>
    <row r="881" ht="15.75" customHeight="1">
      <c r="BQ881" s="3"/>
      <c r="BR881" s="3"/>
      <c r="BT881" s="3"/>
      <c r="BU881" s="3"/>
      <c r="BV881" s="3"/>
    </row>
    <row r="882" ht="15.75" customHeight="1">
      <c r="BQ882" s="3"/>
      <c r="BR882" s="3"/>
      <c r="BT882" s="3"/>
      <c r="BU882" s="3"/>
      <c r="BV882" s="3"/>
    </row>
    <row r="883" ht="15.75" customHeight="1">
      <c r="BQ883" s="3"/>
      <c r="BR883" s="3"/>
      <c r="BT883" s="3"/>
      <c r="BU883" s="3"/>
      <c r="BV883" s="3"/>
    </row>
    <row r="884" ht="15.75" customHeight="1">
      <c r="BQ884" s="3"/>
      <c r="BR884" s="3"/>
      <c r="BT884" s="3"/>
      <c r="BU884" s="3"/>
      <c r="BV884" s="3"/>
    </row>
    <row r="885" ht="15.75" customHeight="1">
      <c r="BQ885" s="3"/>
      <c r="BR885" s="3"/>
      <c r="BT885" s="3"/>
      <c r="BU885" s="3"/>
      <c r="BV885" s="3"/>
    </row>
    <row r="886" ht="15.75" customHeight="1">
      <c r="BQ886" s="3"/>
      <c r="BR886" s="3"/>
      <c r="BT886" s="3"/>
      <c r="BU886" s="3"/>
      <c r="BV886" s="3"/>
    </row>
    <row r="887" ht="15.75" customHeight="1">
      <c r="BQ887" s="3"/>
      <c r="BR887" s="3"/>
      <c r="BT887" s="3"/>
      <c r="BU887" s="3"/>
      <c r="BV887" s="3"/>
    </row>
    <row r="888" ht="15.75" customHeight="1">
      <c r="BQ888" s="3"/>
      <c r="BR888" s="3"/>
      <c r="BT888" s="3"/>
      <c r="BU888" s="3"/>
      <c r="BV888" s="3"/>
    </row>
    <row r="889" ht="15.75" customHeight="1">
      <c r="BQ889" s="3"/>
      <c r="BR889" s="3"/>
      <c r="BT889" s="3"/>
      <c r="BU889" s="3"/>
      <c r="BV889" s="3"/>
    </row>
    <row r="890" ht="15.75" customHeight="1">
      <c r="BQ890" s="3"/>
      <c r="BR890" s="3"/>
      <c r="BT890" s="3"/>
      <c r="BU890" s="3"/>
      <c r="BV890" s="3"/>
    </row>
    <row r="891" ht="15.75" customHeight="1">
      <c r="BQ891" s="3"/>
      <c r="BR891" s="3"/>
      <c r="BT891" s="3"/>
      <c r="BU891" s="3"/>
      <c r="BV891" s="3"/>
    </row>
    <row r="892" ht="15.75" customHeight="1">
      <c r="BQ892" s="3"/>
      <c r="BR892" s="3"/>
      <c r="BT892" s="3"/>
      <c r="BU892" s="3"/>
      <c r="BV892" s="3"/>
    </row>
    <row r="893" ht="15.75" customHeight="1">
      <c r="BQ893" s="3"/>
      <c r="BR893" s="3"/>
      <c r="BT893" s="3"/>
      <c r="BU893" s="3"/>
      <c r="BV893" s="3"/>
    </row>
    <row r="894" ht="15.75" customHeight="1">
      <c r="BQ894" s="3"/>
      <c r="BR894" s="3"/>
      <c r="BT894" s="3"/>
      <c r="BU894" s="3"/>
      <c r="BV894" s="3"/>
    </row>
    <row r="895" ht="15.75" customHeight="1">
      <c r="BQ895" s="3"/>
      <c r="BR895" s="3"/>
      <c r="BT895" s="3"/>
      <c r="BU895" s="3"/>
      <c r="BV895" s="3"/>
    </row>
    <row r="896" ht="15.75" customHeight="1">
      <c r="BQ896" s="3"/>
      <c r="BR896" s="3"/>
      <c r="BT896" s="3"/>
      <c r="BU896" s="3"/>
      <c r="BV896" s="3"/>
    </row>
    <row r="897" ht="15.75" customHeight="1">
      <c r="BQ897" s="3"/>
      <c r="BR897" s="3"/>
      <c r="BT897" s="3"/>
      <c r="BU897" s="3"/>
      <c r="BV897" s="3"/>
    </row>
    <row r="898" ht="15.75" customHeight="1">
      <c r="BQ898" s="3"/>
      <c r="BR898" s="3"/>
      <c r="BT898" s="3"/>
      <c r="BU898" s="3"/>
      <c r="BV898" s="3"/>
    </row>
    <row r="899" ht="15.75" customHeight="1">
      <c r="BQ899" s="3"/>
      <c r="BR899" s="3"/>
      <c r="BT899" s="3"/>
      <c r="BU899" s="3"/>
      <c r="BV899" s="3"/>
    </row>
    <row r="900" ht="15.75" customHeight="1">
      <c r="BQ900" s="3"/>
      <c r="BR900" s="3"/>
      <c r="BT900" s="3"/>
      <c r="BU900" s="3"/>
      <c r="BV900" s="3"/>
    </row>
    <row r="901" ht="15.75" customHeight="1">
      <c r="BQ901" s="3"/>
      <c r="BR901" s="3"/>
      <c r="BT901" s="3"/>
      <c r="BU901" s="3"/>
      <c r="BV901" s="3"/>
    </row>
    <row r="902" ht="15.75" customHeight="1">
      <c r="BQ902" s="3"/>
      <c r="BR902" s="3"/>
      <c r="BT902" s="3"/>
      <c r="BU902" s="3"/>
      <c r="BV902" s="3"/>
    </row>
    <row r="903" ht="15.75" customHeight="1">
      <c r="BQ903" s="3"/>
      <c r="BR903" s="3"/>
      <c r="BT903" s="3"/>
      <c r="BU903" s="3"/>
      <c r="BV903" s="3"/>
    </row>
    <row r="904" ht="15.75" customHeight="1">
      <c r="BQ904" s="3"/>
      <c r="BR904" s="3"/>
      <c r="BT904" s="3"/>
      <c r="BU904" s="3"/>
      <c r="BV904" s="3"/>
    </row>
    <row r="905" ht="15.75" customHeight="1">
      <c r="BQ905" s="3"/>
      <c r="BR905" s="3"/>
      <c r="BT905" s="3"/>
      <c r="BU905" s="3"/>
      <c r="BV905" s="3"/>
    </row>
    <row r="906" ht="15.75" customHeight="1">
      <c r="BQ906" s="3"/>
      <c r="BR906" s="3"/>
      <c r="BT906" s="3"/>
      <c r="BU906" s="3"/>
      <c r="BV906" s="3"/>
    </row>
    <row r="907" ht="15.75" customHeight="1">
      <c r="BQ907" s="3"/>
      <c r="BR907" s="3"/>
      <c r="BT907" s="3"/>
      <c r="BU907" s="3"/>
      <c r="BV907" s="3"/>
    </row>
    <row r="908" ht="15.75" customHeight="1">
      <c r="BQ908" s="3"/>
      <c r="BR908" s="3"/>
      <c r="BT908" s="3"/>
      <c r="BU908" s="3"/>
      <c r="BV908" s="3"/>
    </row>
    <row r="909" ht="15.75" customHeight="1">
      <c r="BQ909" s="3"/>
      <c r="BR909" s="3"/>
      <c r="BT909" s="3"/>
      <c r="BU909" s="3"/>
      <c r="BV909" s="3"/>
    </row>
    <row r="910" ht="15.75" customHeight="1">
      <c r="BQ910" s="3"/>
      <c r="BR910" s="3"/>
      <c r="BT910" s="3"/>
      <c r="BU910" s="3"/>
      <c r="BV910" s="3"/>
    </row>
    <row r="911" ht="15.75" customHeight="1">
      <c r="BQ911" s="3"/>
      <c r="BR911" s="3"/>
      <c r="BT911" s="3"/>
      <c r="BU911" s="3"/>
      <c r="BV911" s="3"/>
    </row>
    <row r="912" ht="15.75" customHeight="1">
      <c r="BQ912" s="3"/>
      <c r="BR912" s="3"/>
      <c r="BT912" s="3"/>
      <c r="BU912" s="3"/>
      <c r="BV912" s="3"/>
    </row>
    <row r="913" ht="15.75" customHeight="1">
      <c r="BQ913" s="3"/>
      <c r="BR913" s="3"/>
      <c r="BT913" s="3"/>
      <c r="BU913" s="3"/>
      <c r="BV913" s="3"/>
    </row>
    <row r="914" ht="15.75" customHeight="1">
      <c r="BQ914" s="3"/>
      <c r="BR914" s="3"/>
      <c r="BT914" s="3"/>
      <c r="BU914" s="3"/>
      <c r="BV914" s="3"/>
    </row>
    <row r="915" ht="15.75" customHeight="1">
      <c r="BQ915" s="3"/>
      <c r="BR915" s="3"/>
      <c r="BT915" s="3"/>
      <c r="BU915" s="3"/>
      <c r="BV915" s="3"/>
    </row>
    <row r="916" ht="15.75" customHeight="1">
      <c r="BQ916" s="3"/>
      <c r="BR916" s="3"/>
      <c r="BT916" s="3"/>
      <c r="BU916" s="3"/>
      <c r="BV916" s="3"/>
    </row>
    <row r="917" ht="15.75" customHeight="1">
      <c r="BQ917" s="3"/>
      <c r="BR917" s="3"/>
      <c r="BT917" s="3"/>
      <c r="BU917" s="3"/>
      <c r="BV917" s="3"/>
    </row>
    <row r="918" ht="15.75" customHeight="1">
      <c r="BQ918" s="3"/>
      <c r="BR918" s="3"/>
      <c r="BT918" s="3"/>
      <c r="BU918" s="3"/>
      <c r="BV918" s="3"/>
    </row>
    <row r="919" ht="15.75" customHeight="1">
      <c r="BQ919" s="3"/>
      <c r="BR919" s="3"/>
      <c r="BT919" s="3"/>
      <c r="BU919" s="3"/>
      <c r="BV919" s="3"/>
    </row>
    <row r="920" ht="15.75" customHeight="1">
      <c r="BQ920" s="3"/>
      <c r="BR920" s="3"/>
      <c r="BT920" s="3"/>
      <c r="BU920" s="3"/>
      <c r="BV920" s="3"/>
    </row>
    <row r="921" ht="15.75" customHeight="1">
      <c r="BQ921" s="3"/>
      <c r="BR921" s="3"/>
      <c r="BT921" s="3"/>
      <c r="BU921" s="3"/>
      <c r="BV921" s="3"/>
    </row>
    <row r="922" ht="15.75" customHeight="1">
      <c r="BQ922" s="3"/>
      <c r="BR922" s="3"/>
      <c r="BT922" s="3"/>
      <c r="BU922" s="3"/>
      <c r="BV922" s="3"/>
    </row>
    <row r="923" ht="15.75" customHeight="1">
      <c r="BQ923" s="3"/>
      <c r="BR923" s="3"/>
      <c r="BT923" s="3"/>
      <c r="BU923" s="3"/>
      <c r="BV923" s="3"/>
    </row>
    <row r="924" ht="15.75" customHeight="1">
      <c r="BQ924" s="3"/>
      <c r="BR924" s="3"/>
      <c r="BT924" s="3"/>
      <c r="BU924" s="3"/>
      <c r="BV924" s="3"/>
    </row>
    <row r="925" ht="15.75" customHeight="1">
      <c r="BQ925" s="3"/>
      <c r="BR925" s="3"/>
      <c r="BT925" s="3"/>
      <c r="BU925" s="3"/>
      <c r="BV925" s="3"/>
    </row>
    <row r="926" ht="15.75" customHeight="1">
      <c r="BQ926" s="3"/>
      <c r="BR926" s="3"/>
      <c r="BT926" s="3"/>
      <c r="BU926" s="3"/>
      <c r="BV926" s="3"/>
    </row>
    <row r="927" ht="15.75" customHeight="1">
      <c r="BQ927" s="3"/>
      <c r="BR927" s="3"/>
      <c r="BT927" s="3"/>
      <c r="BU927" s="3"/>
      <c r="BV927" s="3"/>
    </row>
    <row r="928" ht="15.75" customHeight="1">
      <c r="BQ928" s="3"/>
      <c r="BR928" s="3"/>
      <c r="BT928" s="3"/>
      <c r="BU928" s="3"/>
      <c r="BV928" s="3"/>
    </row>
    <row r="929" ht="15.75" customHeight="1">
      <c r="BQ929" s="3"/>
      <c r="BR929" s="3"/>
      <c r="BT929" s="3"/>
      <c r="BU929" s="3"/>
      <c r="BV929" s="3"/>
    </row>
    <row r="930" ht="15.75" customHeight="1">
      <c r="BQ930" s="3"/>
      <c r="BR930" s="3"/>
      <c r="BT930" s="3"/>
      <c r="BU930" s="3"/>
      <c r="BV930" s="3"/>
    </row>
    <row r="931" ht="15.75" customHeight="1">
      <c r="BQ931" s="3"/>
      <c r="BR931" s="3"/>
      <c r="BT931" s="3"/>
      <c r="BU931" s="3"/>
      <c r="BV931" s="3"/>
    </row>
    <row r="932" ht="15.75" customHeight="1">
      <c r="BQ932" s="3"/>
      <c r="BR932" s="3"/>
      <c r="BT932" s="3"/>
      <c r="BU932" s="3"/>
      <c r="BV932" s="3"/>
    </row>
    <row r="933" ht="15.75" customHeight="1">
      <c r="BQ933" s="3"/>
      <c r="BR933" s="3"/>
      <c r="BT933" s="3"/>
      <c r="BU933" s="3"/>
      <c r="BV933" s="3"/>
    </row>
    <row r="934" ht="15.75" customHeight="1">
      <c r="BQ934" s="3"/>
      <c r="BR934" s="3"/>
      <c r="BT934" s="3"/>
      <c r="BU934" s="3"/>
      <c r="BV934" s="3"/>
    </row>
    <row r="935" ht="15.75" customHeight="1">
      <c r="BQ935" s="3"/>
      <c r="BR935" s="3"/>
      <c r="BT935" s="3"/>
      <c r="BU935" s="3"/>
      <c r="BV935" s="3"/>
    </row>
    <row r="936" ht="15.75" customHeight="1">
      <c r="BQ936" s="3"/>
      <c r="BR936" s="3"/>
      <c r="BT936" s="3"/>
      <c r="BU936" s="3"/>
      <c r="BV936" s="3"/>
    </row>
    <row r="937" ht="15.75" customHeight="1">
      <c r="BQ937" s="3"/>
      <c r="BR937" s="3"/>
      <c r="BT937" s="3"/>
      <c r="BU937" s="3"/>
      <c r="BV937" s="3"/>
    </row>
    <row r="938" ht="15.75" customHeight="1">
      <c r="BQ938" s="3"/>
      <c r="BR938" s="3"/>
      <c r="BT938" s="3"/>
      <c r="BU938" s="3"/>
      <c r="BV938" s="3"/>
    </row>
    <row r="939" ht="15.75" customHeight="1">
      <c r="BQ939" s="3"/>
      <c r="BR939" s="3"/>
      <c r="BT939" s="3"/>
      <c r="BU939" s="3"/>
      <c r="BV939" s="3"/>
    </row>
    <row r="940" ht="15.75" customHeight="1">
      <c r="BQ940" s="3"/>
      <c r="BR940" s="3"/>
      <c r="BT940" s="3"/>
      <c r="BU940" s="3"/>
      <c r="BV940" s="3"/>
    </row>
    <row r="941" ht="15.75" customHeight="1">
      <c r="BQ941" s="3"/>
      <c r="BR941" s="3"/>
      <c r="BT941" s="3"/>
      <c r="BU941" s="3"/>
      <c r="BV941" s="3"/>
    </row>
    <row r="942" ht="15.75" customHeight="1">
      <c r="BQ942" s="3"/>
      <c r="BR942" s="3"/>
      <c r="BT942" s="3"/>
      <c r="BU942" s="3"/>
      <c r="BV942" s="3"/>
    </row>
    <row r="943" ht="15.75" customHeight="1">
      <c r="BQ943" s="3"/>
      <c r="BR943" s="3"/>
      <c r="BT943" s="3"/>
      <c r="BU943" s="3"/>
      <c r="BV943" s="3"/>
    </row>
    <row r="944" ht="15.75" customHeight="1">
      <c r="BQ944" s="3"/>
      <c r="BR944" s="3"/>
      <c r="BT944" s="3"/>
      <c r="BU944" s="3"/>
      <c r="BV944" s="3"/>
    </row>
    <row r="945" ht="15.75" customHeight="1">
      <c r="BQ945" s="3"/>
      <c r="BR945" s="3"/>
      <c r="BT945" s="3"/>
      <c r="BU945" s="3"/>
      <c r="BV945" s="3"/>
    </row>
    <row r="946" ht="15.75" customHeight="1">
      <c r="BQ946" s="3"/>
      <c r="BR946" s="3"/>
      <c r="BT946" s="3"/>
      <c r="BU946" s="3"/>
      <c r="BV946" s="3"/>
    </row>
    <row r="947" ht="15.75" customHeight="1">
      <c r="BQ947" s="3"/>
      <c r="BR947" s="3"/>
      <c r="BT947" s="3"/>
      <c r="BU947" s="3"/>
      <c r="BV947" s="3"/>
    </row>
    <row r="948" ht="15.75" customHeight="1">
      <c r="BQ948" s="3"/>
      <c r="BR948" s="3"/>
      <c r="BT948" s="3"/>
      <c r="BU948" s="3"/>
      <c r="BV948" s="3"/>
    </row>
    <row r="949" ht="15.75" customHeight="1">
      <c r="BQ949" s="3"/>
      <c r="BR949" s="3"/>
      <c r="BT949" s="3"/>
      <c r="BU949" s="3"/>
      <c r="BV949" s="3"/>
    </row>
    <row r="950" ht="15.75" customHeight="1">
      <c r="BQ950" s="3"/>
      <c r="BR950" s="3"/>
      <c r="BT950" s="3"/>
      <c r="BU950" s="3"/>
      <c r="BV950" s="3"/>
    </row>
    <row r="951" ht="15.75" customHeight="1">
      <c r="BQ951" s="3"/>
      <c r="BR951" s="3"/>
      <c r="BT951" s="3"/>
      <c r="BU951" s="3"/>
      <c r="BV951" s="3"/>
    </row>
    <row r="952" ht="15.75" customHeight="1">
      <c r="BQ952" s="3"/>
      <c r="BR952" s="3"/>
      <c r="BT952" s="3"/>
      <c r="BU952" s="3"/>
      <c r="BV952" s="3"/>
    </row>
    <row r="953" ht="15.75" customHeight="1">
      <c r="BQ953" s="3"/>
      <c r="BR953" s="3"/>
      <c r="BT953" s="3"/>
      <c r="BU953" s="3"/>
      <c r="BV953" s="3"/>
    </row>
    <row r="954" ht="15.75" customHeight="1">
      <c r="BQ954" s="3"/>
      <c r="BR954" s="3"/>
      <c r="BT954" s="3"/>
      <c r="BU954" s="3"/>
      <c r="BV954" s="3"/>
    </row>
    <row r="955" ht="15.75" customHeight="1">
      <c r="BQ955" s="3"/>
      <c r="BR955" s="3"/>
      <c r="BT955" s="3"/>
      <c r="BU955" s="3"/>
      <c r="BV955" s="3"/>
    </row>
    <row r="956" ht="15.75" customHeight="1">
      <c r="BQ956" s="3"/>
      <c r="BR956" s="3"/>
      <c r="BT956" s="3"/>
      <c r="BU956" s="3"/>
      <c r="BV956" s="3"/>
    </row>
    <row r="957" ht="15.75" customHeight="1">
      <c r="BQ957" s="3"/>
      <c r="BR957" s="3"/>
      <c r="BT957" s="3"/>
      <c r="BU957" s="3"/>
      <c r="BV957" s="3"/>
    </row>
    <row r="958" ht="15.75" customHeight="1">
      <c r="BQ958" s="3"/>
      <c r="BR958" s="3"/>
      <c r="BT958" s="3"/>
      <c r="BU958" s="3"/>
      <c r="BV958" s="3"/>
    </row>
    <row r="959" ht="15.75" customHeight="1">
      <c r="BQ959" s="3"/>
      <c r="BR959" s="3"/>
      <c r="BT959" s="3"/>
      <c r="BU959" s="3"/>
      <c r="BV959" s="3"/>
    </row>
    <row r="960" ht="15.75" customHeight="1">
      <c r="BQ960" s="3"/>
      <c r="BR960" s="3"/>
      <c r="BT960" s="3"/>
      <c r="BU960" s="3"/>
      <c r="BV960" s="3"/>
    </row>
    <row r="961" ht="15.75" customHeight="1">
      <c r="BQ961" s="3"/>
      <c r="BR961" s="3"/>
      <c r="BT961" s="3"/>
      <c r="BU961" s="3"/>
      <c r="BV961" s="3"/>
    </row>
    <row r="962" ht="15.75" customHeight="1">
      <c r="BQ962" s="3"/>
      <c r="BR962" s="3"/>
      <c r="BT962" s="3"/>
      <c r="BU962" s="3"/>
      <c r="BV962" s="3"/>
    </row>
    <row r="963" ht="15.75" customHeight="1">
      <c r="BQ963" s="3"/>
      <c r="BR963" s="3"/>
      <c r="BT963" s="3"/>
      <c r="BU963" s="3"/>
      <c r="BV963" s="3"/>
    </row>
    <row r="964" ht="15.75" customHeight="1">
      <c r="BQ964" s="3"/>
      <c r="BR964" s="3"/>
      <c r="BT964" s="3"/>
      <c r="BU964" s="3"/>
      <c r="BV964" s="3"/>
    </row>
    <row r="965" ht="15.75" customHeight="1">
      <c r="BQ965" s="3"/>
      <c r="BR965" s="3"/>
      <c r="BT965" s="3"/>
      <c r="BU965" s="3"/>
      <c r="BV965" s="3"/>
    </row>
    <row r="966" ht="15.75" customHeight="1">
      <c r="BQ966" s="3"/>
      <c r="BR966" s="3"/>
      <c r="BT966" s="3"/>
      <c r="BU966" s="3"/>
      <c r="BV966" s="3"/>
    </row>
    <row r="967" ht="15.75" customHeight="1">
      <c r="BQ967" s="3"/>
      <c r="BR967" s="3"/>
      <c r="BT967" s="3"/>
      <c r="BU967" s="3"/>
      <c r="BV967" s="3"/>
    </row>
    <row r="968" ht="15.75" customHeight="1">
      <c r="BQ968" s="3"/>
      <c r="BR968" s="3"/>
      <c r="BT968" s="3"/>
      <c r="BU968" s="3"/>
      <c r="BV968" s="3"/>
    </row>
    <row r="969" ht="15.75" customHeight="1">
      <c r="BQ969" s="3"/>
      <c r="BR969" s="3"/>
      <c r="BT969" s="3"/>
      <c r="BU969" s="3"/>
      <c r="BV969" s="3"/>
    </row>
    <row r="970" ht="15.75" customHeight="1">
      <c r="BQ970" s="3"/>
      <c r="BR970" s="3"/>
      <c r="BT970" s="3"/>
      <c r="BU970" s="3"/>
      <c r="BV970" s="3"/>
    </row>
    <row r="971" ht="15.75" customHeight="1">
      <c r="BQ971" s="3"/>
      <c r="BR971" s="3"/>
      <c r="BT971" s="3"/>
      <c r="BU971" s="3"/>
      <c r="BV971" s="3"/>
    </row>
    <row r="972" ht="15.75" customHeight="1">
      <c r="BQ972" s="3"/>
      <c r="BR972" s="3"/>
      <c r="BT972" s="3"/>
      <c r="BU972" s="3"/>
      <c r="BV972" s="3"/>
    </row>
    <row r="973" ht="15.75" customHeight="1">
      <c r="BQ973" s="3"/>
      <c r="BR973" s="3"/>
      <c r="BT973" s="3"/>
      <c r="BU973" s="3"/>
      <c r="BV973" s="3"/>
    </row>
    <row r="974" ht="15.75" customHeight="1">
      <c r="BQ974" s="3"/>
      <c r="BR974" s="3"/>
      <c r="BT974" s="3"/>
      <c r="BU974" s="3"/>
      <c r="BV974" s="3"/>
    </row>
    <row r="975" ht="15.75" customHeight="1">
      <c r="BQ975" s="3"/>
      <c r="BR975" s="3"/>
      <c r="BT975" s="3"/>
      <c r="BU975" s="3"/>
      <c r="BV975" s="3"/>
    </row>
    <row r="976" ht="15.75" customHeight="1">
      <c r="BQ976" s="3"/>
      <c r="BR976" s="3"/>
      <c r="BT976" s="3"/>
      <c r="BU976" s="3"/>
      <c r="BV976" s="3"/>
    </row>
    <row r="977" ht="15.75" customHeight="1">
      <c r="BQ977" s="3"/>
      <c r="BR977" s="3"/>
      <c r="BT977" s="3"/>
      <c r="BU977" s="3"/>
      <c r="BV977" s="3"/>
    </row>
    <row r="978" ht="15.75" customHeight="1">
      <c r="BQ978" s="3"/>
      <c r="BR978" s="3"/>
      <c r="BT978" s="3"/>
      <c r="BU978" s="3"/>
      <c r="BV978" s="3"/>
    </row>
    <row r="979" ht="15.75" customHeight="1">
      <c r="BQ979" s="3"/>
      <c r="BR979" s="3"/>
      <c r="BT979" s="3"/>
      <c r="BU979" s="3"/>
      <c r="BV979" s="3"/>
    </row>
    <row r="980" ht="15.75" customHeight="1">
      <c r="BQ980" s="3"/>
      <c r="BR980" s="3"/>
      <c r="BT980" s="3"/>
      <c r="BU980" s="3"/>
      <c r="BV980" s="3"/>
    </row>
    <row r="981" ht="15.75" customHeight="1">
      <c r="BQ981" s="3"/>
      <c r="BR981" s="3"/>
      <c r="BT981" s="3"/>
      <c r="BU981" s="3"/>
      <c r="BV981" s="3"/>
    </row>
    <row r="982" ht="15.75" customHeight="1">
      <c r="BQ982" s="3"/>
      <c r="BR982" s="3"/>
      <c r="BT982" s="3"/>
      <c r="BU982" s="3"/>
      <c r="BV982" s="3"/>
    </row>
    <row r="983" ht="15.75" customHeight="1">
      <c r="BQ983" s="3"/>
      <c r="BR983" s="3"/>
      <c r="BT983" s="3"/>
      <c r="BU983" s="3"/>
      <c r="BV983" s="3"/>
    </row>
    <row r="984" ht="15.75" customHeight="1">
      <c r="BQ984" s="3"/>
      <c r="BR984" s="3"/>
      <c r="BT984" s="3"/>
      <c r="BU984" s="3"/>
      <c r="BV984" s="3"/>
    </row>
    <row r="985" ht="15.75" customHeight="1">
      <c r="BQ985" s="3"/>
      <c r="BR985" s="3"/>
      <c r="BT985" s="3"/>
      <c r="BU985" s="3"/>
      <c r="BV985" s="3"/>
    </row>
    <row r="986" ht="15.75" customHeight="1">
      <c r="BQ986" s="3"/>
      <c r="BR986" s="3"/>
      <c r="BT986" s="3"/>
      <c r="BU986" s="3"/>
      <c r="BV986" s="3"/>
    </row>
    <row r="987" ht="15.75" customHeight="1">
      <c r="BQ987" s="3"/>
      <c r="BR987" s="3"/>
      <c r="BT987" s="3"/>
      <c r="BU987" s="3"/>
      <c r="BV987" s="3"/>
    </row>
    <row r="988" ht="15.75" customHeight="1">
      <c r="BQ988" s="3"/>
      <c r="BR988" s="3"/>
      <c r="BT988" s="3"/>
      <c r="BU988" s="3"/>
      <c r="BV988" s="3"/>
    </row>
    <row r="989" ht="15.75" customHeight="1">
      <c r="BQ989" s="3"/>
      <c r="BR989" s="3"/>
      <c r="BT989" s="3"/>
      <c r="BU989" s="3"/>
      <c r="BV989" s="3"/>
    </row>
    <row r="990" ht="15.75" customHeight="1">
      <c r="BQ990" s="3"/>
      <c r="BR990" s="3"/>
      <c r="BT990" s="3"/>
      <c r="BU990" s="3"/>
      <c r="BV990" s="3"/>
    </row>
    <row r="991" ht="15.75" customHeight="1">
      <c r="BQ991" s="3"/>
      <c r="BR991" s="3"/>
      <c r="BT991" s="3"/>
      <c r="BU991" s="3"/>
      <c r="BV991" s="3"/>
    </row>
    <row r="992" ht="15.75" customHeight="1">
      <c r="BQ992" s="3"/>
      <c r="BR992" s="3"/>
      <c r="BT992" s="3"/>
      <c r="BU992" s="3"/>
      <c r="BV992" s="3"/>
    </row>
    <row r="993" ht="15.75" customHeight="1">
      <c r="BQ993" s="3"/>
      <c r="BR993" s="3"/>
      <c r="BT993" s="3"/>
      <c r="BU993" s="3"/>
      <c r="BV993" s="3"/>
    </row>
    <row r="994" ht="15.75" customHeight="1">
      <c r="BQ994" s="3"/>
      <c r="BR994" s="3"/>
      <c r="BT994" s="3"/>
      <c r="BU994" s="3"/>
      <c r="BV994" s="3"/>
    </row>
    <row r="995" ht="15.75" customHeight="1">
      <c r="BQ995" s="3"/>
      <c r="BR995" s="3"/>
      <c r="BT995" s="3"/>
      <c r="BU995" s="3"/>
      <c r="BV995" s="3"/>
    </row>
    <row r="996" ht="15.75" customHeight="1">
      <c r="BQ996" s="3"/>
      <c r="BR996" s="3"/>
      <c r="BT996" s="3"/>
      <c r="BU996" s="3"/>
      <c r="BV996" s="3"/>
    </row>
    <row r="997" ht="15.75" customHeight="1">
      <c r="BQ997" s="3"/>
      <c r="BR997" s="3"/>
      <c r="BT997" s="3"/>
      <c r="BU997" s="3"/>
      <c r="BV997" s="3"/>
    </row>
    <row r="998" ht="15.75" customHeight="1">
      <c r="BQ998" s="3"/>
      <c r="BR998" s="3"/>
      <c r="BT998" s="3"/>
      <c r="BU998" s="3"/>
      <c r="BV998" s="3"/>
    </row>
    <row r="999" ht="15.75" customHeight="1">
      <c r="BQ999" s="3"/>
      <c r="BR999" s="3"/>
      <c r="BT999" s="3"/>
      <c r="BU999" s="3"/>
      <c r="BV999" s="3"/>
    </row>
    <row r="1000" ht="15.75" customHeight="1">
      <c r="BQ1000" s="3"/>
      <c r="BR1000" s="3"/>
      <c r="BT1000" s="3"/>
      <c r="BU1000" s="3"/>
      <c r="BV1000" s="3"/>
    </row>
    <row r="1001" ht="15.75" customHeight="1">
      <c r="BQ1001" s="3"/>
      <c r="BR1001" s="3"/>
      <c r="BT1001" s="3"/>
      <c r="BU1001" s="3"/>
      <c r="BV1001" s="3"/>
    </row>
    <row r="1002" ht="15.75" customHeight="1">
      <c r="BQ1002" s="3"/>
      <c r="BR1002" s="3"/>
      <c r="BT1002" s="3"/>
      <c r="BU1002" s="3"/>
      <c r="BV1002" s="3"/>
    </row>
    <row r="1003" ht="15.75" customHeight="1">
      <c r="BQ1003" s="3"/>
      <c r="BR1003" s="3"/>
      <c r="BT1003" s="3"/>
      <c r="BU1003" s="3"/>
      <c r="BV1003" s="3"/>
    </row>
    <row r="1004" ht="15.75" customHeight="1">
      <c r="BQ1004" s="3"/>
      <c r="BR1004" s="3"/>
      <c r="BT1004" s="3"/>
      <c r="BU1004" s="3"/>
      <c r="BV1004" s="3"/>
    </row>
    <row r="1005" ht="15.75" customHeight="1">
      <c r="BQ1005" s="3"/>
      <c r="BR1005" s="3"/>
      <c r="BT1005" s="3"/>
      <c r="BU1005" s="3"/>
      <c r="BV1005" s="3"/>
    </row>
    <row r="1006" ht="15.75" customHeight="1">
      <c r="BQ1006" s="3"/>
      <c r="BR1006" s="3"/>
      <c r="BT1006" s="3"/>
      <c r="BU1006" s="3"/>
      <c r="BV1006" s="3"/>
    </row>
    <row r="1007" ht="15.75" customHeight="1">
      <c r="BQ1007" s="3"/>
      <c r="BR1007" s="3"/>
      <c r="BT1007" s="3"/>
      <c r="BU1007" s="3"/>
      <c r="BV1007" s="3"/>
    </row>
    <row r="1008" ht="15.75" customHeight="1">
      <c r="BQ1008" s="3"/>
      <c r="BR1008" s="3"/>
      <c r="BT1008" s="3"/>
      <c r="BU1008" s="3"/>
      <c r="BV1008" s="3"/>
    </row>
    <row r="1009" ht="15.75" customHeight="1">
      <c r="BQ1009" s="3"/>
      <c r="BR1009" s="3"/>
      <c r="BT1009" s="3"/>
      <c r="BU1009" s="3"/>
      <c r="BV1009" s="3"/>
    </row>
    <row r="1010" ht="15.75" customHeight="1">
      <c r="BQ1010" s="3"/>
      <c r="BR1010" s="3"/>
      <c r="BT1010" s="3"/>
      <c r="BU1010" s="3"/>
      <c r="BV1010" s="3"/>
    </row>
    <row r="1011" ht="15.75" customHeight="1">
      <c r="BQ1011" s="3"/>
      <c r="BR1011" s="3"/>
      <c r="BT1011" s="3"/>
      <c r="BU1011" s="3"/>
      <c r="BV1011" s="3"/>
    </row>
    <row r="1012" ht="15.75" customHeight="1">
      <c r="BQ1012" s="3"/>
      <c r="BR1012" s="3"/>
      <c r="BT1012" s="3"/>
      <c r="BU1012" s="3"/>
      <c r="BV1012" s="3"/>
    </row>
  </sheetData>
  <conditionalFormatting sqref="A1:CZ1012">
    <cfRule type="cellIs" dxfId="0" priority="1" operator="equal">
      <formula>0</formula>
    </cfRule>
  </conditionalFormatting>
  <conditionalFormatting sqref="A71:CZ71">
    <cfRule type="containsText" dxfId="1" priority="2" operator="containsText" text="Mal">
      <formula>NOT(ISERROR(SEARCH(("Mal"),(A71))))</formula>
    </cfRule>
  </conditionalFormatting>
  <conditionalFormatting sqref="A71:CZ71">
    <cfRule type="containsText" dxfId="2" priority="3" operator="containsText" text="Bien">
      <formula>NOT(ISERROR(SEARCH(("Bien"),(A71))))</formula>
    </cfRule>
  </conditionalFormatting>
  <conditionalFormatting sqref="A71:CZ71">
    <cfRule type="containsText" dxfId="3" priority="4" operator="containsText" text="Soso">
      <formula>NOT(ISERROR(SEARCH(("Soso"),(A71))))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5.14"/>
    <col customWidth="1" min="2" max="2" width="50.57"/>
    <col customWidth="1" min="3" max="4" width="4.86"/>
    <col customWidth="1" min="6" max="6" width="18.86"/>
  </cols>
  <sheetData>
    <row r="1">
      <c r="C1" s="23"/>
      <c r="D1" s="23"/>
    </row>
    <row r="2">
      <c r="B2" s="8" t="s">
        <v>112</v>
      </c>
      <c r="C2" s="23"/>
      <c r="D2" s="23"/>
      <c r="H2" s="7" t="s">
        <v>113</v>
      </c>
    </row>
    <row r="3">
      <c r="C3" s="24"/>
      <c r="D3" s="24"/>
      <c r="E3" s="25" t="s">
        <v>114</v>
      </c>
      <c r="F3" s="25" t="s">
        <v>115</v>
      </c>
      <c r="G3" s="25" t="s">
        <v>116</v>
      </c>
      <c r="H3" s="26" t="s">
        <v>117</v>
      </c>
      <c r="I3" s="26" t="s">
        <v>118</v>
      </c>
      <c r="J3" s="26" t="s">
        <v>119</v>
      </c>
      <c r="K3" s="26" t="s">
        <v>120</v>
      </c>
      <c r="L3" s="26" t="s">
        <v>121</v>
      </c>
    </row>
    <row r="4">
      <c r="A4" s="7">
        <v>1.0</v>
      </c>
      <c r="B4" s="7" t="s">
        <v>122</v>
      </c>
      <c r="C4" s="27">
        <v>1.81</v>
      </c>
      <c r="D4" s="27">
        <v>2.99</v>
      </c>
      <c r="E4" s="26" t="s">
        <v>123</v>
      </c>
      <c r="F4" s="26" t="s">
        <v>124</v>
      </c>
      <c r="G4" s="26" t="s">
        <v>125</v>
      </c>
      <c r="H4" s="26">
        <v>1.2</v>
      </c>
      <c r="I4" s="26">
        <v>1.4</v>
      </c>
      <c r="J4" s="26">
        <v>3.3</v>
      </c>
      <c r="K4" s="26">
        <v>0.6</v>
      </c>
      <c r="L4" s="26">
        <v>1.0</v>
      </c>
      <c r="M4" s="7"/>
      <c r="N4" s="27"/>
      <c r="O4" s="7"/>
      <c r="P4" s="7"/>
      <c r="Q4" s="7"/>
      <c r="R4" s="7"/>
      <c r="S4" s="7" t="s">
        <v>126</v>
      </c>
    </row>
    <row r="5">
      <c r="A5" s="7">
        <v>2.0</v>
      </c>
      <c r="B5" s="7" t="s">
        <v>127</v>
      </c>
      <c r="C5" s="27">
        <v>1.23</v>
      </c>
      <c r="D5" s="27">
        <v>2.9</v>
      </c>
      <c r="E5" s="26" t="s">
        <v>128</v>
      </c>
      <c r="F5" s="26" t="s">
        <v>129</v>
      </c>
      <c r="G5" s="26" t="s">
        <v>130</v>
      </c>
      <c r="H5" s="26">
        <v>0.717</v>
      </c>
      <c r="I5" s="26">
        <v>0.847</v>
      </c>
      <c r="J5" s="26">
        <v>3.107</v>
      </c>
      <c r="K5" s="26">
        <v>0.42</v>
      </c>
      <c r="L5" s="26">
        <v>0.998</v>
      </c>
      <c r="M5" s="7"/>
      <c r="N5" s="27"/>
      <c r="O5" s="7"/>
      <c r="P5" s="7"/>
      <c r="Q5" s="7"/>
      <c r="R5" s="7"/>
      <c r="S5" s="7" t="s">
        <v>131</v>
      </c>
    </row>
    <row r="6">
      <c r="A6" s="28">
        <v>3.0</v>
      </c>
      <c r="B6" s="7" t="s">
        <v>132</v>
      </c>
      <c r="C6" s="27">
        <v>1.23</v>
      </c>
      <c r="D6" s="27">
        <v>2.9</v>
      </c>
      <c r="E6" s="26" t="s">
        <v>128</v>
      </c>
      <c r="F6" s="26" t="s">
        <v>129</v>
      </c>
      <c r="G6" s="26" t="s">
        <v>130</v>
      </c>
      <c r="H6" s="26">
        <v>6.56</v>
      </c>
      <c r="I6" s="26">
        <v>3.26</v>
      </c>
      <c r="J6" s="26">
        <v>6.72</v>
      </c>
      <c r="K6" s="26">
        <v>1.05</v>
      </c>
      <c r="L6" s="26">
        <v>0.0</v>
      </c>
      <c r="M6" s="7"/>
      <c r="N6" s="27"/>
      <c r="O6" s="7"/>
      <c r="P6" s="7"/>
      <c r="Q6" s="7"/>
      <c r="R6" s="7"/>
      <c r="S6" s="7" t="s">
        <v>133</v>
      </c>
    </row>
    <row r="7">
      <c r="A7" s="7">
        <v>4.0</v>
      </c>
      <c r="B7" s="7" t="s">
        <v>134</v>
      </c>
      <c r="C7" s="27">
        <v>1.81</v>
      </c>
      <c r="D7" s="27">
        <v>2.99</v>
      </c>
      <c r="E7" s="26" t="s">
        <v>123</v>
      </c>
      <c r="F7" s="26" t="s">
        <v>124</v>
      </c>
      <c r="G7" s="26" t="s">
        <v>125</v>
      </c>
      <c r="H7" s="26">
        <v>1.2</v>
      </c>
      <c r="I7" s="26">
        <v>1.4</v>
      </c>
      <c r="J7" s="26">
        <v>3.3</v>
      </c>
      <c r="K7" s="26">
        <v>0.6</v>
      </c>
      <c r="L7" s="26">
        <v>0.99</v>
      </c>
      <c r="M7" s="7"/>
      <c r="N7" s="27"/>
      <c r="O7" s="7"/>
      <c r="P7" s="7"/>
      <c r="Q7" s="7"/>
      <c r="R7" s="7"/>
      <c r="S7" s="7" t="s">
        <v>135</v>
      </c>
    </row>
    <row r="8">
      <c r="A8" s="28">
        <v>5.0</v>
      </c>
      <c r="B8" s="7" t="s">
        <v>136</v>
      </c>
      <c r="C8" s="27">
        <v>1.23</v>
      </c>
      <c r="D8" s="27">
        <v>2.9</v>
      </c>
      <c r="E8" s="26" t="s">
        <v>128</v>
      </c>
      <c r="F8" s="26" t="s">
        <v>129</v>
      </c>
      <c r="G8" s="26" t="s">
        <v>130</v>
      </c>
      <c r="H8" s="26">
        <v>0.717</v>
      </c>
      <c r="I8" s="26">
        <v>0.847</v>
      </c>
      <c r="J8" s="26">
        <v>3.107</v>
      </c>
      <c r="K8" s="26">
        <v>0.42</v>
      </c>
      <c r="L8" s="26">
        <v>0.998</v>
      </c>
      <c r="M8" s="7"/>
      <c r="N8" s="27"/>
      <c r="O8" s="7"/>
      <c r="P8" s="7"/>
      <c r="Q8" s="7"/>
      <c r="R8" s="7"/>
      <c r="S8" s="7" t="s">
        <v>137</v>
      </c>
    </row>
    <row r="9">
      <c r="A9" s="28">
        <v>6.0</v>
      </c>
      <c r="B9" s="7" t="s">
        <v>138</v>
      </c>
      <c r="C9" s="27">
        <v>1.1</v>
      </c>
      <c r="D9" s="27">
        <v>2.6</v>
      </c>
      <c r="E9" s="26" t="s">
        <v>139</v>
      </c>
      <c r="F9" s="26" t="s">
        <v>140</v>
      </c>
      <c r="G9" s="26" t="s">
        <v>141</v>
      </c>
      <c r="H9" s="26">
        <v>6.56</v>
      </c>
      <c r="I9" s="26">
        <v>3.26</v>
      </c>
      <c r="J9" s="26">
        <v>6.72</v>
      </c>
      <c r="K9" s="26">
        <v>1.05</v>
      </c>
      <c r="L9" s="26">
        <v>0.0</v>
      </c>
      <c r="M9" s="7"/>
      <c r="N9" s="27"/>
      <c r="O9" s="7"/>
      <c r="P9" s="7"/>
      <c r="Q9" s="7"/>
      <c r="R9" s="7"/>
      <c r="S9" s="7" t="s">
        <v>142</v>
      </c>
    </row>
    <row r="10">
      <c r="A10" s="7">
        <v>7.0</v>
      </c>
      <c r="B10" s="7" t="s">
        <v>143</v>
      </c>
      <c r="C10" s="27">
        <v>1.81</v>
      </c>
      <c r="D10" s="27">
        <v>2.99</v>
      </c>
      <c r="E10" s="26" t="s">
        <v>123</v>
      </c>
      <c r="F10" s="26" t="s">
        <v>124</v>
      </c>
      <c r="G10" s="26" t="s">
        <v>125</v>
      </c>
      <c r="H10" s="26">
        <v>1.0</v>
      </c>
      <c r="I10" s="26">
        <v>1.0</v>
      </c>
      <c r="J10" s="26">
        <v>1.0</v>
      </c>
      <c r="K10" s="26">
        <v>1.0</v>
      </c>
      <c r="L10" s="26">
        <v>1.0</v>
      </c>
      <c r="M10" s="7"/>
      <c r="N10" s="27"/>
      <c r="O10" s="7"/>
      <c r="P10" s="7"/>
      <c r="Q10" s="7"/>
      <c r="R10" s="7"/>
      <c r="S10" s="7" t="s">
        <v>144</v>
      </c>
    </row>
    <row r="11">
      <c r="A11" s="28">
        <v>8.0</v>
      </c>
      <c r="B11" s="7" t="s">
        <v>145</v>
      </c>
      <c r="C11" s="27">
        <v>1.23</v>
      </c>
      <c r="D11" s="27">
        <v>2.9</v>
      </c>
      <c r="E11" s="26" t="s">
        <v>128</v>
      </c>
      <c r="F11" s="26" t="s">
        <v>129</v>
      </c>
      <c r="G11" s="26" t="s">
        <v>130</v>
      </c>
      <c r="H11" s="26">
        <v>1.5</v>
      </c>
      <c r="I11" s="26">
        <v>1.0</v>
      </c>
      <c r="J11" s="26">
        <v>2.5</v>
      </c>
      <c r="K11" s="26">
        <v>0.5</v>
      </c>
      <c r="L11" s="26">
        <v>1.0</v>
      </c>
      <c r="M11" s="7"/>
      <c r="N11" s="27"/>
      <c r="O11" s="7"/>
      <c r="P11" s="7"/>
      <c r="Q11" s="7"/>
      <c r="R11" s="7"/>
      <c r="S11" s="7" t="s">
        <v>146</v>
      </c>
    </row>
    <row r="12">
      <c r="C12" s="23"/>
      <c r="D12" s="23"/>
    </row>
    <row r="13">
      <c r="C13" s="23"/>
      <c r="D13" s="23"/>
    </row>
    <row r="14">
      <c r="A14" s="7">
        <v>1.0</v>
      </c>
      <c r="B14" s="7" t="s">
        <v>147</v>
      </c>
      <c r="C14" s="23"/>
      <c r="D14" s="23"/>
    </row>
    <row r="15">
      <c r="B15" s="7" t="s">
        <v>148</v>
      </c>
      <c r="C15" s="23"/>
      <c r="D15" s="23"/>
    </row>
    <row r="16">
      <c r="B16" s="7" t="s">
        <v>149</v>
      </c>
      <c r="C16" s="23"/>
      <c r="D16" s="23"/>
    </row>
    <row r="17">
      <c r="B17" s="7" t="s">
        <v>150</v>
      </c>
      <c r="C17" s="23"/>
      <c r="D17" s="23"/>
    </row>
    <row r="18">
      <c r="C18" s="23"/>
      <c r="D18" s="23"/>
    </row>
    <row r="19">
      <c r="A19" s="7">
        <v>2.0</v>
      </c>
      <c r="B19" s="7" t="s">
        <v>151</v>
      </c>
      <c r="C19" s="23"/>
      <c r="D19" s="23"/>
    </row>
    <row r="20">
      <c r="B20" s="7" t="s">
        <v>152</v>
      </c>
      <c r="C20" s="23"/>
      <c r="D20" s="23"/>
    </row>
    <row r="21">
      <c r="B21" s="7" t="s">
        <v>153</v>
      </c>
      <c r="C21" s="23"/>
      <c r="D21" s="23"/>
    </row>
    <row r="22">
      <c r="B22" s="7" t="s">
        <v>154</v>
      </c>
      <c r="C22" s="23"/>
      <c r="D22" s="23"/>
    </row>
    <row r="23">
      <c r="C23" s="23"/>
      <c r="D23" s="23"/>
    </row>
    <row r="24">
      <c r="A24" s="7">
        <v>3.0</v>
      </c>
      <c r="B24" s="7" t="s">
        <v>155</v>
      </c>
      <c r="C24" s="23"/>
      <c r="D24" s="23"/>
    </row>
    <row r="25">
      <c r="B25" s="7" t="s">
        <v>152</v>
      </c>
      <c r="C25" s="23"/>
      <c r="D25" s="23"/>
    </row>
    <row r="26">
      <c r="B26" s="7" t="s">
        <v>153</v>
      </c>
      <c r="C26" s="23"/>
      <c r="D26" s="23"/>
    </row>
    <row r="27">
      <c r="B27" s="7" t="s">
        <v>154</v>
      </c>
      <c r="C27" s="23"/>
      <c r="D27" s="23"/>
    </row>
    <row r="28">
      <c r="C28" s="23"/>
      <c r="D28" s="23"/>
    </row>
    <row r="29">
      <c r="A29" s="7">
        <v>4.0</v>
      </c>
      <c r="B29" s="7" t="s">
        <v>156</v>
      </c>
      <c r="C29" s="23"/>
      <c r="D29" s="23"/>
    </row>
    <row r="30">
      <c r="B30" s="7" t="s">
        <v>157</v>
      </c>
      <c r="C30" s="23"/>
      <c r="D30" s="23"/>
    </row>
    <row r="31">
      <c r="B31" s="7" t="s">
        <v>158</v>
      </c>
      <c r="C31" s="23"/>
      <c r="D31" s="23"/>
    </row>
    <row r="32">
      <c r="B32" s="7" t="s">
        <v>159</v>
      </c>
      <c r="C32" s="23"/>
      <c r="D32" s="23"/>
    </row>
    <row r="33">
      <c r="C33" s="23"/>
      <c r="D33" s="23"/>
    </row>
    <row r="34">
      <c r="A34" s="7">
        <v>5.0</v>
      </c>
      <c r="B34" s="7" t="s">
        <v>160</v>
      </c>
      <c r="C34" s="23"/>
      <c r="D34" s="23"/>
    </row>
    <row r="35">
      <c r="B35" s="7" t="s">
        <v>161</v>
      </c>
      <c r="C35" s="23"/>
      <c r="D35" s="23"/>
    </row>
    <row r="36">
      <c r="B36" s="7" t="s">
        <v>162</v>
      </c>
      <c r="C36" s="23"/>
      <c r="D36" s="23"/>
    </row>
    <row r="37">
      <c r="B37" s="7" t="s">
        <v>163</v>
      </c>
      <c r="C37" s="23"/>
      <c r="D37" s="23"/>
    </row>
    <row r="38">
      <c r="C38" s="23"/>
      <c r="D38" s="23"/>
    </row>
    <row r="39">
      <c r="A39" s="7">
        <v>6.0</v>
      </c>
      <c r="B39" s="7" t="s">
        <v>164</v>
      </c>
      <c r="C39" s="23"/>
      <c r="D39" s="23"/>
    </row>
    <row r="40">
      <c r="B40" s="7" t="s">
        <v>165</v>
      </c>
      <c r="C40" s="23"/>
      <c r="D40" s="23"/>
    </row>
    <row r="41">
      <c r="B41" s="7" t="s">
        <v>166</v>
      </c>
      <c r="C41" s="23"/>
      <c r="D41" s="23"/>
    </row>
    <row r="42">
      <c r="B42" s="7" t="s">
        <v>167</v>
      </c>
      <c r="C42" s="23"/>
      <c r="D42" s="23"/>
    </row>
    <row r="43">
      <c r="C43" s="23"/>
      <c r="D43" s="23"/>
    </row>
    <row r="44">
      <c r="A44" s="7">
        <v>7.0</v>
      </c>
      <c r="B44" s="7" t="s">
        <v>168</v>
      </c>
      <c r="C44" s="23"/>
      <c r="D44" s="23"/>
    </row>
    <row r="45">
      <c r="B45" s="7" t="s">
        <v>169</v>
      </c>
      <c r="C45" s="23"/>
      <c r="D45" s="23"/>
    </row>
    <row r="46">
      <c r="B46" s="7" t="s">
        <v>157</v>
      </c>
      <c r="C46" s="23"/>
      <c r="D46" s="23"/>
    </row>
    <row r="47">
      <c r="B47" s="7" t="s">
        <v>158</v>
      </c>
      <c r="C47" s="23"/>
      <c r="D47" s="23"/>
    </row>
    <row r="48">
      <c r="B48" s="7" t="s">
        <v>159</v>
      </c>
      <c r="C48" s="23"/>
      <c r="D48" s="23"/>
    </row>
    <row r="49">
      <c r="C49" s="23"/>
      <c r="D49" s="23"/>
    </row>
    <row r="50">
      <c r="B50" s="7" t="s">
        <v>170</v>
      </c>
      <c r="C50" s="23"/>
      <c r="D50" s="23"/>
    </row>
    <row r="51">
      <c r="B51" s="7" t="s">
        <v>161</v>
      </c>
      <c r="C51" s="23"/>
      <c r="D51" s="23"/>
    </row>
    <row r="52">
      <c r="B52" s="7" t="s">
        <v>162</v>
      </c>
      <c r="C52" s="23"/>
      <c r="D52" s="23"/>
    </row>
    <row r="53">
      <c r="B53" s="7" t="s">
        <v>163</v>
      </c>
      <c r="C53" s="23"/>
      <c r="D53" s="23"/>
    </row>
    <row r="54">
      <c r="C54" s="23"/>
      <c r="D54" s="23"/>
    </row>
    <row r="55">
      <c r="C55" s="23"/>
      <c r="D55" s="23"/>
    </row>
    <row r="56">
      <c r="C56" s="23"/>
      <c r="D56" s="23"/>
    </row>
    <row r="57">
      <c r="C57" s="23"/>
      <c r="D57" s="23"/>
    </row>
    <row r="58">
      <c r="C58" s="23"/>
      <c r="D58" s="23"/>
    </row>
    <row r="59">
      <c r="C59" s="23"/>
      <c r="D59" s="23"/>
    </row>
    <row r="60">
      <c r="C60" s="23"/>
      <c r="D60" s="23"/>
    </row>
    <row r="61">
      <c r="C61" s="23"/>
      <c r="D61" s="23"/>
    </row>
    <row r="62">
      <c r="C62" s="23"/>
      <c r="D62" s="23"/>
    </row>
    <row r="63">
      <c r="C63" s="23"/>
      <c r="D63" s="23"/>
    </row>
    <row r="64">
      <c r="C64" s="23"/>
      <c r="D64" s="23"/>
    </row>
    <row r="65">
      <c r="C65" s="23"/>
      <c r="D65" s="23"/>
    </row>
    <row r="66">
      <c r="C66" s="23"/>
      <c r="D66" s="23"/>
    </row>
    <row r="67">
      <c r="C67" s="23"/>
      <c r="D67" s="23"/>
    </row>
    <row r="68">
      <c r="C68" s="23"/>
      <c r="D68" s="23"/>
    </row>
    <row r="69">
      <c r="C69" s="23"/>
      <c r="D69" s="23"/>
    </row>
    <row r="70">
      <c r="C70" s="23"/>
      <c r="D70" s="23"/>
    </row>
    <row r="71">
      <c r="C71" s="23"/>
      <c r="D71" s="23"/>
    </row>
    <row r="72">
      <c r="C72" s="23"/>
      <c r="D72" s="23"/>
    </row>
    <row r="73">
      <c r="C73" s="23"/>
      <c r="D73" s="23"/>
    </row>
    <row r="74">
      <c r="C74" s="23"/>
      <c r="D74" s="23"/>
    </row>
    <row r="75">
      <c r="C75" s="23"/>
      <c r="D75" s="23"/>
    </row>
    <row r="76">
      <c r="C76" s="23"/>
      <c r="D76" s="23"/>
    </row>
    <row r="77">
      <c r="C77" s="23"/>
      <c r="D77" s="23"/>
    </row>
    <row r="78">
      <c r="C78" s="23"/>
      <c r="D78" s="23"/>
    </row>
    <row r="79">
      <c r="C79" s="23"/>
      <c r="D79" s="23"/>
    </row>
    <row r="80">
      <c r="C80" s="23"/>
      <c r="D80" s="23"/>
    </row>
    <row r="81">
      <c r="C81" s="23"/>
      <c r="D81" s="23"/>
    </row>
    <row r="82">
      <c r="C82" s="23"/>
      <c r="D82" s="23"/>
    </row>
    <row r="83">
      <c r="C83" s="23"/>
      <c r="D83" s="23"/>
    </row>
    <row r="84">
      <c r="C84" s="23"/>
      <c r="D84" s="23"/>
    </row>
    <row r="85">
      <c r="C85" s="23"/>
      <c r="D85" s="23"/>
    </row>
    <row r="86">
      <c r="C86" s="23"/>
      <c r="D86" s="23"/>
    </row>
    <row r="87">
      <c r="C87" s="23"/>
      <c r="D87" s="23"/>
    </row>
    <row r="88">
      <c r="C88" s="23"/>
      <c r="D88" s="23"/>
    </row>
    <row r="89">
      <c r="C89" s="23"/>
      <c r="D89" s="23"/>
    </row>
    <row r="90">
      <c r="C90" s="23"/>
      <c r="D90" s="23"/>
    </row>
    <row r="91">
      <c r="C91" s="23"/>
      <c r="D91" s="23"/>
    </row>
    <row r="92">
      <c r="C92" s="23"/>
      <c r="D92" s="23"/>
    </row>
    <row r="93">
      <c r="C93" s="23"/>
      <c r="D93" s="23"/>
    </row>
    <row r="94">
      <c r="C94" s="23"/>
      <c r="D94" s="23"/>
    </row>
    <row r="95">
      <c r="C95" s="23"/>
      <c r="D95" s="23"/>
    </row>
    <row r="96">
      <c r="C96" s="23"/>
      <c r="D96" s="23"/>
    </row>
    <row r="97">
      <c r="C97" s="23"/>
      <c r="D97" s="23"/>
    </row>
    <row r="98">
      <c r="C98" s="23"/>
      <c r="D98" s="23"/>
    </row>
    <row r="99">
      <c r="C99" s="23"/>
      <c r="D99" s="23"/>
    </row>
    <row r="100">
      <c r="C100" s="23"/>
      <c r="D100" s="23"/>
    </row>
    <row r="101">
      <c r="C101" s="23"/>
      <c r="D101" s="23"/>
    </row>
    <row r="102">
      <c r="C102" s="23"/>
      <c r="D102" s="23"/>
    </row>
    <row r="103">
      <c r="C103" s="23"/>
      <c r="D103" s="23"/>
    </row>
    <row r="104">
      <c r="C104" s="23"/>
      <c r="D104" s="23"/>
    </row>
    <row r="105">
      <c r="C105" s="23"/>
      <c r="D105" s="23"/>
    </row>
    <row r="106">
      <c r="C106" s="23"/>
      <c r="D106" s="23"/>
    </row>
    <row r="107">
      <c r="C107" s="23"/>
      <c r="D107" s="23"/>
    </row>
    <row r="108">
      <c r="C108" s="23"/>
      <c r="D108" s="23"/>
    </row>
    <row r="109">
      <c r="C109" s="23"/>
      <c r="D109" s="23"/>
    </row>
    <row r="110">
      <c r="C110" s="23"/>
      <c r="D110" s="23"/>
    </row>
    <row r="111">
      <c r="C111" s="23"/>
      <c r="D111" s="23"/>
    </row>
    <row r="112">
      <c r="C112" s="23"/>
      <c r="D112" s="23"/>
    </row>
    <row r="113">
      <c r="C113" s="23"/>
      <c r="D113" s="23"/>
    </row>
    <row r="114">
      <c r="C114" s="23"/>
      <c r="D114" s="23"/>
    </row>
    <row r="115">
      <c r="C115" s="23"/>
      <c r="D115" s="23"/>
    </row>
    <row r="116">
      <c r="C116" s="23"/>
      <c r="D116" s="23"/>
    </row>
    <row r="117">
      <c r="C117" s="23"/>
      <c r="D117" s="23"/>
    </row>
    <row r="118">
      <c r="C118" s="23"/>
      <c r="D118" s="23"/>
    </row>
    <row r="119">
      <c r="C119" s="23"/>
      <c r="D119" s="23"/>
    </row>
    <row r="120">
      <c r="C120" s="23"/>
      <c r="D120" s="23"/>
    </row>
    <row r="121">
      <c r="C121" s="23"/>
      <c r="D121" s="23"/>
    </row>
    <row r="122">
      <c r="C122" s="23"/>
      <c r="D122" s="23"/>
    </row>
    <row r="123">
      <c r="C123" s="23"/>
      <c r="D123" s="23"/>
    </row>
    <row r="124">
      <c r="C124" s="23"/>
      <c r="D124" s="23"/>
    </row>
    <row r="125">
      <c r="C125" s="23"/>
      <c r="D125" s="23"/>
    </row>
    <row r="126">
      <c r="C126" s="23"/>
      <c r="D126" s="23"/>
    </row>
    <row r="127">
      <c r="C127" s="23"/>
      <c r="D127" s="23"/>
    </row>
    <row r="128">
      <c r="C128" s="23"/>
      <c r="D128" s="23"/>
    </row>
    <row r="129">
      <c r="C129" s="23"/>
      <c r="D129" s="23"/>
    </row>
    <row r="130">
      <c r="C130" s="23"/>
      <c r="D130" s="23"/>
    </row>
    <row r="131">
      <c r="C131" s="23"/>
      <c r="D131" s="23"/>
    </row>
    <row r="132">
      <c r="C132" s="23"/>
      <c r="D132" s="23"/>
    </row>
    <row r="133">
      <c r="C133" s="23"/>
      <c r="D133" s="23"/>
    </row>
    <row r="134">
      <c r="C134" s="23"/>
      <c r="D134" s="23"/>
    </row>
    <row r="135">
      <c r="C135" s="23"/>
      <c r="D135" s="23"/>
    </row>
    <row r="136">
      <c r="C136" s="23"/>
      <c r="D136" s="23"/>
    </row>
    <row r="137">
      <c r="C137" s="23"/>
      <c r="D137" s="23"/>
    </row>
    <row r="138">
      <c r="C138" s="23"/>
      <c r="D138" s="23"/>
    </row>
    <row r="139">
      <c r="C139" s="23"/>
      <c r="D139" s="23"/>
    </row>
    <row r="140">
      <c r="C140" s="23"/>
      <c r="D140" s="23"/>
    </row>
    <row r="141">
      <c r="C141" s="23"/>
      <c r="D141" s="23"/>
    </row>
    <row r="142">
      <c r="C142" s="23"/>
      <c r="D142" s="23"/>
    </row>
    <row r="143">
      <c r="C143" s="23"/>
      <c r="D143" s="23"/>
    </row>
    <row r="144">
      <c r="C144" s="23"/>
      <c r="D144" s="23"/>
    </row>
    <row r="145">
      <c r="C145" s="23"/>
      <c r="D145" s="23"/>
    </row>
    <row r="146">
      <c r="C146" s="23"/>
      <c r="D146" s="23"/>
    </row>
    <row r="147">
      <c r="C147" s="23"/>
      <c r="D147" s="23"/>
    </row>
    <row r="148">
      <c r="C148" s="23"/>
      <c r="D148" s="23"/>
    </row>
    <row r="149">
      <c r="C149" s="23"/>
      <c r="D149" s="23"/>
    </row>
    <row r="150">
      <c r="C150" s="23"/>
      <c r="D150" s="23"/>
    </row>
    <row r="151">
      <c r="C151" s="23"/>
      <c r="D151" s="23"/>
    </row>
    <row r="152">
      <c r="C152" s="23"/>
      <c r="D152" s="23"/>
    </row>
    <row r="153">
      <c r="C153" s="23"/>
      <c r="D153" s="23"/>
    </row>
    <row r="154">
      <c r="C154" s="23"/>
      <c r="D154" s="23"/>
    </row>
    <row r="155">
      <c r="C155" s="23"/>
      <c r="D155" s="23"/>
    </row>
    <row r="156">
      <c r="C156" s="23"/>
      <c r="D156" s="23"/>
    </row>
    <row r="157">
      <c r="C157" s="23"/>
      <c r="D157" s="23"/>
    </row>
    <row r="158">
      <c r="C158" s="23"/>
      <c r="D158" s="23"/>
    </row>
    <row r="159">
      <c r="C159" s="23"/>
      <c r="D159" s="23"/>
    </row>
    <row r="160">
      <c r="C160" s="23"/>
      <c r="D160" s="23"/>
    </row>
    <row r="161">
      <c r="C161" s="23"/>
      <c r="D161" s="23"/>
    </row>
    <row r="162">
      <c r="C162" s="23"/>
      <c r="D162" s="23"/>
    </row>
    <row r="163">
      <c r="C163" s="23"/>
      <c r="D163" s="23"/>
    </row>
    <row r="164">
      <c r="C164" s="23"/>
      <c r="D164" s="23"/>
    </row>
    <row r="165">
      <c r="C165" s="23"/>
      <c r="D165" s="23"/>
    </row>
    <row r="166">
      <c r="C166" s="23"/>
      <c r="D166" s="23"/>
    </row>
    <row r="167">
      <c r="C167" s="23"/>
      <c r="D167" s="23"/>
    </row>
    <row r="168">
      <c r="C168" s="23"/>
      <c r="D168" s="23"/>
    </row>
    <row r="169">
      <c r="C169" s="23"/>
      <c r="D169" s="23"/>
    </row>
    <row r="170">
      <c r="C170" s="23"/>
      <c r="D170" s="23"/>
    </row>
    <row r="171">
      <c r="C171" s="23"/>
      <c r="D171" s="23"/>
    </row>
    <row r="172">
      <c r="C172" s="23"/>
      <c r="D172" s="23"/>
    </row>
    <row r="173">
      <c r="C173" s="23"/>
      <c r="D173" s="23"/>
    </row>
    <row r="174">
      <c r="C174" s="23"/>
      <c r="D174" s="23"/>
    </row>
    <row r="175">
      <c r="C175" s="23"/>
      <c r="D175" s="23"/>
    </row>
    <row r="176">
      <c r="C176" s="23"/>
      <c r="D176" s="23"/>
    </row>
    <row r="177">
      <c r="C177" s="23"/>
      <c r="D177" s="23"/>
    </row>
    <row r="178">
      <c r="C178" s="23"/>
      <c r="D178" s="23"/>
    </row>
    <row r="179">
      <c r="C179" s="23"/>
      <c r="D179" s="23"/>
    </row>
    <row r="180">
      <c r="C180" s="23"/>
      <c r="D180" s="23"/>
    </row>
    <row r="181">
      <c r="C181" s="23"/>
      <c r="D181" s="23"/>
    </row>
    <row r="182">
      <c r="C182" s="23"/>
      <c r="D182" s="23"/>
    </row>
    <row r="183">
      <c r="C183" s="23"/>
      <c r="D183" s="23"/>
    </row>
    <row r="184">
      <c r="C184" s="23"/>
      <c r="D184" s="23"/>
    </row>
    <row r="185">
      <c r="C185" s="23"/>
      <c r="D185" s="23"/>
    </row>
    <row r="186">
      <c r="C186" s="23"/>
      <c r="D186" s="23"/>
    </row>
    <row r="187">
      <c r="C187" s="23"/>
      <c r="D187" s="23"/>
    </row>
    <row r="188">
      <c r="C188" s="23"/>
      <c r="D188" s="23"/>
    </row>
    <row r="189">
      <c r="C189" s="23"/>
      <c r="D189" s="23"/>
    </row>
    <row r="190">
      <c r="C190" s="23"/>
      <c r="D190" s="23"/>
    </row>
    <row r="191">
      <c r="C191" s="23"/>
      <c r="D191" s="23"/>
    </row>
    <row r="192">
      <c r="C192" s="23"/>
      <c r="D192" s="23"/>
    </row>
    <row r="193">
      <c r="C193" s="23"/>
      <c r="D193" s="23"/>
    </row>
    <row r="194">
      <c r="C194" s="23"/>
      <c r="D194" s="23"/>
    </row>
    <row r="195">
      <c r="C195" s="23"/>
      <c r="D195" s="23"/>
    </row>
    <row r="196">
      <c r="C196" s="23"/>
      <c r="D196" s="23"/>
    </row>
    <row r="197">
      <c r="C197" s="23"/>
      <c r="D197" s="23"/>
    </row>
    <row r="198">
      <c r="C198" s="23"/>
      <c r="D198" s="23"/>
    </row>
    <row r="199">
      <c r="C199" s="23"/>
      <c r="D199" s="23"/>
    </row>
    <row r="200">
      <c r="C200" s="23"/>
      <c r="D200" s="23"/>
    </row>
    <row r="201">
      <c r="C201" s="23"/>
      <c r="D201" s="23"/>
    </row>
    <row r="202">
      <c r="C202" s="23"/>
      <c r="D202" s="23"/>
    </row>
    <row r="203">
      <c r="C203" s="23"/>
      <c r="D203" s="23"/>
    </row>
    <row r="204">
      <c r="C204" s="23"/>
      <c r="D204" s="23"/>
    </row>
    <row r="205">
      <c r="C205" s="23"/>
      <c r="D205" s="23"/>
    </row>
    <row r="206">
      <c r="C206" s="23"/>
      <c r="D206" s="23"/>
    </row>
    <row r="207">
      <c r="C207" s="23"/>
      <c r="D207" s="23"/>
    </row>
    <row r="208">
      <c r="C208" s="23"/>
      <c r="D208" s="23"/>
    </row>
    <row r="209">
      <c r="C209" s="23"/>
      <c r="D209" s="23"/>
    </row>
    <row r="210">
      <c r="C210" s="23"/>
      <c r="D210" s="23"/>
    </row>
    <row r="211">
      <c r="C211" s="23"/>
      <c r="D211" s="23"/>
    </row>
    <row r="212">
      <c r="C212" s="23"/>
      <c r="D212" s="23"/>
    </row>
    <row r="213">
      <c r="C213" s="23"/>
      <c r="D213" s="23"/>
    </row>
    <row r="214">
      <c r="C214" s="23"/>
      <c r="D214" s="23"/>
    </row>
    <row r="215">
      <c r="C215" s="23"/>
      <c r="D215" s="23"/>
    </row>
    <row r="216">
      <c r="C216" s="23"/>
      <c r="D216" s="23"/>
    </row>
    <row r="217">
      <c r="C217" s="23"/>
      <c r="D217" s="23"/>
    </row>
    <row r="218">
      <c r="C218" s="23"/>
      <c r="D218" s="23"/>
    </row>
    <row r="219">
      <c r="C219" s="23"/>
      <c r="D219" s="23"/>
    </row>
    <row r="220">
      <c r="C220" s="23"/>
      <c r="D220" s="23"/>
    </row>
    <row r="221">
      <c r="C221" s="23"/>
      <c r="D221" s="23"/>
    </row>
    <row r="222">
      <c r="C222" s="23"/>
      <c r="D222" s="23"/>
    </row>
    <row r="223">
      <c r="C223" s="23"/>
      <c r="D223" s="23"/>
    </row>
    <row r="224">
      <c r="C224" s="23"/>
      <c r="D224" s="23"/>
    </row>
    <row r="225">
      <c r="C225" s="23"/>
      <c r="D225" s="23"/>
    </row>
    <row r="226">
      <c r="C226" s="23"/>
      <c r="D226" s="23"/>
    </row>
    <row r="227">
      <c r="C227" s="23"/>
      <c r="D227" s="23"/>
    </row>
    <row r="228">
      <c r="C228" s="23"/>
      <c r="D228" s="23"/>
    </row>
    <row r="229">
      <c r="C229" s="23"/>
      <c r="D229" s="23"/>
    </row>
    <row r="230">
      <c r="C230" s="23"/>
      <c r="D230" s="23"/>
    </row>
    <row r="231">
      <c r="C231" s="23"/>
      <c r="D231" s="23"/>
    </row>
    <row r="232">
      <c r="C232" s="23"/>
      <c r="D232" s="23"/>
    </row>
    <row r="233">
      <c r="C233" s="23"/>
      <c r="D233" s="23"/>
    </row>
    <row r="234">
      <c r="C234" s="23"/>
      <c r="D234" s="23"/>
    </row>
    <row r="235">
      <c r="C235" s="23"/>
      <c r="D235" s="23"/>
    </row>
    <row r="236">
      <c r="C236" s="23"/>
      <c r="D236" s="23"/>
    </row>
    <row r="237">
      <c r="C237" s="23"/>
      <c r="D237" s="23"/>
    </row>
    <row r="238">
      <c r="C238" s="23"/>
      <c r="D238" s="23"/>
    </row>
    <row r="239">
      <c r="C239" s="23"/>
      <c r="D239" s="23"/>
    </row>
    <row r="240">
      <c r="C240" s="23"/>
      <c r="D240" s="23"/>
    </row>
    <row r="241">
      <c r="C241" s="23"/>
      <c r="D241" s="23"/>
    </row>
    <row r="242">
      <c r="C242" s="23"/>
      <c r="D242" s="23"/>
    </row>
    <row r="243">
      <c r="C243" s="23"/>
      <c r="D243" s="23"/>
    </row>
    <row r="244">
      <c r="C244" s="23"/>
      <c r="D244" s="23"/>
    </row>
    <row r="245">
      <c r="C245" s="23"/>
      <c r="D245" s="23"/>
    </row>
    <row r="246">
      <c r="C246" s="23"/>
      <c r="D246" s="23"/>
    </row>
    <row r="247">
      <c r="C247" s="23"/>
      <c r="D247" s="23"/>
    </row>
    <row r="248">
      <c r="C248" s="23"/>
      <c r="D248" s="23"/>
    </row>
    <row r="249">
      <c r="C249" s="23"/>
      <c r="D249" s="23"/>
    </row>
    <row r="250">
      <c r="C250" s="23"/>
      <c r="D250" s="23"/>
    </row>
    <row r="251">
      <c r="C251" s="23"/>
      <c r="D251" s="23"/>
    </row>
    <row r="252">
      <c r="C252" s="23"/>
      <c r="D252" s="23"/>
    </row>
    <row r="253">
      <c r="C253" s="23"/>
      <c r="D253" s="23"/>
    </row>
    <row r="254">
      <c r="C254" s="23"/>
      <c r="D254" s="23"/>
    </row>
    <row r="255">
      <c r="C255" s="23"/>
      <c r="D255" s="23"/>
    </row>
    <row r="256">
      <c r="C256" s="23"/>
      <c r="D256" s="23"/>
    </row>
    <row r="257">
      <c r="C257" s="23"/>
      <c r="D257" s="23"/>
    </row>
    <row r="258">
      <c r="C258" s="23"/>
      <c r="D258" s="23"/>
    </row>
    <row r="259">
      <c r="C259" s="23"/>
      <c r="D259" s="23"/>
    </row>
    <row r="260">
      <c r="C260" s="23"/>
      <c r="D260" s="23"/>
    </row>
    <row r="261">
      <c r="C261" s="23"/>
      <c r="D261" s="23"/>
    </row>
    <row r="262">
      <c r="C262" s="23"/>
      <c r="D262" s="23"/>
    </row>
    <row r="263">
      <c r="C263" s="23"/>
      <c r="D263" s="23"/>
    </row>
    <row r="264">
      <c r="C264" s="23"/>
      <c r="D264" s="23"/>
    </row>
    <row r="265">
      <c r="C265" s="23"/>
      <c r="D265" s="23"/>
    </row>
    <row r="266">
      <c r="C266" s="23"/>
      <c r="D266" s="23"/>
    </row>
    <row r="267">
      <c r="C267" s="23"/>
      <c r="D267" s="23"/>
    </row>
    <row r="268">
      <c r="C268" s="23"/>
      <c r="D268" s="23"/>
    </row>
    <row r="269">
      <c r="C269" s="23"/>
      <c r="D269" s="23"/>
    </row>
    <row r="270">
      <c r="C270" s="23"/>
      <c r="D270" s="23"/>
    </row>
    <row r="271">
      <c r="C271" s="23"/>
      <c r="D271" s="23"/>
    </row>
    <row r="272">
      <c r="C272" s="23"/>
      <c r="D272" s="23"/>
    </row>
    <row r="273">
      <c r="C273" s="23"/>
      <c r="D273" s="23"/>
    </row>
    <row r="274">
      <c r="C274" s="23"/>
      <c r="D274" s="23"/>
    </row>
    <row r="275">
      <c r="C275" s="23"/>
      <c r="D275" s="23"/>
    </row>
    <row r="276">
      <c r="C276" s="23"/>
      <c r="D276" s="23"/>
    </row>
    <row r="277">
      <c r="C277" s="23"/>
      <c r="D277" s="23"/>
    </row>
    <row r="278">
      <c r="C278" s="23"/>
      <c r="D278" s="23"/>
    </row>
    <row r="279">
      <c r="C279" s="23"/>
      <c r="D279" s="23"/>
    </row>
    <row r="280">
      <c r="C280" s="23"/>
      <c r="D280" s="23"/>
    </row>
    <row r="281">
      <c r="C281" s="23"/>
      <c r="D281" s="23"/>
    </row>
    <row r="282">
      <c r="C282" s="23"/>
      <c r="D282" s="23"/>
    </row>
    <row r="283">
      <c r="C283" s="23"/>
      <c r="D283" s="23"/>
    </row>
    <row r="284">
      <c r="C284" s="23"/>
      <c r="D284" s="23"/>
    </row>
    <row r="285">
      <c r="C285" s="23"/>
      <c r="D285" s="23"/>
    </row>
    <row r="286">
      <c r="C286" s="23"/>
      <c r="D286" s="23"/>
    </row>
    <row r="287">
      <c r="C287" s="23"/>
      <c r="D287" s="23"/>
    </row>
    <row r="288">
      <c r="C288" s="23"/>
      <c r="D288" s="23"/>
    </row>
    <row r="289">
      <c r="C289" s="23"/>
      <c r="D289" s="23"/>
    </row>
    <row r="290">
      <c r="C290" s="23"/>
      <c r="D290" s="23"/>
    </row>
    <row r="291">
      <c r="C291" s="23"/>
      <c r="D291" s="23"/>
    </row>
    <row r="292">
      <c r="C292" s="23"/>
      <c r="D292" s="23"/>
    </row>
    <row r="293">
      <c r="C293" s="23"/>
      <c r="D293" s="23"/>
    </row>
    <row r="294">
      <c r="C294" s="23"/>
      <c r="D294" s="23"/>
    </row>
    <row r="295">
      <c r="C295" s="23"/>
      <c r="D295" s="23"/>
    </row>
    <row r="296">
      <c r="C296" s="23"/>
      <c r="D296" s="23"/>
    </row>
    <row r="297">
      <c r="C297" s="23"/>
      <c r="D297" s="23"/>
    </row>
    <row r="298">
      <c r="C298" s="23"/>
      <c r="D298" s="23"/>
    </row>
    <row r="299">
      <c r="C299" s="23"/>
      <c r="D299" s="23"/>
    </row>
    <row r="300">
      <c r="C300" s="23"/>
      <c r="D300" s="23"/>
    </row>
    <row r="301">
      <c r="C301" s="23"/>
      <c r="D301" s="23"/>
    </row>
    <row r="302">
      <c r="C302" s="23"/>
      <c r="D302" s="23"/>
    </row>
    <row r="303">
      <c r="C303" s="23"/>
      <c r="D303" s="23"/>
    </row>
    <row r="304">
      <c r="C304" s="23"/>
      <c r="D304" s="23"/>
    </row>
    <row r="305">
      <c r="C305" s="23"/>
      <c r="D305" s="23"/>
    </row>
    <row r="306">
      <c r="C306" s="23"/>
      <c r="D306" s="23"/>
    </row>
    <row r="307">
      <c r="C307" s="23"/>
      <c r="D307" s="23"/>
    </row>
    <row r="308">
      <c r="C308" s="23"/>
      <c r="D308" s="23"/>
    </row>
    <row r="309">
      <c r="C309" s="23"/>
      <c r="D309" s="23"/>
    </row>
    <row r="310">
      <c r="C310" s="23"/>
      <c r="D310" s="23"/>
    </row>
    <row r="311">
      <c r="C311" s="23"/>
      <c r="D311" s="23"/>
    </row>
    <row r="312">
      <c r="C312" s="23"/>
      <c r="D312" s="23"/>
    </row>
    <row r="313">
      <c r="C313" s="23"/>
      <c r="D313" s="23"/>
    </row>
    <row r="314">
      <c r="C314" s="23"/>
      <c r="D314" s="23"/>
    </row>
    <row r="315">
      <c r="C315" s="23"/>
      <c r="D315" s="23"/>
    </row>
    <row r="316">
      <c r="C316" s="23"/>
      <c r="D316" s="23"/>
    </row>
    <row r="317">
      <c r="C317" s="23"/>
      <c r="D317" s="23"/>
    </row>
    <row r="318">
      <c r="C318" s="23"/>
      <c r="D318" s="23"/>
    </row>
    <row r="319">
      <c r="C319" s="23"/>
      <c r="D319" s="23"/>
    </row>
    <row r="320">
      <c r="C320" s="23"/>
      <c r="D320" s="23"/>
    </row>
    <row r="321">
      <c r="C321" s="23"/>
      <c r="D321" s="23"/>
    </row>
    <row r="322">
      <c r="C322" s="23"/>
      <c r="D322" s="23"/>
    </row>
    <row r="323">
      <c r="C323" s="23"/>
      <c r="D323" s="23"/>
    </row>
    <row r="324">
      <c r="C324" s="23"/>
      <c r="D324" s="23"/>
    </row>
    <row r="325">
      <c r="C325" s="23"/>
      <c r="D325" s="23"/>
    </row>
    <row r="326">
      <c r="C326" s="23"/>
      <c r="D326" s="23"/>
    </row>
    <row r="327">
      <c r="C327" s="23"/>
      <c r="D327" s="23"/>
    </row>
    <row r="328">
      <c r="C328" s="23"/>
      <c r="D328" s="23"/>
    </row>
    <row r="329">
      <c r="C329" s="23"/>
      <c r="D329" s="23"/>
    </row>
    <row r="330">
      <c r="C330" s="23"/>
      <c r="D330" s="23"/>
    </row>
    <row r="331">
      <c r="C331" s="23"/>
      <c r="D331" s="23"/>
    </row>
    <row r="332">
      <c r="C332" s="23"/>
      <c r="D332" s="23"/>
    </row>
    <row r="333">
      <c r="C333" s="23"/>
      <c r="D333" s="23"/>
    </row>
    <row r="334">
      <c r="C334" s="23"/>
      <c r="D334" s="23"/>
    </row>
    <row r="335">
      <c r="C335" s="23"/>
      <c r="D335" s="23"/>
    </row>
    <row r="336">
      <c r="C336" s="23"/>
      <c r="D336" s="23"/>
    </row>
    <row r="337">
      <c r="C337" s="23"/>
      <c r="D337" s="23"/>
    </row>
    <row r="338">
      <c r="C338" s="23"/>
      <c r="D338" s="23"/>
    </row>
    <row r="339">
      <c r="C339" s="23"/>
      <c r="D339" s="23"/>
    </row>
    <row r="340">
      <c r="C340" s="23"/>
      <c r="D340" s="23"/>
    </row>
    <row r="341">
      <c r="C341" s="23"/>
      <c r="D341" s="23"/>
    </row>
    <row r="342">
      <c r="C342" s="23"/>
      <c r="D342" s="23"/>
    </row>
    <row r="343">
      <c r="C343" s="23"/>
      <c r="D343" s="23"/>
    </row>
    <row r="344">
      <c r="C344" s="23"/>
      <c r="D344" s="23"/>
    </row>
    <row r="345">
      <c r="C345" s="23"/>
      <c r="D345" s="23"/>
    </row>
    <row r="346">
      <c r="C346" s="23"/>
      <c r="D346" s="23"/>
    </row>
    <row r="347">
      <c r="C347" s="23"/>
      <c r="D347" s="23"/>
    </row>
    <row r="348">
      <c r="C348" s="23"/>
      <c r="D348" s="23"/>
    </row>
    <row r="349">
      <c r="C349" s="23"/>
      <c r="D349" s="23"/>
    </row>
    <row r="350">
      <c r="C350" s="23"/>
      <c r="D350" s="23"/>
    </row>
    <row r="351">
      <c r="C351" s="23"/>
      <c r="D351" s="23"/>
    </row>
    <row r="352">
      <c r="C352" s="23"/>
      <c r="D352" s="23"/>
    </row>
    <row r="353">
      <c r="C353" s="23"/>
      <c r="D353" s="23"/>
    </row>
    <row r="354">
      <c r="C354" s="23"/>
      <c r="D354" s="23"/>
    </row>
    <row r="355">
      <c r="C355" s="23"/>
      <c r="D355" s="23"/>
    </row>
    <row r="356">
      <c r="C356" s="23"/>
      <c r="D356" s="23"/>
    </row>
    <row r="357">
      <c r="C357" s="23"/>
      <c r="D357" s="23"/>
    </row>
    <row r="358">
      <c r="C358" s="23"/>
      <c r="D358" s="23"/>
    </row>
    <row r="359">
      <c r="C359" s="23"/>
      <c r="D359" s="23"/>
    </row>
    <row r="360">
      <c r="C360" s="23"/>
      <c r="D360" s="23"/>
    </row>
    <row r="361">
      <c r="C361" s="23"/>
      <c r="D361" s="23"/>
    </row>
    <row r="362">
      <c r="C362" s="23"/>
      <c r="D362" s="23"/>
    </row>
    <row r="363">
      <c r="C363" s="23"/>
      <c r="D363" s="23"/>
    </row>
    <row r="364">
      <c r="C364" s="23"/>
      <c r="D364" s="23"/>
    </row>
    <row r="365">
      <c r="C365" s="23"/>
      <c r="D365" s="23"/>
    </row>
    <row r="366">
      <c r="C366" s="23"/>
      <c r="D366" s="23"/>
    </row>
    <row r="367">
      <c r="C367" s="23"/>
      <c r="D367" s="23"/>
    </row>
    <row r="368">
      <c r="C368" s="23"/>
      <c r="D368" s="23"/>
    </row>
    <row r="369">
      <c r="C369" s="23"/>
      <c r="D369" s="23"/>
    </row>
    <row r="370">
      <c r="C370" s="23"/>
      <c r="D370" s="23"/>
    </row>
    <row r="371">
      <c r="C371" s="23"/>
      <c r="D371" s="23"/>
    </row>
    <row r="372">
      <c r="C372" s="23"/>
      <c r="D372" s="23"/>
    </row>
    <row r="373">
      <c r="C373" s="23"/>
      <c r="D373" s="23"/>
    </row>
    <row r="374">
      <c r="C374" s="23"/>
      <c r="D374" s="23"/>
    </row>
    <row r="375">
      <c r="C375" s="23"/>
      <c r="D375" s="23"/>
    </row>
    <row r="376">
      <c r="C376" s="23"/>
      <c r="D376" s="23"/>
    </row>
    <row r="377">
      <c r="C377" s="23"/>
      <c r="D377" s="23"/>
    </row>
    <row r="378">
      <c r="C378" s="23"/>
      <c r="D378" s="23"/>
    </row>
    <row r="379">
      <c r="C379" s="23"/>
      <c r="D379" s="23"/>
    </row>
    <row r="380">
      <c r="C380" s="23"/>
      <c r="D380" s="23"/>
    </row>
    <row r="381">
      <c r="C381" s="23"/>
      <c r="D381" s="23"/>
    </row>
    <row r="382">
      <c r="C382" s="23"/>
      <c r="D382" s="23"/>
    </row>
    <row r="383">
      <c r="C383" s="23"/>
      <c r="D383" s="23"/>
    </row>
    <row r="384">
      <c r="C384" s="23"/>
      <c r="D384" s="23"/>
    </row>
    <row r="385">
      <c r="C385" s="23"/>
      <c r="D385" s="23"/>
    </row>
    <row r="386">
      <c r="C386" s="23"/>
      <c r="D386" s="23"/>
    </row>
    <row r="387">
      <c r="C387" s="23"/>
      <c r="D387" s="23"/>
    </row>
    <row r="388">
      <c r="C388" s="23"/>
      <c r="D388" s="23"/>
    </row>
    <row r="389">
      <c r="C389" s="23"/>
      <c r="D389" s="23"/>
    </row>
    <row r="390">
      <c r="C390" s="23"/>
      <c r="D390" s="23"/>
    </row>
    <row r="391">
      <c r="C391" s="23"/>
      <c r="D391" s="23"/>
    </row>
    <row r="392">
      <c r="C392" s="23"/>
      <c r="D392" s="23"/>
    </row>
    <row r="393">
      <c r="C393" s="23"/>
      <c r="D393" s="23"/>
    </row>
    <row r="394">
      <c r="C394" s="23"/>
      <c r="D394" s="23"/>
    </row>
    <row r="395">
      <c r="C395" s="23"/>
      <c r="D395" s="23"/>
    </row>
    <row r="396">
      <c r="C396" s="23"/>
      <c r="D396" s="23"/>
    </row>
    <row r="397">
      <c r="C397" s="23"/>
      <c r="D397" s="23"/>
    </row>
    <row r="398">
      <c r="C398" s="23"/>
      <c r="D398" s="23"/>
    </row>
    <row r="399">
      <c r="C399" s="23"/>
      <c r="D399" s="23"/>
    </row>
    <row r="400">
      <c r="C400" s="23"/>
      <c r="D400" s="23"/>
    </row>
    <row r="401">
      <c r="C401" s="23"/>
      <c r="D401" s="23"/>
    </row>
    <row r="402">
      <c r="C402" s="23"/>
      <c r="D402" s="23"/>
    </row>
    <row r="403">
      <c r="C403" s="23"/>
      <c r="D403" s="23"/>
    </row>
    <row r="404">
      <c r="C404" s="23"/>
      <c r="D404" s="23"/>
    </row>
    <row r="405">
      <c r="C405" s="23"/>
      <c r="D405" s="23"/>
    </row>
    <row r="406">
      <c r="C406" s="23"/>
      <c r="D406" s="23"/>
    </row>
    <row r="407">
      <c r="C407" s="23"/>
      <c r="D407" s="23"/>
    </row>
    <row r="408">
      <c r="C408" s="23"/>
      <c r="D408" s="23"/>
    </row>
    <row r="409">
      <c r="C409" s="23"/>
      <c r="D409" s="23"/>
    </row>
    <row r="410">
      <c r="C410" s="23"/>
      <c r="D410" s="23"/>
    </row>
    <row r="411">
      <c r="C411" s="23"/>
      <c r="D411" s="23"/>
    </row>
    <row r="412">
      <c r="C412" s="23"/>
      <c r="D412" s="23"/>
    </row>
    <row r="413">
      <c r="C413" s="23"/>
      <c r="D413" s="23"/>
    </row>
    <row r="414">
      <c r="C414" s="23"/>
      <c r="D414" s="23"/>
    </row>
    <row r="415">
      <c r="C415" s="23"/>
      <c r="D415" s="23"/>
    </row>
    <row r="416">
      <c r="C416" s="23"/>
      <c r="D416" s="23"/>
    </row>
    <row r="417">
      <c r="C417" s="23"/>
      <c r="D417" s="23"/>
    </row>
    <row r="418">
      <c r="C418" s="23"/>
      <c r="D418" s="23"/>
    </row>
    <row r="419">
      <c r="C419" s="23"/>
      <c r="D419" s="23"/>
    </row>
    <row r="420">
      <c r="C420" s="23"/>
      <c r="D420" s="23"/>
    </row>
    <row r="421">
      <c r="C421" s="23"/>
      <c r="D421" s="23"/>
    </row>
    <row r="422">
      <c r="C422" s="23"/>
      <c r="D422" s="23"/>
    </row>
    <row r="423">
      <c r="C423" s="23"/>
      <c r="D423" s="23"/>
    </row>
    <row r="424">
      <c r="C424" s="23"/>
      <c r="D424" s="23"/>
    </row>
    <row r="425">
      <c r="C425" s="23"/>
      <c r="D425" s="23"/>
    </row>
    <row r="426">
      <c r="C426" s="23"/>
      <c r="D426" s="23"/>
    </row>
    <row r="427">
      <c r="C427" s="23"/>
      <c r="D427" s="23"/>
    </row>
    <row r="428">
      <c r="C428" s="23"/>
      <c r="D428" s="23"/>
    </row>
    <row r="429">
      <c r="C429" s="23"/>
      <c r="D429" s="23"/>
    </row>
    <row r="430">
      <c r="C430" s="23"/>
      <c r="D430" s="23"/>
    </row>
    <row r="431">
      <c r="C431" s="23"/>
      <c r="D431" s="23"/>
    </row>
    <row r="432">
      <c r="C432" s="23"/>
      <c r="D432" s="23"/>
    </row>
    <row r="433">
      <c r="C433" s="23"/>
      <c r="D433" s="23"/>
    </row>
    <row r="434">
      <c r="C434" s="23"/>
      <c r="D434" s="23"/>
    </row>
    <row r="435">
      <c r="C435" s="23"/>
      <c r="D435" s="23"/>
    </row>
    <row r="436">
      <c r="C436" s="23"/>
      <c r="D436" s="23"/>
    </row>
    <row r="437">
      <c r="C437" s="23"/>
      <c r="D437" s="23"/>
    </row>
    <row r="438">
      <c r="C438" s="23"/>
      <c r="D438" s="23"/>
    </row>
    <row r="439">
      <c r="C439" s="23"/>
      <c r="D439" s="23"/>
    </row>
    <row r="440">
      <c r="C440" s="23"/>
      <c r="D440" s="23"/>
    </row>
    <row r="441">
      <c r="C441" s="23"/>
      <c r="D441" s="23"/>
    </row>
    <row r="442">
      <c r="C442" s="23"/>
      <c r="D442" s="23"/>
    </row>
    <row r="443">
      <c r="C443" s="23"/>
      <c r="D443" s="23"/>
    </row>
    <row r="444">
      <c r="C444" s="23"/>
      <c r="D444" s="23"/>
    </row>
    <row r="445">
      <c r="C445" s="23"/>
      <c r="D445" s="23"/>
    </row>
    <row r="446">
      <c r="C446" s="23"/>
      <c r="D446" s="23"/>
    </row>
    <row r="447">
      <c r="C447" s="23"/>
      <c r="D447" s="23"/>
    </row>
    <row r="448">
      <c r="C448" s="23"/>
      <c r="D448" s="23"/>
    </row>
    <row r="449">
      <c r="C449" s="23"/>
      <c r="D449" s="23"/>
    </row>
    <row r="450">
      <c r="C450" s="23"/>
      <c r="D450" s="23"/>
    </row>
    <row r="451">
      <c r="C451" s="23"/>
      <c r="D451" s="23"/>
    </row>
    <row r="452">
      <c r="C452" s="23"/>
      <c r="D452" s="23"/>
    </row>
    <row r="453">
      <c r="C453" s="23"/>
      <c r="D453" s="23"/>
    </row>
    <row r="454">
      <c r="C454" s="23"/>
      <c r="D454" s="23"/>
    </row>
    <row r="455">
      <c r="C455" s="23"/>
      <c r="D455" s="23"/>
    </row>
    <row r="456">
      <c r="C456" s="23"/>
      <c r="D456" s="23"/>
    </row>
    <row r="457">
      <c r="C457" s="23"/>
      <c r="D457" s="23"/>
    </row>
    <row r="458">
      <c r="C458" s="23"/>
      <c r="D458" s="23"/>
    </row>
    <row r="459">
      <c r="C459" s="23"/>
      <c r="D459" s="23"/>
    </row>
    <row r="460">
      <c r="C460" s="23"/>
      <c r="D460" s="23"/>
    </row>
    <row r="461">
      <c r="C461" s="23"/>
      <c r="D461" s="23"/>
    </row>
    <row r="462">
      <c r="C462" s="23"/>
      <c r="D462" s="23"/>
    </row>
    <row r="463">
      <c r="C463" s="23"/>
      <c r="D463" s="23"/>
    </row>
    <row r="464">
      <c r="C464" s="23"/>
      <c r="D464" s="23"/>
    </row>
    <row r="465">
      <c r="C465" s="23"/>
      <c r="D465" s="23"/>
    </row>
    <row r="466">
      <c r="C466" s="23"/>
      <c r="D466" s="23"/>
    </row>
    <row r="467">
      <c r="C467" s="23"/>
      <c r="D467" s="23"/>
    </row>
    <row r="468">
      <c r="C468" s="23"/>
      <c r="D468" s="23"/>
    </row>
    <row r="469">
      <c r="C469" s="23"/>
      <c r="D469" s="23"/>
    </row>
    <row r="470">
      <c r="C470" s="23"/>
      <c r="D470" s="23"/>
    </row>
    <row r="471">
      <c r="C471" s="23"/>
      <c r="D471" s="23"/>
    </row>
    <row r="472">
      <c r="C472" s="23"/>
      <c r="D472" s="23"/>
    </row>
    <row r="473">
      <c r="C473" s="23"/>
      <c r="D473" s="23"/>
    </row>
    <row r="474">
      <c r="C474" s="23"/>
      <c r="D474" s="23"/>
    </row>
    <row r="475">
      <c r="C475" s="23"/>
      <c r="D475" s="23"/>
    </row>
    <row r="476">
      <c r="C476" s="23"/>
      <c r="D476" s="23"/>
    </row>
    <row r="477">
      <c r="C477" s="23"/>
      <c r="D477" s="23"/>
    </row>
    <row r="478">
      <c r="C478" s="23"/>
      <c r="D478" s="23"/>
    </row>
    <row r="479">
      <c r="C479" s="23"/>
      <c r="D479" s="23"/>
    </row>
    <row r="480">
      <c r="C480" s="23"/>
      <c r="D480" s="23"/>
    </row>
    <row r="481">
      <c r="C481" s="23"/>
      <c r="D481" s="23"/>
    </row>
    <row r="482">
      <c r="C482" s="23"/>
      <c r="D482" s="23"/>
    </row>
    <row r="483">
      <c r="C483" s="23"/>
      <c r="D483" s="23"/>
    </row>
    <row r="484">
      <c r="C484" s="23"/>
      <c r="D484" s="23"/>
    </row>
    <row r="485">
      <c r="C485" s="23"/>
      <c r="D485" s="23"/>
    </row>
    <row r="486">
      <c r="C486" s="23"/>
      <c r="D486" s="23"/>
    </row>
    <row r="487">
      <c r="C487" s="23"/>
      <c r="D487" s="23"/>
    </row>
    <row r="488">
      <c r="C488" s="23"/>
      <c r="D488" s="23"/>
    </row>
    <row r="489">
      <c r="C489" s="23"/>
      <c r="D489" s="23"/>
    </row>
    <row r="490">
      <c r="C490" s="23"/>
      <c r="D490" s="23"/>
    </row>
    <row r="491">
      <c r="C491" s="23"/>
      <c r="D491" s="23"/>
    </row>
    <row r="492">
      <c r="C492" s="23"/>
      <c r="D492" s="23"/>
    </row>
    <row r="493">
      <c r="C493" s="23"/>
      <c r="D493" s="23"/>
    </row>
    <row r="494">
      <c r="C494" s="23"/>
      <c r="D494" s="23"/>
    </row>
    <row r="495">
      <c r="C495" s="23"/>
      <c r="D495" s="23"/>
    </row>
    <row r="496">
      <c r="C496" s="23"/>
      <c r="D496" s="23"/>
    </row>
    <row r="497">
      <c r="C497" s="23"/>
      <c r="D497" s="23"/>
    </row>
    <row r="498">
      <c r="C498" s="23"/>
      <c r="D498" s="23"/>
    </row>
    <row r="499">
      <c r="C499" s="23"/>
      <c r="D499" s="23"/>
    </row>
    <row r="500">
      <c r="C500" s="23"/>
      <c r="D500" s="23"/>
    </row>
    <row r="501">
      <c r="C501" s="23"/>
      <c r="D501" s="23"/>
    </row>
    <row r="502">
      <c r="C502" s="23"/>
      <c r="D502" s="23"/>
    </row>
    <row r="503">
      <c r="C503" s="23"/>
      <c r="D503" s="23"/>
    </row>
    <row r="504">
      <c r="C504" s="23"/>
      <c r="D504" s="23"/>
    </row>
    <row r="505">
      <c r="C505" s="23"/>
      <c r="D505" s="23"/>
    </row>
    <row r="506">
      <c r="C506" s="23"/>
      <c r="D506" s="23"/>
    </row>
    <row r="507">
      <c r="C507" s="23"/>
      <c r="D507" s="23"/>
    </row>
    <row r="508">
      <c r="C508" s="23"/>
      <c r="D508" s="23"/>
    </row>
    <row r="509">
      <c r="C509" s="23"/>
      <c r="D509" s="23"/>
    </row>
    <row r="510">
      <c r="C510" s="23"/>
      <c r="D510" s="23"/>
    </row>
    <row r="511">
      <c r="C511" s="23"/>
      <c r="D511" s="23"/>
    </row>
    <row r="512">
      <c r="C512" s="23"/>
      <c r="D512" s="23"/>
    </row>
    <row r="513">
      <c r="C513" s="23"/>
      <c r="D513" s="23"/>
    </row>
    <row r="514">
      <c r="C514" s="23"/>
      <c r="D514" s="23"/>
    </row>
    <row r="515">
      <c r="C515" s="23"/>
      <c r="D515" s="23"/>
    </row>
    <row r="516">
      <c r="C516" s="23"/>
      <c r="D516" s="23"/>
    </row>
    <row r="517">
      <c r="C517" s="23"/>
      <c r="D517" s="23"/>
    </row>
    <row r="518">
      <c r="C518" s="23"/>
      <c r="D518" s="23"/>
    </row>
    <row r="519">
      <c r="C519" s="23"/>
      <c r="D519" s="23"/>
    </row>
    <row r="520">
      <c r="C520" s="23"/>
      <c r="D520" s="23"/>
    </row>
    <row r="521">
      <c r="C521" s="23"/>
      <c r="D521" s="23"/>
    </row>
    <row r="522">
      <c r="C522" s="23"/>
      <c r="D522" s="23"/>
    </row>
    <row r="523">
      <c r="C523" s="23"/>
      <c r="D523" s="23"/>
    </row>
    <row r="524">
      <c r="C524" s="23"/>
      <c r="D524" s="23"/>
    </row>
    <row r="525">
      <c r="C525" s="23"/>
      <c r="D525" s="23"/>
    </row>
    <row r="526">
      <c r="C526" s="23"/>
      <c r="D526" s="23"/>
    </row>
    <row r="527">
      <c r="C527" s="23"/>
      <c r="D527" s="23"/>
    </row>
    <row r="528">
      <c r="C528" s="23"/>
      <c r="D528" s="23"/>
    </row>
    <row r="529">
      <c r="C529" s="23"/>
      <c r="D529" s="23"/>
    </row>
    <row r="530">
      <c r="C530" s="23"/>
      <c r="D530" s="23"/>
    </row>
    <row r="531">
      <c r="C531" s="23"/>
      <c r="D531" s="23"/>
    </row>
    <row r="532">
      <c r="C532" s="23"/>
      <c r="D532" s="23"/>
    </row>
    <row r="533">
      <c r="C533" s="23"/>
      <c r="D533" s="23"/>
    </row>
    <row r="534">
      <c r="C534" s="23"/>
      <c r="D534" s="23"/>
    </row>
    <row r="535">
      <c r="C535" s="23"/>
      <c r="D535" s="23"/>
    </row>
    <row r="536">
      <c r="C536" s="23"/>
      <c r="D536" s="23"/>
    </row>
    <row r="537">
      <c r="C537" s="23"/>
      <c r="D537" s="23"/>
    </row>
    <row r="538">
      <c r="C538" s="23"/>
      <c r="D538" s="23"/>
    </row>
    <row r="539">
      <c r="C539" s="23"/>
      <c r="D539" s="23"/>
    </row>
    <row r="540">
      <c r="C540" s="23"/>
      <c r="D540" s="23"/>
    </row>
    <row r="541">
      <c r="C541" s="23"/>
      <c r="D541" s="23"/>
    </row>
    <row r="542">
      <c r="C542" s="23"/>
      <c r="D542" s="23"/>
    </row>
    <row r="543">
      <c r="C543" s="23"/>
      <c r="D543" s="23"/>
    </row>
    <row r="544">
      <c r="C544" s="23"/>
      <c r="D544" s="23"/>
    </row>
    <row r="545">
      <c r="C545" s="23"/>
      <c r="D545" s="23"/>
    </row>
    <row r="546">
      <c r="C546" s="23"/>
      <c r="D546" s="23"/>
    </row>
    <row r="547">
      <c r="C547" s="23"/>
      <c r="D547" s="23"/>
    </row>
    <row r="548">
      <c r="C548" s="23"/>
      <c r="D548" s="23"/>
    </row>
    <row r="549">
      <c r="C549" s="23"/>
      <c r="D549" s="23"/>
    </row>
    <row r="550">
      <c r="C550" s="23"/>
      <c r="D550" s="23"/>
    </row>
    <row r="551">
      <c r="C551" s="23"/>
      <c r="D551" s="23"/>
    </row>
    <row r="552">
      <c r="C552" s="23"/>
      <c r="D552" s="23"/>
    </row>
    <row r="553">
      <c r="C553" s="23"/>
      <c r="D553" s="23"/>
    </row>
    <row r="554">
      <c r="C554" s="23"/>
      <c r="D554" s="23"/>
    </row>
    <row r="555">
      <c r="C555" s="23"/>
      <c r="D555" s="23"/>
    </row>
    <row r="556">
      <c r="C556" s="23"/>
      <c r="D556" s="23"/>
    </row>
    <row r="557">
      <c r="C557" s="23"/>
      <c r="D557" s="23"/>
    </row>
    <row r="558">
      <c r="C558" s="23"/>
      <c r="D558" s="23"/>
    </row>
    <row r="559">
      <c r="C559" s="23"/>
      <c r="D559" s="23"/>
    </row>
    <row r="560">
      <c r="C560" s="23"/>
      <c r="D560" s="23"/>
    </row>
    <row r="561">
      <c r="C561" s="23"/>
      <c r="D561" s="23"/>
    </row>
    <row r="562">
      <c r="C562" s="23"/>
      <c r="D562" s="23"/>
    </row>
    <row r="563">
      <c r="C563" s="23"/>
      <c r="D563" s="23"/>
    </row>
    <row r="564">
      <c r="C564" s="23"/>
      <c r="D564" s="23"/>
    </row>
    <row r="565">
      <c r="C565" s="23"/>
      <c r="D565" s="23"/>
    </row>
    <row r="566">
      <c r="C566" s="23"/>
      <c r="D566" s="23"/>
    </row>
    <row r="567">
      <c r="C567" s="23"/>
      <c r="D567" s="23"/>
    </row>
    <row r="568">
      <c r="C568" s="23"/>
      <c r="D568" s="23"/>
    </row>
    <row r="569">
      <c r="C569" s="23"/>
      <c r="D569" s="23"/>
    </row>
    <row r="570">
      <c r="C570" s="23"/>
      <c r="D570" s="23"/>
    </row>
    <row r="571">
      <c r="C571" s="23"/>
      <c r="D571" s="23"/>
    </row>
    <row r="572">
      <c r="C572" s="23"/>
      <c r="D572" s="23"/>
    </row>
    <row r="573">
      <c r="C573" s="23"/>
      <c r="D573" s="23"/>
    </row>
    <row r="574">
      <c r="C574" s="23"/>
      <c r="D574" s="23"/>
    </row>
    <row r="575">
      <c r="C575" s="23"/>
      <c r="D575" s="23"/>
    </row>
    <row r="576">
      <c r="C576" s="23"/>
      <c r="D576" s="23"/>
    </row>
    <row r="577">
      <c r="C577" s="23"/>
      <c r="D577" s="23"/>
    </row>
    <row r="578">
      <c r="C578" s="23"/>
      <c r="D578" s="23"/>
    </row>
    <row r="579">
      <c r="C579" s="23"/>
      <c r="D579" s="23"/>
    </row>
    <row r="580">
      <c r="C580" s="23"/>
      <c r="D580" s="23"/>
    </row>
    <row r="581">
      <c r="C581" s="23"/>
      <c r="D581" s="23"/>
    </row>
    <row r="582">
      <c r="C582" s="23"/>
      <c r="D582" s="23"/>
    </row>
    <row r="583">
      <c r="C583" s="23"/>
      <c r="D583" s="23"/>
    </row>
    <row r="584">
      <c r="C584" s="23"/>
      <c r="D584" s="23"/>
    </row>
    <row r="585">
      <c r="C585" s="23"/>
      <c r="D585" s="23"/>
    </row>
    <row r="586">
      <c r="C586" s="23"/>
      <c r="D586" s="23"/>
    </row>
    <row r="587">
      <c r="C587" s="23"/>
      <c r="D587" s="23"/>
    </row>
    <row r="588">
      <c r="C588" s="23"/>
      <c r="D588" s="23"/>
    </row>
    <row r="589">
      <c r="C589" s="23"/>
      <c r="D589" s="23"/>
    </row>
    <row r="590">
      <c r="C590" s="23"/>
      <c r="D590" s="23"/>
    </row>
    <row r="591">
      <c r="C591" s="23"/>
      <c r="D591" s="23"/>
    </row>
    <row r="592">
      <c r="C592" s="23"/>
      <c r="D592" s="23"/>
    </row>
    <row r="593">
      <c r="C593" s="23"/>
      <c r="D593" s="23"/>
    </row>
    <row r="594">
      <c r="C594" s="23"/>
      <c r="D594" s="23"/>
    </row>
    <row r="595">
      <c r="C595" s="23"/>
      <c r="D595" s="23"/>
    </row>
    <row r="596">
      <c r="C596" s="23"/>
      <c r="D596" s="23"/>
    </row>
    <row r="597">
      <c r="C597" s="23"/>
      <c r="D597" s="23"/>
    </row>
    <row r="598">
      <c r="C598" s="23"/>
      <c r="D598" s="23"/>
    </row>
    <row r="599">
      <c r="C599" s="23"/>
      <c r="D599" s="23"/>
    </row>
    <row r="600">
      <c r="C600" s="23"/>
      <c r="D600" s="23"/>
    </row>
    <row r="601">
      <c r="C601" s="23"/>
      <c r="D601" s="23"/>
    </row>
    <row r="602">
      <c r="C602" s="23"/>
      <c r="D602" s="23"/>
    </row>
    <row r="603">
      <c r="C603" s="23"/>
      <c r="D603" s="23"/>
    </row>
    <row r="604">
      <c r="C604" s="23"/>
      <c r="D604" s="23"/>
    </row>
    <row r="605">
      <c r="C605" s="23"/>
      <c r="D605" s="23"/>
    </row>
    <row r="606">
      <c r="C606" s="23"/>
      <c r="D606" s="23"/>
    </row>
    <row r="607">
      <c r="C607" s="23"/>
      <c r="D607" s="23"/>
    </row>
    <row r="608">
      <c r="C608" s="23"/>
      <c r="D608" s="23"/>
    </row>
    <row r="609">
      <c r="C609" s="23"/>
      <c r="D609" s="23"/>
    </row>
    <row r="610">
      <c r="C610" s="23"/>
      <c r="D610" s="23"/>
    </row>
    <row r="611">
      <c r="C611" s="23"/>
      <c r="D611" s="23"/>
    </row>
    <row r="612">
      <c r="C612" s="23"/>
      <c r="D612" s="23"/>
    </row>
    <row r="613">
      <c r="C613" s="23"/>
      <c r="D613" s="23"/>
    </row>
    <row r="614">
      <c r="C614" s="23"/>
      <c r="D614" s="23"/>
    </row>
    <row r="615">
      <c r="C615" s="23"/>
      <c r="D615" s="23"/>
    </row>
    <row r="616">
      <c r="C616" s="23"/>
      <c r="D616" s="23"/>
    </row>
    <row r="617">
      <c r="C617" s="23"/>
      <c r="D617" s="23"/>
    </row>
    <row r="618">
      <c r="C618" s="23"/>
      <c r="D618" s="23"/>
    </row>
    <row r="619">
      <c r="C619" s="23"/>
      <c r="D619" s="23"/>
    </row>
    <row r="620">
      <c r="C620" s="23"/>
      <c r="D620" s="23"/>
    </row>
    <row r="621">
      <c r="C621" s="23"/>
      <c r="D621" s="23"/>
    </row>
    <row r="622">
      <c r="C622" s="23"/>
      <c r="D622" s="23"/>
    </row>
    <row r="623">
      <c r="C623" s="23"/>
      <c r="D623" s="23"/>
    </row>
    <row r="624">
      <c r="C624" s="23"/>
      <c r="D624" s="23"/>
    </row>
    <row r="625">
      <c r="C625" s="23"/>
      <c r="D625" s="23"/>
    </row>
    <row r="626">
      <c r="C626" s="23"/>
      <c r="D626" s="23"/>
    </row>
    <row r="627">
      <c r="C627" s="23"/>
      <c r="D627" s="23"/>
    </row>
    <row r="628">
      <c r="C628" s="23"/>
      <c r="D628" s="23"/>
    </row>
    <row r="629">
      <c r="C629" s="23"/>
      <c r="D629" s="23"/>
    </row>
    <row r="630">
      <c r="C630" s="23"/>
      <c r="D630" s="23"/>
    </row>
    <row r="631">
      <c r="C631" s="23"/>
      <c r="D631" s="23"/>
    </row>
    <row r="632">
      <c r="C632" s="23"/>
      <c r="D632" s="23"/>
    </row>
    <row r="633">
      <c r="C633" s="23"/>
      <c r="D633" s="23"/>
    </row>
    <row r="634">
      <c r="C634" s="23"/>
      <c r="D634" s="23"/>
    </row>
    <row r="635">
      <c r="C635" s="23"/>
      <c r="D635" s="23"/>
    </row>
    <row r="636">
      <c r="C636" s="23"/>
      <c r="D636" s="23"/>
    </row>
    <row r="637">
      <c r="C637" s="23"/>
      <c r="D637" s="23"/>
    </row>
    <row r="638">
      <c r="C638" s="23"/>
      <c r="D638" s="23"/>
    </row>
    <row r="639">
      <c r="C639" s="23"/>
      <c r="D639" s="23"/>
    </row>
    <row r="640">
      <c r="C640" s="23"/>
      <c r="D640" s="23"/>
    </row>
    <row r="641">
      <c r="C641" s="23"/>
      <c r="D641" s="23"/>
    </row>
    <row r="642">
      <c r="C642" s="23"/>
      <c r="D642" s="23"/>
    </row>
    <row r="643">
      <c r="C643" s="23"/>
      <c r="D643" s="23"/>
    </row>
    <row r="644">
      <c r="C644" s="23"/>
      <c r="D644" s="23"/>
    </row>
    <row r="645">
      <c r="C645" s="23"/>
      <c r="D645" s="23"/>
    </row>
    <row r="646">
      <c r="C646" s="23"/>
      <c r="D646" s="23"/>
    </row>
    <row r="647">
      <c r="C647" s="23"/>
      <c r="D647" s="23"/>
    </row>
    <row r="648">
      <c r="C648" s="23"/>
      <c r="D648" s="23"/>
    </row>
    <row r="649">
      <c r="C649" s="23"/>
      <c r="D649" s="23"/>
    </row>
    <row r="650">
      <c r="C650" s="23"/>
      <c r="D650" s="23"/>
    </row>
    <row r="651">
      <c r="C651" s="23"/>
      <c r="D651" s="23"/>
    </row>
    <row r="652">
      <c r="C652" s="23"/>
      <c r="D652" s="23"/>
    </row>
    <row r="653">
      <c r="C653" s="23"/>
      <c r="D653" s="23"/>
    </row>
    <row r="654">
      <c r="C654" s="23"/>
      <c r="D654" s="23"/>
    </row>
    <row r="655">
      <c r="C655" s="23"/>
      <c r="D655" s="23"/>
    </row>
    <row r="656">
      <c r="C656" s="23"/>
      <c r="D656" s="23"/>
    </row>
    <row r="657">
      <c r="C657" s="23"/>
      <c r="D657" s="23"/>
    </row>
    <row r="658">
      <c r="C658" s="23"/>
      <c r="D658" s="23"/>
    </row>
    <row r="659">
      <c r="C659" s="23"/>
      <c r="D659" s="23"/>
    </row>
    <row r="660">
      <c r="C660" s="23"/>
      <c r="D660" s="23"/>
    </row>
    <row r="661">
      <c r="C661" s="23"/>
      <c r="D661" s="23"/>
    </row>
    <row r="662">
      <c r="C662" s="23"/>
      <c r="D662" s="23"/>
    </row>
    <row r="663">
      <c r="C663" s="23"/>
      <c r="D663" s="23"/>
    </row>
    <row r="664">
      <c r="C664" s="23"/>
      <c r="D664" s="23"/>
    </row>
    <row r="665">
      <c r="C665" s="23"/>
      <c r="D665" s="23"/>
    </row>
    <row r="666">
      <c r="C666" s="23"/>
      <c r="D666" s="23"/>
    </row>
    <row r="667">
      <c r="C667" s="23"/>
      <c r="D667" s="23"/>
    </row>
    <row r="668">
      <c r="C668" s="23"/>
      <c r="D668" s="23"/>
    </row>
    <row r="669">
      <c r="C669" s="23"/>
      <c r="D669" s="23"/>
    </row>
    <row r="670">
      <c r="C670" s="23"/>
      <c r="D670" s="23"/>
    </row>
    <row r="671">
      <c r="C671" s="23"/>
      <c r="D671" s="23"/>
    </row>
    <row r="672">
      <c r="C672" s="23"/>
      <c r="D672" s="23"/>
    </row>
    <row r="673">
      <c r="C673" s="23"/>
      <c r="D673" s="23"/>
    </row>
    <row r="674">
      <c r="C674" s="23"/>
      <c r="D674" s="23"/>
    </row>
    <row r="675">
      <c r="C675" s="23"/>
      <c r="D675" s="23"/>
    </row>
    <row r="676">
      <c r="C676" s="23"/>
      <c r="D676" s="23"/>
    </row>
    <row r="677">
      <c r="C677" s="23"/>
      <c r="D677" s="23"/>
    </row>
    <row r="678">
      <c r="C678" s="23"/>
      <c r="D678" s="23"/>
    </row>
    <row r="679">
      <c r="C679" s="23"/>
      <c r="D679" s="23"/>
    </row>
    <row r="680">
      <c r="C680" s="23"/>
      <c r="D680" s="23"/>
    </row>
    <row r="681">
      <c r="C681" s="23"/>
      <c r="D681" s="23"/>
    </row>
    <row r="682">
      <c r="C682" s="23"/>
      <c r="D682" s="23"/>
    </row>
    <row r="683">
      <c r="C683" s="23"/>
      <c r="D683" s="23"/>
    </row>
    <row r="684">
      <c r="C684" s="23"/>
      <c r="D684" s="23"/>
    </row>
    <row r="685">
      <c r="C685" s="23"/>
      <c r="D685" s="23"/>
    </row>
    <row r="686">
      <c r="C686" s="23"/>
      <c r="D686" s="23"/>
    </row>
    <row r="687">
      <c r="C687" s="23"/>
      <c r="D687" s="23"/>
    </row>
    <row r="688">
      <c r="C688" s="23"/>
      <c r="D688" s="23"/>
    </row>
    <row r="689">
      <c r="C689" s="23"/>
      <c r="D689" s="23"/>
    </row>
    <row r="690">
      <c r="C690" s="23"/>
      <c r="D690" s="23"/>
    </row>
    <row r="691">
      <c r="C691" s="23"/>
      <c r="D691" s="23"/>
    </row>
    <row r="692">
      <c r="C692" s="23"/>
      <c r="D692" s="23"/>
    </row>
    <row r="693">
      <c r="C693" s="23"/>
      <c r="D693" s="23"/>
    </row>
    <row r="694">
      <c r="C694" s="23"/>
      <c r="D694" s="23"/>
    </row>
    <row r="695">
      <c r="C695" s="23"/>
      <c r="D695" s="23"/>
    </row>
    <row r="696">
      <c r="C696" s="23"/>
      <c r="D696" s="23"/>
    </row>
    <row r="697">
      <c r="C697" s="23"/>
      <c r="D697" s="23"/>
    </row>
    <row r="698">
      <c r="C698" s="23"/>
      <c r="D698" s="23"/>
    </row>
    <row r="699">
      <c r="C699" s="23"/>
      <c r="D699" s="23"/>
    </row>
    <row r="700">
      <c r="C700" s="23"/>
      <c r="D700" s="23"/>
    </row>
    <row r="701">
      <c r="C701" s="23"/>
      <c r="D701" s="23"/>
    </row>
    <row r="702">
      <c r="C702" s="23"/>
      <c r="D702" s="23"/>
    </row>
    <row r="703">
      <c r="C703" s="23"/>
      <c r="D703" s="23"/>
    </row>
    <row r="704">
      <c r="C704" s="23"/>
      <c r="D704" s="23"/>
    </row>
    <row r="705">
      <c r="C705" s="23"/>
      <c r="D705" s="23"/>
    </row>
    <row r="706">
      <c r="C706" s="23"/>
      <c r="D706" s="23"/>
    </row>
    <row r="707">
      <c r="C707" s="23"/>
      <c r="D707" s="23"/>
    </row>
    <row r="708">
      <c r="C708" s="23"/>
      <c r="D708" s="23"/>
    </row>
    <row r="709">
      <c r="C709" s="23"/>
      <c r="D709" s="23"/>
    </row>
    <row r="710">
      <c r="C710" s="23"/>
      <c r="D710" s="23"/>
    </row>
    <row r="711">
      <c r="C711" s="23"/>
      <c r="D711" s="23"/>
    </row>
    <row r="712">
      <c r="C712" s="23"/>
      <c r="D712" s="23"/>
    </row>
    <row r="713">
      <c r="C713" s="23"/>
      <c r="D713" s="23"/>
    </row>
    <row r="714">
      <c r="C714" s="23"/>
      <c r="D714" s="23"/>
    </row>
    <row r="715">
      <c r="C715" s="23"/>
      <c r="D715" s="23"/>
    </row>
    <row r="716">
      <c r="C716" s="23"/>
      <c r="D716" s="23"/>
    </row>
    <row r="717">
      <c r="C717" s="23"/>
      <c r="D717" s="23"/>
    </row>
    <row r="718">
      <c r="C718" s="23"/>
      <c r="D718" s="23"/>
    </row>
    <row r="719">
      <c r="C719" s="23"/>
      <c r="D719" s="23"/>
    </row>
    <row r="720">
      <c r="C720" s="23"/>
      <c r="D720" s="23"/>
    </row>
    <row r="721">
      <c r="C721" s="23"/>
      <c r="D721" s="23"/>
    </row>
    <row r="722">
      <c r="C722" s="23"/>
      <c r="D722" s="23"/>
    </row>
    <row r="723">
      <c r="C723" s="23"/>
      <c r="D723" s="23"/>
    </row>
    <row r="724">
      <c r="C724" s="23"/>
      <c r="D724" s="23"/>
    </row>
    <row r="725">
      <c r="C725" s="23"/>
      <c r="D725" s="23"/>
    </row>
    <row r="726">
      <c r="C726" s="23"/>
      <c r="D726" s="23"/>
    </row>
    <row r="727">
      <c r="C727" s="23"/>
      <c r="D727" s="23"/>
    </row>
    <row r="728">
      <c r="C728" s="23"/>
      <c r="D728" s="23"/>
    </row>
    <row r="729">
      <c r="C729" s="23"/>
      <c r="D729" s="23"/>
    </row>
    <row r="730">
      <c r="C730" s="23"/>
      <c r="D730" s="23"/>
    </row>
    <row r="731">
      <c r="C731" s="23"/>
      <c r="D731" s="23"/>
    </row>
    <row r="732">
      <c r="C732" s="23"/>
      <c r="D732" s="23"/>
    </row>
    <row r="733">
      <c r="C733" s="23"/>
      <c r="D733" s="23"/>
    </row>
    <row r="734">
      <c r="C734" s="23"/>
      <c r="D734" s="23"/>
    </row>
    <row r="735">
      <c r="C735" s="23"/>
      <c r="D735" s="23"/>
    </row>
    <row r="736">
      <c r="C736" s="23"/>
      <c r="D736" s="23"/>
    </row>
    <row r="737">
      <c r="C737" s="23"/>
      <c r="D737" s="23"/>
    </row>
    <row r="738">
      <c r="C738" s="23"/>
      <c r="D738" s="23"/>
    </row>
    <row r="739">
      <c r="C739" s="23"/>
      <c r="D739" s="23"/>
    </row>
    <row r="740">
      <c r="C740" s="23"/>
      <c r="D740" s="23"/>
    </row>
    <row r="741">
      <c r="C741" s="23"/>
      <c r="D741" s="23"/>
    </row>
    <row r="742">
      <c r="C742" s="23"/>
      <c r="D742" s="23"/>
    </row>
    <row r="743">
      <c r="C743" s="23"/>
      <c r="D743" s="23"/>
    </row>
    <row r="744">
      <c r="C744" s="23"/>
      <c r="D744" s="23"/>
    </row>
    <row r="745">
      <c r="C745" s="23"/>
      <c r="D745" s="23"/>
    </row>
    <row r="746">
      <c r="C746" s="23"/>
      <c r="D746" s="23"/>
    </row>
    <row r="747">
      <c r="C747" s="23"/>
      <c r="D747" s="23"/>
    </row>
    <row r="748">
      <c r="C748" s="23"/>
      <c r="D748" s="23"/>
    </row>
    <row r="749">
      <c r="C749" s="23"/>
      <c r="D749" s="23"/>
    </row>
    <row r="750">
      <c r="C750" s="23"/>
      <c r="D750" s="23"/>
    </row>
    <row r="751">
      <c r="C751" s="23"/>
      <c r="D751" s="23"/>
    </row>
    <row r="752">
      <c r="C752" s="23"/>
      <c r="D752" s="23"/>
    </row>
    <row r="753">
      <c r="C753" s="23"/>
      <c r="D753" s="23"/>
    </row>
    <row r="754">
      <c r="C754" s="23"/>
      <c r="D754" s="23"/>
    </row>
    <row r="755">
      <c r="C755" s="23"/>
      <c r="D755" s="23"/>
    </row>
    <row r="756">
      <c r="C756" s="23"/>
      <c r="D756" s="23"/>
    </row>
    <row r="757">
      <c r="C757" s="23"/>
      <c r="D757" s="23"/>
    </row>
    <row r="758">
      <c r="C758" s="23"/>
      <c r="D758" s="23"/>
    </row>
    <row r="759">
      <c r="C759" s="23"/>
      <c r="D759" s="23"/>
    </row>
    <row r="760">
      <c r="C760" s="23"/>
      <c r="D760" s="23"/>
    </row>
    <row r="761">
      <c r="C761" s="23"/>
      <c r="D761" s="23"/>
    </row>
    <row r="762">
      <c r="C762" s="23"/>
      <c r="D762" s="23"/>
    </row>
    <row r="763">
      <c r="C763" s="23"/>
      <c r="D763" s="23"/>
    </row>
    <row r="764">
      <c r="C764" s="23"/>
      <c r="D764" s="23"/>
    </row>
    <row r="765">
      <c r="C765" s="23"/>
      <c r="D765" s="23"/>
    </row>
    <row r="766">
      <c r="C766" s="23"/>
      <c r="D766" s="23"/>
    </row>
    <row r="767">
      <c r="C767" s="23"/>
      <c r="D767" s="23"/>
    </row>
    <row r="768">
      <c r="C768" s="23"/>
      <c r="D768" s="23"/>
    </row>
    <row r="769">
      <c r="C769" s="23"/>
      <c r="D769" s="23"/>
    </row>
    <row r="770">
      <c r="C770" s="23"/>
      <c r="D770" s="23"/>
    </row>
    <row r="771">
      <c r="C771" s="23"/>
      <c r="D771" s="23"/>
    </row>
    <row r="772">
      <c r="C772" s="23"/>
      <c r="D772" s="23"/>
    </row>
    <row r="773">
      <c r="C773" s="23"/>
      <c r="D773" s="23"/>
    </row>
    <row r="774">
      <c r="C774" s="23"/>
      <c r="D774" s="23"/>
    </row>
    <row r="775">
      <c r="C775" s="23"/>
      <c r="D775" s="23"/>
    </row>
    <row r="776">
      <c r="C776" s="23"/>
      <c r="D776" s="23"/>
    </row>
    <row r="777">
      <c r="C777" s="23"/>
      <c r="D777" s="23"/>
    </row>
    <row r="778">
      <c r="C778" s="23"/>
      <c r="D778" s="23"/>
    </row>
    <row r="779">
      <c r="C779" s="23"/>
      <c r="D779" s="23"/>
    </row>
    <row r="780">
      <c r="C780" s="23"/>
      <c r="D780" s="23"/>
    </row>
    <row r="781">
      <c r="C781" s="23"/>
      <c r="D781" s="23"/>
    </row>
    <row r="782">
      <c r="C782" s="23"/>
      <c r="D782" s="23"/>
    </row>
    <row r="783">
      <c r="C783" s="23"/>
      <c r="D783" s="23"/>
    </row>
    <row r="784">
      <c r="C784" s="23"/>
      <c r="D784" s="23"/>
    </row>
    <row r="785">
      <c r="C785" s="23"/>
      <c r="D785" s="23"/>
    </row>
    <row r="786">
      <c r="C786" s="23"/>
      <c r="D786" s="23"/>
    </row>
    <row r="787">
      <c r="C787" s="23"/>
      <c r="D787" s="23"/>
    </row>
    <row r="788">
      <c r="C788" s="23"/>
      <c r="D788" s="23"/>
    </row>
    <row r="789">
      <c r="C789" s="23"/>
      <c r="D789" s="23"/>
    </row>
    <row r="790">
      <c r="C790" s="23"/>
      <c r="D790" s="23"/>
    </row>
    <row r="791">
      <c r="C791" s="23"/>
      <c r="D791" s="23"/>
    </row>
    <row r="792">
      <c r="C792" s="23"/>
      <c r="D792" s="23"/>
    </row>
    <row r="793">
      <c r="C793" s="23"/>
      <c r="D793" s="23"/>
    </row>
    <row r="794">
      <c r="C794" s="23"/>
      <c r="D794" s="23"/>
    </row>
    <row r="795">
      <c r="C795" s="23"/>
      <c r="D795" s="23"/>
    </row>
    <row r="796">
      <c r="C796" s="23"/>
      <c r="D796" s="23"/>
    </row>
    <row r="797">
      <c r="C797" s="23"/>
      <c r="D797" s="23"/>
    </row>
    <row r="798">
      <c r="C798" s="23"/>
      <c r="D798" s="23"/>
    </row>
    <row r="799">
      <c r="C799" s="23"/>
      <c r="D799" s="23"/>
    </row>
    <row r="800">
      <c r="C800" s="23"/>
      <c r="D800" s="23"/>
    </row>
    <row r="801">
      <c r="C801" s="23"/>
      <c r="D801" s="23"/>
    </row>
    <row r="802">
      <c r="C802" s="23"/>
      <c r="D802" s="23"/>
    </row>
    <row r="803">
      <c r="C803" s="23"/>
      <c r="D803" s="23"/>
    </row>
    <row r="804">
      <c r="C804" s="23"/>
      <c r="D804" s="23"/>
    </row>
    <row r="805">
      <c r="C805" s="23"/>
      <c r="D805" s="23"/>
    </row>
    <row r="806">
      <c r="C806" s="23"/>
      <c r="D806" s="23"/>
    </row>
    <row r="807">
      <c r="C807" s="23"/>
      <c r="D807" s="23"/>
    </row>
    <row r="808">
      <c r="C808" s="23"/>
      <c r="D808" s="23"/>
    </row>
    <row r="809">
      <c r="C809" s="23"/>
      <c r="D809" s="23"/>
    </row>
    <row r="810">
      <c r="C810" s="23"/>
      <c r="D810" s="23"/>
    </row>
    <row r="811">
      <c r="C811" s="23"/>
      <c r="D811" s="23"/>
    </row>
    <row r="812">
      <c r="C812" s="23"/>
      <c r="D812" s="23"/>
    </row>
    <row r="813">
      <c r="C813" s="23"/>
      <c r="D813" s="23"/>
    </row>
    <row r="814">
      <c r="C814" s="23"/>
      <c r="D814" s="23"/>
    </row>
    <row r="815">
      <c r="C815" s="23"/>
      <c r="D815" s="23"/>
    </row>
    <row r="816">
      <c r="C816" s="23"/>
      <c r="D816" s="23"/>
    </row>
    <row r="817">
      <c r="C817" s="23"/>
      <c r="D817" s="23"/>
    </row>
    <row r="818">
      <c r="C818" s="23"/>
      <c r="D818" s="23"/>
    </row>
    <row r="819">
      <c r="C819" s="23"/>
      <c r="D819" s="23"/>
    </row>
    <row r="820">
      <c r="C820" s="23"/>
      <c r="D820" s="23"/>
    </row>
    <row r="821">
      <c r="C821" s="23"/>
      <c r="D821" s="23"/>
    </row>
    <row r="822">
      <c r="C822" s="23"/>
      <c r="D822" s="23"/>
    </row>
    <row r="823">
      <c r="C823" s="23"/>
      <c r="D823" s="23"/>
    </row>
    <row r="824">
      <c r="C824" s="23"/>
      <c r="D824" s="23"/>
    </row>
    <row r="825">
      <c r="C825" s="23"/>
      <c r="D825" s="23"/>
    </row>
    <row r="826">
      <c r="C826" s="23"/>
      <c r="D826" s="23"/>
    </row>
    <row r="827">
      <c r="C827" s="23"/>
      <c r="D827" s="23"/>
    </row>
    <row r="828">
      <c r="C828" s="23"/>
      <c r="D828" s="23"/>
    </row>
    <row r="829">
      <c r="C829" s="23"/>
      <c r="D829" s="23"/>
    </row>
    <row r="830">
      <c r="C830" s="23"/>
      <c r="D830" s="23"/>
    </row>
    <row r="831">
      <c r="C831" s="23"/>
      <c r="D831" s="23"/>
    </row>
    <row r="832">
      <c r="C832" s="23"/>
      <c r="D832" s="23"/>
    </row>
    <row r="833">
      <c r="C833" s="23"/>
      <c r="D833" s="23"/>
    </row>
    <row r="834">
      <c r="C834" s="23"/>
      <c r="D834" s="23"/>
    </row>
    <row r="835">
      <c r="C835" s="23"/>
      <c r="D835" s="23"/>
    </row>
    <row r="836">
      <c r="C836" s="23"/>
      <c r="D836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29"/>
    <col customWidth="1" min="2" max="34" width="8.71"/>
  </cols>
  <sheetData>
    <row r="1">
      <c r="B1" s="7" t="s">
        <v>171</v>
      </c>
      <c r="I1" s="7" t="s">
        <v>172</v>
      </c>
      <c r="O1" s="7" t="s">
        <v>173</v>
      </c>
      <c r="T1" s="7" t="s">
        <v>174</v>
      </c>
      <c r="Y1" s="7" t="s">
        <v>175</v>
      </c>
    </row>
    <row r="2">
      <c r="A2" s="7" t="s">
        <v>171</v>
      </c>
      <c r="B2" s="29" t="s">
        <v>17</v>
      </c>
      <c r="C2" s="29" t="s">
        <v>18</v>
      </c>
      <c r="D2" s="29" t="s">
        <v>19</v>
      </c>
      <c r="E2" s="29" t="s">
        <v>20</v>
      </c>
      <c r="F2" s="29" t="s">
        <v>21</v>
      </c>
      <c r="H2" s="29" t="s">
        <v>17</v>
      </c>
      <c r="I2" s="29" t="s">
        <v>18</v>
      </c>
      <c r="J2" s="29" t="s">
        <v>19</v>
      </c>
      <c r="K2" s="29" t="s">
        <v>20</v>
      </c>
      <c r="L2" s="29" t="s">
        <v>21</v>
      </c>
      <c r="N2" s="29" t="s">
        <v>17</v>
      </c>
      <c r="O2" s="29" t="s">
        <v>18</v>
      </c>
      <c r="P2" s="29" t="s">
        <v>19</v>
      </c>
      <c r="Q2" s="29" t="s">
        <v>20</v>
      </c>
      <c r="R2" s="29" t="s">
        <v>21</v>
      </c>
      <c r="T2" s="29" t="s">
        <v>18</v>
      </c>
      <c r="U2" s="29" t="s">
        <v>19</v>
      </c>
      <c r="V2" s="29" t="s">
        <v>20</v>
      </c>
      <c r="W2" s="29" t="s">
        <v>21</v>
      </c>
      <c r="Y2" s="29" t="s">
        <v>18</v>
      </c>
      <c r="Z2" s="29" t="s">
        <v>19</v>
      </c>
      <c r="AA2" s="29" t="s">
        <v>20</v>
      </c>
      <c r="AB2" s="29" t="s">
        <v>21</v>
      </c>
      <c r="AC2" s="29"/>
      <c r="AD2" s="29"/>
      <c r="AE2" s="29"/>
      <c r="AF2" s="29"/>
      <c r="AG2" s="29"/>
      <c r="AH2" s="29"/>
    </row>
    <row r="3">
      <c r="B3" s="7" t="s">
        <v>22</v>
      </c>
      <c r="C3" s="7" t="s">
        <v>22</v>
      </c>
      <c r="D3" s="7" t="s">
        <v>22</v>
      </c>
      <c r="E3" s="7" t="s">
        <v>22</v>
      </c>
      <c r="F3" s="7" t="s">
        <v>23</v>
      </c>
      <c r="H3" s="7" t="s">
        <v>22</v>
      </c>
      <c r="I3" s="7" t="s">
        <v>22</v>
      </c>
      <c r="J3" s="7" t="s">
        <v>22</v>
      </c>
      <c r="K3" s="7" t="s">
        <v>22</v>
      </c>
      <c r="L3" s="7" t="s">
        <v>23</v>
      </c>
      <c r="N3" s="7" t="s">
        <v>22</v>
      </c>
      <c r="O3" s="7" t="s">
        <v>22</v>
      </c>
      <c r="P3" s="7" t="s">
        <v>22</v>
      </c>
      <c r="Q3" s="7" t="s">
        <v>23</v>
      </c>
      <c r="R3" s="7" t="s">
        <v>23</v>
      </c>
      <c r="T3" s="7" t="s">
        <v>22</v>
      </c>
      <c r="U3" s="7" t="s">
        <v>22</v>
      </c>
      <c r="V3" s="7" t="s">
        <v>22</v>
      </c>
      <c r="W3" s="7" t="s">
        <v>23</v>
      </c>
      <c r="Y3" s="7" t="s">
        <v>24</v>
      </c>
      <c r="Z3" s="7" t="s">
        <v>22</v>
      </c>
      <c r="AA3" s="7" t="s">
        <v>22</v>
      </c>
      <c r="AB3" s="7" t="s">
        <v>23</v>
      </c>
    </row>
    <row r="5">
      <c r="A5" s="7" t="s">
        <v>176</v>
      </c>
    </row>
    <row r="6">
      <c r="A6" s="7" t="s">
        <v>177</v>
      </c>
    </row>
    <row r="7">
      <c r="A7" s="7" t="s">
        <v>178</v>
      </c>
    </row>
    <row r="8">
      <c r="A8" s="7" t="s">
        <v>179</v>
      </c>
    </row>
    <row r="10">
      <c r="A10" s="7" t="s">
        <v>63</v>
      </c>
      <c r="B10" s="7">
        <v>23930.151</v>
      </c>
      <c r="C10" s="7">
        <v>23578.78</v>
      </c>
      <c r="D10" s="7">
        <v>29792.243</v>
      </c>
      <c r="E10" s="7">
        <v>32768.103</v>
      </c>
      <c r="F10" s="7">
        <v>24145.584</v>
      </c>
      <c r="H10" s="7">
        <v>337466.0</v>
      </c>
      <c r="I10" s="7">
        <v>330048.0</v>
      </c>
      <c r="J10" s="7">
        <v>360978.116</v>
      </c>
      <c r="K10" s="7">
        <v>419772.195</v>
      </c>
      <c r="L10" s="7">
        <v>312105.949</v>
      </c>
      <c r="N10" s="7">
        <v>4317.0</v>
      </c>
      <c r="O10" s="7">
        <v>70441.169</v>
      </c>
      <c r="P10" s="7">
        <v>103822.194</v>
      </c>
      <c r="Q10" s="7">
        <v>109585.884</v>
      </c>
      <c r="R10" s="7">
        <v>75793.97600000001</v>
      </c>
      <c r="T10" s="7">
        <v>20425.762</v>
      </c>
      <c r="U10" s="7">
        <v>33740.045</v>
      </c>
      <c r="V10" s="7">
        <v>42955.437</v>
      </c>
      <c r="W10" s="7">
        <v>33868.198</v>
      </c>
      <c r="Y10" s="7">
        <v>0.0</v>
      </c>
      <c r="Z10" s="7">
        <v>39281.699</v>
      </c>
      <c r="AA10" s="7">
        <v>52097.658</v>
      </c>
      <c r="AB10" s="7">
        <v>54416.681</v>
      </c>
    </row>
    <row r="11" ht="15.75" customHeight="1">
      <c r="A11" s="7" t="s">
        <v>64</v>
      </c>
      <c r="B11" s="7">
        <v>14418.686</v>
      </c>
      <c r="C11" s="7">
        <v>2893.883</v>
      </c>
      <c r="D11" s="7">
        <v>5234.476</v>
      </c>
      <c r="E11" s="7">
        <v>6219.504</v>
      </c>
      <c r="F11" s="7">
        <v>3790.438</v>
      </c>
      <c r="H11" s="7">
        <v>19435.0</v>
      </c>
      <c r="I11" s="7">
        <v>21414.0</v>
      </c>
      <c r="J11" s="7">
        <v>16122.96999999996</v>
      </c>
      <c r="K11" s="7">
        <v>7214.950999999997</v>
      </c>
      <c r="L11" s="7">
        <v>2151.953000000023</v>
      </c>
      <c r="N11" s="7">
        <v>-2996.0</v>
      </c>
      <c r="O11" s="7">
        <v>1275.955999999994</v>
      </c>
      <c r="P11" s="7">
        <v>2586.204000000006</v>
      </c>
      <c r="Q11" s="7">
        <v>4571.311</v>
      </c>
      <c r="R11" s="7">
        <v>-2835.861999999992</v>
      </c>
      <c r="T11" s="7">
        <v>-35.504</v>
      </c>
      <c r="U11" s="7">
        <v>-2708.358</v>
      </c>
      <c r="V11" s="7">
        <v>711.661</v>
      </c>
      <c r="W11" s="7">
        <v>1111.626</v>
      </c>
      <c r="Y11" s="7">
        <v>0.0</v>
      </c>
      <c r="Z11" s="7">
        <v>1160.271999999998</v>
      </c>
      <c r="AA11" s="7">
        <v>887.237999999996</v>
      </c>
      <c r="AB11" s="7">
        <v>2968.519999999999</v>
      </c>
    </row>
    <row r="12" ht="15.75" customHeight="1"/>
    <row r="13" ht="15.75" customHeight="1"/>
    <row r="14" ht="15.75" customHeight="1">
      <c r="A14" s="7" t="s">
        <v>65</v>
      </c>
      <c r="B14" s="7">
        <v>21443.876</v>
      </c>
      <c r="C14" s="7">
        <v>16147.77</v>
      </c>
      <c r="D14" s="7">
        <v>27257.998</v>
      </c>
      <c r="E14" s="7">
        <v>30188.632</v>
      </c>
      <c r="F14" s="7">
        <v>28923.839</v>
      </c>
      <c r="H14" s="7">
        <v>489171.0</v>
      </c>
      <c r="I14" s="7">
        <v>559173.0</v>
      </c>
      <c r="J14" s="7">
        <v>658388.6570000001</v>
      </c>
      <c r="K14" s="7">
        <v>747714.175</v>
      </c>
      <c r="L14" s="7">
        <v>731542.0810000001</v>
      </c>
      <c r="N14" s="7">
        <v>156739.98</v>
      </c>
      <c r="O14" s="7">
        <v>50343.569</v>
      </c>
      <c r="P14" s="7">
        <v>69251.92700000001</v>
      </c>
      <c r="Q14" s="7">
        <v>80296.96200000001</v>
      </c>
      <c r="R14" s="7">
        <v>89011.252</v>
      </c>
      <c r="T14" s="7">
        <v>17118.68</v>
      </c>
      <c r="U14" s="7">
        <v>22603.33</v>
      </c>
      <c r="V14" s="7">
        <v>41829.318</v>
      </c>
      <c r="W14" s="7">
        <v>22008.315</v>
      </c>
      <c r="Y14" s="7">
        <v>4149.0</v>
      </c>
      <c r="Z14" s="7">
        <v>55862.54599999999</v>
      </c>
      <c r="AA14" s="7">
        <v>47567.44</v>
      </c>
      <c r="AB14" s="7">
        <v>53771.717</v>
      </c>
    </row>
    <row r="15" ht="15.75" customHeight="1">
      <c r="A15" s="7" t="s">
        <v>66</v>
      </c>
      <c r="B15" s="7">
        <v>0.0</v>
      </c>
      <c r="C15" s="7">
        <v>0.0</v>
      </c>
      <c r="D15" s="7">
        <v>0.0</v>
      </c>
      <c r="E15" s="7">
        <v>0.0</v>
      </c>
      <c r="F15" s="7">
        <v>0.0</v>
      </c>
      <c r="H15" s="7">
        <v>117278.282</v>
      </c>
      <c r="I15" s="7">
        <v>105337.0</v>
      </c>
      <c r="J15" s="7">
        <v>183901.697</v>
      </c>
      <c r="K15" s="7">
        <v>221052.018</v>
      </c>
      <c r="L15" s="7">
        <v>95615.30599999963</v>
      </c>
      <c r="N15" s="7">
        <v>25948.0</v>
      </c>
      <c r="O15" s="7">
        <v>26300.778</v>
      </c>
      <c r="P15" s="7">
        <v>23715.271</v>
      </c>
      <c r="Q15" s="7">
        <v>28567.047</v>
      </c>
      <c r="R15" s="7">
        <v>29221.778</v>
      </c>
      <c r="T15" s="7">
        <v>45079.636</v>
      </c>
      <c r="U15" s="7">
        <v>2661.033</v>
      </c>
      <c r="V15" s="7">
        <v>3208.322</v>
      </c>
      <c r="W15" s="7">
        <v>5083.783</v>
      </c>
      <c r="Y15" s="7">
        <v>0.0</v>
      </c>
      <c r="Z15" s="7">
        <v>11951.704</v>
      </c>
      <c r="AA15" s="7">
        <v>10657.175</v>
      </c>
      <c r="AB15" s="7">
        <v>10971.355</v>
      </c>
    </row>
    <row r="16" ht="15.75" customHeight="1">
      <c r="A16" s="7" t="s">
        <v>67</v>
      </c>
      <c r="B16" s="7">
        <v>43854.634</v>
      </c>
      <c r="C16" s="7">
        <v>47511.01</v>
      </c>
      <c r="D16" s="7">
        <v>43317.688</v>
      </c>
      <c r="E16" s="7">
        <v>51328.915</v>
      </c>
      <c r="F16" s="7">
        <v>73222.413</v>
      </c>
      <c r="H16" s="7">
        <v>316380.0</v>
      </c>
      <c r="I16" s="7">
        <v>332106.0</v>
      </c>
      <c r="J16" s="7">
        <v>269491.189</v>
      </c>
      <c r="K16" s="7">
        <v>282184.366</v>
      </c>
      <c r="L16" s="7">
        <v>442297.1090000001</v>
      </c>
      <c r="N16" s="7">
        <v>34413.0</v>
      </c>
      <c r="O16" s="7">
        <v>162778.797</v>
      </c>
      <c r="P16" s="7">
        <v>148720.903</v>
      </c>
      <c r="Q16" s="7">
        <v>154873.229</v>
      </c>
      <c r="R16" s="7">
        <v>168630.215</v>
      </c>
      <c r="T16" s="7">
        <v>0.0</v>
      </c>
      <c r="U16" s="7">
        <v>0.0</v>
      </c>
      <c r="V16" s="7">
        <v>0.0</v>
      </c>
      <c r="W16" s="7">
        <v>31265.551</v>
      </c>
      <c r="Y16" s="7">
        <v>0.0</v>
      </c>
      <c r="Z16" s="7">
        <v>11319.385</v>
      </c>
      <c r="AA16" s="7">
        <v>20216.327</v>
      </c>
      <c r="AB16" s="7">
        <v>14995.304</v>
      </c>
    </row>
    <row r="17" ht="15.75" customHeight="1">
      <c r="A17" s="7" t="s">
        <v>68</v>
      </c>
      <c r="B17" s="7">
        <v>65298.51</v>
      </c>
      <c r="C17" s="7">
        <v>63658.78</v>
      </c>
      <c r="D17" s="7">
        <v>70575.686</v>
      </c>
      <c r="E17" s="7">
        <v>81517.547</v>
      </c>
      <c r="F17" s="7">
        <v>102146.252</v>
      </c>
      <c r="H17" s="7">
        <v>922829.282</v>
      </c>
      <c r="I17" s="7">
        <v>996616.0</v>
      </c>
      <c r="J17" s="7">
        <v>1111781.543</v>
      </c>
      <c r="K17" s="7">
        <v>1250950.559</v>
      </c>
      <c r="L17" s="7">
        <v>1269454.496</v>
      </c>
      <c r="N17" s="7">
        <v>217100.98</v>
      </c>
      <c r="O17" s="7">
        <v>239423.1440000001</v>
      </c>
      <c r="P17" s="7">
        <v>241688.101</v>
      </c>
      <c r="Q17" s="7">
        <v>263737.238</v>
      </c>
      <c r="R17" s="7">
        <v>286863.245</v>
      </c>
      <c r="T17" s="7">
        <v>62198.316</v>
      </c>
      <c r="U17" s="7">
        <v>25264.363</v>
      </c>
      <c r="V17" s="7">
        <v>45037.64</v>
      </c>
      <c r="W17" s="7">
        <v>58357.649</v>
      </c>
      <c r="Y17" s="7">
        <v>4149.0</v>
      </c>
      <c r="Z17" s="7">
        <v>79133.63500000001</v>
      </c>
      <c r="AA17" s="7">
        <v>78440.942</v>
      </c>
      <c r="AB17" s="7">
        <v>79738.37599999999</v>
      </c>
    </row>
    <row r="18" ht="15.75" customHeight="1"/>
    <row r="19" ht="15.75" customHeight="1">
      <c r="A19" s="7" t="s">
        <v>69</v>
      </c>
      <c r="B19" s="7">
        <v>40792.936</v>
      </c>
      <c r="C19" s="7">
        <v>30309.361</v>
      </c>
      <c r="D19" s="7">
        <v>38072.359</v>
      </c>
      <c r="E19" s="7">
        <v>30532.448</v>
      </c>
      <c r="F19" s="7">
        <v>41502.354</v>
      </c>
      <c r="H19" s="7">
        <v>162415.0</v>
      </c>
      <c r="I19" s="7">
        <v>268455.0</v>
      </c>
      <c r="J19" s="7">
        <v>234795.169</v>
      </c>
      <c r="K19" s="7">
        <v>277370.831</v>
      </c>
      <c r="L19" s="7">
        <v>442676.4459999999</v>
      </c>
      <c r="N19" s="7">
        <v>35006.0</v>
      </c>
      <c r="O19" s="7">
        <v>42593.636</v>
      </c>
      <c r="P19" s="7">
        <v>53598.854</v>
      </c>
      <c r="Q19" s="7">
        <v>61927.29600000002</v>
      </c>
      <c r="R19" s="7">
        <v>86036.563</v>
      </c>
      <c r="T19" s="7">
        <v>40572.929</v>
      </c>
      <c r="U19" s="7">
        <v>6092.298</v>
      </c>
      <c r="V19" s="7">
        <v>25287.61</v>
      </c>
      <c r="W19" s="7">
        <v>21943.731</v>
      </c>
      <c r="Y19" s="7">
        <v>0.0</v>
      </c>
      <c r="Z19" s="7">
        <v>22040.14</v>
      </c>
      <c r="AA19" s="7">
        <v>20790.369</v>
      </c>
      <c r="AB19" s="7">
        <v>14654.413</v>
      </c>
    </row>
    <row r="20" ht="15.75" customHeight="1">
      <c r="A20" s="7" t="s">
        <v>70</v>
      </c>
      <c r="B20" s="7">
        <v>10181.019</v>
      </c>
      <c r="C20" s="7">
        <v>16130.981</v>
      </c>
      <c r="D20" s="7">
        <v>10050.413</v>
      </c>
      <c r="E20" s="7">
        <v>22312.681</v>
      </c>
      <c r="F20" s="7">
        <v>21738.022</v>
      </c>
      <c r="H20" s="7">
        <v>310963.0</v>
      </c>
      <c r="I20" s="7">
        <v>257172.0</v>
      </c>
      <c r="J20" s="7">
        <v>351454.951</v>
      </c>
      <c r="K20" s="7">
        <v>411562.724</v>
      </c>
      <c r="L20" s="7">
        <v>315090.2069999999</v>
      </c>
      <c r="N20" s="7">
        <v>45937.0</v>
      </c>
      <c r="O20" s="7">
        <v>58943.81400000001</v>
      </c>
      <c r="P20" s="7">
        <v>48747.61899999999</v>
      </c>
      <c r="Q20" s="7">
        <v>53904.63500000001</v>
      </c>
      <c r="R20" s="7">
        <v>55329.34099999999</v>
      </c>
      <c r="T20" s="7">
        <v>77.481</v>
      </c>
      <c r="U20" s="7">
        <v>331.962</v>
      </c>
      <c r="V20" s="7">
        <v>198.82</v>
      </c>
      <c r="W20" s="7">
        <v>15751.093</v>
      </c>
      <c r="Y20" s="7">
        <v>0.0</v>
      </c>
      <c r="Z20" s="7">
        <v>20186.765</v>
      </c>
      <c r="AA20" s="7">
        <v>19842.093</v>
      </c>
      <c r="AB20" s="7">
        <v>24459.709</v>
      </c>
    </row>
    <row r="21" ht="15.75" customHeight="1">
      <c r="A21" s="7" t="s">
        <v>71</v>
      </c>
      <c r="B21" s="7">
        <v>50973.955</v>
      </c>
      <c r="C21" s="7">
        <v>46440.342</v>
      </c>
      <c r="D21" s="7">
        <v>48122.772</v>
      </c>
      <c r="E21" s="7">
        <v>52845.129</v>
      </c>
      <c r="F21" s="7">
        <v>63240.376</v>
      </c>
      <c r="H21" s="7">
        <v>473378.0</v>
      </c>
      <c r="I21" s="7">
        <v>525627.0</v>
      </c>
      <c r="J21" s="7">
        <v>586250.12</v>
      </c>
      <c r="K21" s="7">
        <v>688933.5549999999</v>
      </c>
      <c r="L21" s="7">
        <v>757766.6529999999</v>
      </c>
      <c r="N21" s="7">
        <v>80943.0</v>
      </c>
      <c r="O21" s="7">
        <v>101537.45</v>
      </c>
      <c r="P21" s="7">
        <v>102346.473</v>
      </c>
      <c r="Q21" s="7">
        <v>115831.931</v>
      </c>
      <c r="R21" s="7">
        <v>141365.904</v>
      </c>
      <c r="T21" s="7">
        <v>40650.41</v>
      </c>
      <c r="U21" s="7">
        <v>6424.26</v>
      </c>
      <c r="V21" s="7">
        <v>25486.43</v>
      </c>
      <c r="W21" s="7">
        <v>37694.824</v>
      </c>
      <c r="Y21" s="7">
        <v>0.0</v>
      </c>
      <c r="Z21" s="7">
        <v>42226.905</v>
      </c>
      <c r="AA21" s="7">
        <v>40632.462</v>
      </c>
      <c r="AB21" s="7">
        <v>39114.122</v>
      </c>
    </row>
    <row r="22" ht="15.75" customHeight="1"/>
    <row r="23" ht="15.75" customHeight="1">
      <c r="A23" s="7" t="s">
        <v>72</v>
      </c>
      <c r="B23" s="7">
        <v>0.2</v>
      </c>
      <c r="C23" s="7">
        <v>0.2</v>
      </c>
      <c r="D23" s="7">
        <v>0.2</v>
      </c>
      <c r="E23" s="7">
        <v>0.2</v>
      </c>
      <c r="F23" s="7">
        <v>0.2</v>
      </c>
      <c r="H23" s="7">
        <v>114975.0</v>
      </c>
      <c r="I23" s="7">
        <v>114995.0</v>
      </c>
      <c r="J23" s="7">
        <v>114995.0</v>
      </c>
      <c r="K23" s="7">
        <v>114995.0</v>
      </c>
      <c r="L23" s="7">
        <v>114995.0</v>
      </c>
      <c r="N23" s="7">
        <v>128348.0</v>
      </c>
      <c r="O23" s="7">
        <v>128370.973</v>
      </c>
      <c r="P23" s="7">
        <v>128397.925</v>
      </c>
      <c r="Q23" s="7">
        <v>128397.925</v>
      </c>
      <c r="R23" s="7">
        <v>128414.005</v>
      </c>
      <c r="T23" s="7">
        <v>21388.0</v>
      </c>
      <c r="U23" s="7">
        <v>21388.0</v>
      </c>
      <c r="V23" s="7">
        <v>21388.0</v>
      </c>
      <c r="W23" s="7">
        <v>21388.0</v>
      </c>
      <c r="Y23" s="7">
        <v>0.0</v>
      </c>
      <c r="Z23" s="7">
        <v>20598.0</v>
      </c>
      <c r="AA23" s="7">
        <v>20598.0</v>
      </c>
      <c r="AB23" s="7">
        <v>20598.0</v>
      </c>
    </row>
    <row r="24" ht="15.75" customHeight="1">
      <c r="A24" s="7" t="s">
        <v>73</v>
      </c>
      <c r="B24" s="7">
        <v>0.0</v>
      </c>
      <c r="C24" s="7">
        <v>0.0</v>
      </c>
      <c r="D24" s="7">
        <v>0.0</v>
      </c>
      <c r="E24" s="7">
        <v>0.0</v>
      </c>
      <c r="F24" s="7">
        <v>0.0</v>
      </c>
      <c r="H24" s="7">
        <v>0.0</v>
      </c>
      <c r="I24" s="7">
        <v>0.0</v>
      </c>
      <c r="J24" s="7">
        <v>-6800.427</v>
      </c>
      <c r="K24" s="7">
        <v>22470.203</v>
      </c>
      <c r="L24" s="7">
        <v>0.0</v>
      </c>
      <c r="N24" s="7">
        <v>6984.0</v>
      </c>
      <c r="O24" s="7">
        <v>7515.611000000001</v>
      </c>
      <c r="P24" s="7">
        <v>1254.59</v>
      </c>
      <c r="Q24" s="7">
        <v>949.485</v>
      </c>
      <c r="R24" s="7">
        <v>3094.496</v>
      </c>
      <c r="T24" s="7">
        <v>0.0</v>
      </c>
      <c r="U24" s="7">
        <v>0.0</v>
      </c>
      <c r="V24" s="7">
        <v>0.0</v>
      </c>
      <c r="W24" s="7">
        <v>0.0</v>
      </c>
      <c r="Y24" s="7">
        <v>0.0</v>
      </c>
      <c r="Z24" s="7">
        <v>0.0</v>
      </c>
      <c r="AA24" s="7">
        <v>0.0</v>
      </c>
      <c r="AB24" s="7">
        <v>5439.5</v>
      </c>
    </row>
    <row r="25" ht="15.75" customHeight="1">
      <c r="A25" s="7" t="s">
        <v>74</v>
      </c>
      <c r="H25" s="7">
        <v>28309.0</v>
      </c>
      <c r="I25" s="7">
        <v>29652.0</v>
      </c>
      <c r="J25" s="7">
        <v>31064.837</v>
      </c>
      <c r="K25" s="7">
        <v>31778.92</v>
      </c>
      <c r="L25" s="7">
        <v>31778.92</v>
      </c>
      <c r="N25" s="7">
        <v>3668.0</v>
      </c>
      <c r="O25" s="7">
        <v>3835.227</v>
      </c>
      <c r="P25" s="7">
        <v>4086.595</v>
      </c>
      <c r="Q25" s="7">
        <v>4175.852</v>
      </c>
      <c r="R25" s="7">
        <v>4541.229</v>
      </c>
      <c r="T25" s="7">
        <v>71.441</v>
      </c>
      <c r="U25" s="7">
        <v>71.441</v>
      </c>
      <c r="V25" s="7">
        <v>119.549</v>
      </c>
      <c r="W25" s="7">
        <v>119.549</v>
      </c>
      <c r="Y25" s="7">
        <v>0.0</v>
      </c>
      <c r="Z25" s="7">
        <v>0.0</v>
      </c>
      <c r="AA25" s="7">
        <v>0.0</v>
      </c>
      <c r="AB25" s="7">
        <v>694.589</v>
      </c>
    </row>
    <row r="26" ht="15.75" customHeight="1">
      <c r="A26" s="7" t="s">
        <v>75</v>
      </c>
      <c r="B26" s="7">
        <v>14324.555</v>
      </c>
      <c r="C26" s="7">
        <v>17218.238</v>
      </c>
      <c r="D26" s="7">
        <v>22452.714</v>
      </c>
      <c r="E26" s="7">
        <v>28672.218</v>
      </c>
      <c r="F26" s="7">
        <v>38905.676</v>
      </c>
      <c r="H26" s="7">
        <v>306165.0</v>
      </c>
      <c r="I26" s="7">
        <v>326342.0</v>
      </c>
      <c r="J26" s="7">
        <v>386272.013</v>
      </c>
      <c r="K26" s="7">
        <v>392772.881</v>
      </c>
      <c r="L26" s="7">
        <v>364913.923</v>
      </c>
      <c r="N26" s="7">
        <v>-2843.0</v>
      </c>
      <c r="O26" s="7">
        <v>-1836.117</v>
      </c>
      <c r="P26" s="7">
        <v>360.338</v>
      </c>
      <c r="Q26" s="7">
        <v>8745.705</v>
      </c>
      <c r="R26" s="7">
        <v>-4538.771</v>
      </c>
      <c r="T26" s="7">
        <v>88.465</v>
      </c>
      <c r="U26" s="7">
        <v>-2619.893</v>
      </c>
      <c r="V26" s="7">
        <v>-1956.339</v>
      </c>
      <c r="W26" s="7">
        <v>-844.713</v>
      </c>
      <c r="Y26" s="7">
        <v>0.0</v>
      </c>
      <c r="Z26" s="7">
        <v>16308.73</v>
      </c>
      <c r="AA26" s="7">
        <v>17210.48</v>
      </c>
      <c r="AB26" s="7">
        <v>13892.165</v>
      </c>
    </row>
    <row r="27" ht="15.75" customHeight="1">
      <c r="A27" s="7" t="s">
        <v>76</v>
      </c>
      <c r="B27" s="7">
        <v>14324.755</v>
      </c>
      <c r="C27" s="7">
        <v>17218.438</v>
      </c>
      <c r="D27" s="7">
        <v>22452.914</v>
      </c>
      <c r="E27" s="7">
        <v>28672.418</v>
      </c>
      <c r="F27" s="7">
        <v>38905.876</v>
      </c>
      <c r="H27" s="7">
        <v>449449.0</v>
      </c>
      <c r="I27" s="7">
        <v>470989.0</v>
      </c>
      <c r="J27" s="7">
        <v>525531.423</v>
      </c>
      <c r="K27" s="7">
        <v>562017.004</v>
      </c>
      <c r="L27" s="7">
        <v>511687.843</v>
      </c>
      <c r="N27" s="7">
        <v>136157.0</v>
      </c>
      <c r="O27" s="7">
        <v>137885.694</v>
      </c>
      <c r="P27" s="7">
        <v>139341.628</v>
      </c>
      <c r="Q27" s="7">
        <v>147905.307</v>
      </c>
      <c r="R27" s="7">
        <v>145497.341</v>
      </c>
      <c r="T27" s="7">
        <v>21547.906</v>
      </c>
      <c r="U27" s="7">
        <v>18839.548</v>
      </c>
      <c r="V27" s="7">
        <v>19551.21</v>
      </c>
      <c r="W27" s="7">
        <v>20662.836</v>
      </c>
      <c r="Y27" s="7">
        <v>0.0</v>
      </c>
      <c r="Z27" s="7">
        <v>36906.73</v>
      </c>
      <c r="AA27" s="7">
        <v>37808.48</v>
      </c>
      <c r="AB27" s="7">
        <v>40624.254</v>
      </c>
    </row>
    <row r="28" ht="15.75" customHeight="1"/>
    <row r="29" ht="15.75" customHeight="1"/>
    <row r="30" ht="15.75" customHeight="1">
      <c r="A30" s="7" t="s">
        <v>180</v>
      </c>
      <c r="B30" s="7">
        <v>0.5256762102</v>
      </c>
      <c r="C30" s="7">
        <v>0.5327651084</v>
      </c>
      <c r="D30" s="7">
        <v>0.7159524315</v>
      </c>
      <c r="E30" s="7">
        <v>0.9887393241</v>
      </c>
      <c r="F30" s="7">
        <v>0.6969204446</v>
      </c>
      <c r="H30" s="7">
        <v>3.011858510605547</v>
      </c>
      <c r="I30" s="7">
        <v>2.082930100016763</v>
      </c>
      <c r="J30" s="7">
        <v>2.804097971027675</v>
      </c>
      <c r="K30" s="7">
        <v>2.695720282858438</v>
      </c>
      <c r="L30" s="7">
        <v>1.652543494487168</v>
      </c>
      <c r="N30" s="7">
        <v>4.477517568416842</v>
      </c>
      <c r="O30" s="7">
        <v>1.181950491383267</v>
      </c>
      <c r="P30" s="7">
        <v>1.292041188044804</v>
      </c>
      <c r="Q30" s="7">
        <v>1.296632780478579</v>
      </c>
      <c r="R30" s="7">
        <v>1.034574707499648</v>
      </c>
      <c r="T30" s="7">
        <v>0.421923692</v>
      </c>
      <c r="U30" s="7">
        <v>3.710148453</v>
      </c>
      <c r="V30" s="7">
        <v>1.6541428</v>
      </c>
      <c r="W30" s="7">
        <v>1.002943164</v>
      </c>
      <c r="Y30" s="7">
        <v>0.0</v>
      </c>
      <c r="Z30" s="7">
        <v>2.534582175975288</v>
      </c>
      <c r="AA30" s="7">
        <v>2.287955543261401</v>
      </c>
      <c r="AB30" s="7">
        <v>3.669319064502959</v>
      </c>
    </row>
    <row r="31" ht="15.75" customHeight="1">
      <c r="A31" s="7" t="s">
        <v>181</v>
      </c>
      <c r="B31" s="7">
        <v>0.5256748865</v>
      </c>
      <c r="C31" s="7">
        <v>0.5327649765</v>
      </c>
      <c r="D31" s="7">
        <v>0.7159524315</v>
      </c>
      <c r="E31" s="7">
        <v>0.9887393241</v>
      </c>
      <c r="F31" s="7">
        <v>0.6969204446</v>
      </c>
      <c r="H31" s="7">
        <v>2.316799556691192</v>
      </c>
      <c r="I31" s="7">
        <v>1.710517591402656</v>
      </c>
      <c r="J31" s="7">
        <v>2.458596986720796</v>
      </c>
      <c r="K31" s="7">
        <v>2.351057678447811</v>
      </c>
      <c r="L31" s="7">
        <v>1.307921648489968</v>
      </c>
      <c r="N31" s="7">
        <v>4.107266754270696</v>
      </c>
      <c r="O31" s="7">
        <v>0.8391152143010285</v>
      </c>
      <c r="P31" s="7">
        <v>0.9714902673105663</v>
      </c>
      <c r="Q31" s="7">
        <v>0.9002934990089023</v>
      </c>
      <c r="R31" s="7">
        <v>0.7943573361943805</v>
      </c>
      <c r="T31" s="7">
        <v>0.3361234532</v>
      </c>
      <c r="U31" s="7">
        <v>2.827811772</v>
      </c>
      <c r="V31" s="7">
        <v>1.448069746</v>
      </c>
      <c r="W31" s="7">
        <v>0.7604774685</v>
      </c>
      <c r="Y31" s="7">
        <v>0.0</v>
      </c>
      <c r="Z31" s="7">
        <v>1.954991302233107</v>
      </c>
      <c r="AA31" s="7">
        <v>1.624475592520748</v>
      </c>
      <c r="AB31" s="7">
        <v>2.729427033344836</v>
      </c>
    </row>
    <row r="32" ht="15.75" customHeight="1">
      <c r="A32" s="7" t="s">
        <v>182</v>
      </c>
      <c r="B32" s="7">
        <v>-19349.06</v>
      </c>
      <c r="C32" s="7">
        <v>-14161.591</v>
      </c>
      <c r="D32" s="7">
        <v>-10814.361</v>
      </c>
      <c r="E32" s="7">
        <v>-343.816</v>
      </c>
      <c r="F32" s="7">
        <v>-12578.515</v>
      </c>
      <c r="H32" s="7">
        <v>326756.0</v>
      </c>
      <c r="I32" s="7">
        <v>290718.0</v>
      </c>
      <c r="J32" s="7">
        <v>423593.4880000001</v>
      </c>
      <c r="K32" s="7">
        <v>470343.344</v>
      </c>
      <c r="L32" s="7">
        <v>288865.6350000002</v>
      </c>
      <c r="N32" s="7">
        <v>121733.98</v>
      </c>
      <c r="O32" s="7">
        <v>7749.933000000005</v>
      </c>
      <c r="P32" s="7">
        <v>15653.07300000001</v>
      </c>
      <c r="Q32" s="7">
        <v>18369.666</v>
      </c>
      <c r="R32" s="7">
        <v>2974.688999999998</v>
      </c>
      <c r="T32" s="7">
        <v>-23454.249</v>
      </c>
      <c r="U32" s="7">
        <v>16511.032</v>
      </c>
      <c r="V32" s="7">
        <v>16541.708</v>
      </c>
      <c r="W32" s="7">
        <v>64.584</v>
      </c>
      <c r="Y32" s="7">
        <v>4149.0</v>
      </c>
      <c r="Z32" s="7">
        <v>33822.406</v>
      </c>
      <c r="AA32" s="7">
        <v>26777.07099999999</v>
      </c>
      <c r="AB32" s="7">
        <v>39117.304</v>
      </c>
    </row>
    <row r="33" ht="15.75" customHeight="1"/>
    <row r="34" ht="15.75" customHeight="1"/>
    <row r="35" ht="15.75" customHeight="1">
      <c r="A35" s="7" t="s">
        <v>80</v>
      </c>
      <c r="B35" s="7">
        <v>319.0952017</v>
      </c>
      <c r="C35" s="7">
        <v>232.4978917</v>
      </c>
      <c r="D35" s="7">
        <v>323.7239761</v>
      </c>
      <c r="E35" s="7">
        <v>326.6842734</v>
      </c>
      <c r="F35" s="7">
        <v>281.4712951</v>
      </c>
      <c r="H35" s="7">
        <v>256.0012564228693</v>
      </c>
      <c r="I35" s="7">
        <v>239.3379144851658</v>
      </c>
      <c r="J35" s="7">
        <v>487.7780354973098</v>
      </c>
      <c r="K35" s="7">
        <v>488.4872945908197</v>
      </c>
      <c r="L35" s="7">
        <v>370.5991386277612</v>
      </c>
      <c r="N35" s="7">
        <v>2608.478109798471</v>
      </c>
      <c r="O35" s="7">
        <v>119.011663761571</v>
      </c>
      <c r="P35" s="7">
        <v>125.7865812390749</v>
      </c>
      <c r="Q35" s="7">
        <v>134.7020796948629</v>
      </c>
      <c r="R35" s="7">
        <v>165.7509414732379</v>
      </c>
      <c r="T35" s="7">
        <v>215.46244</v>
      </c>
      <c r="U35" s="7">
        <v>141.4068938</v>
      </c>
      <c r="V35" s="7">
        <v>262.411224</v>
      </c>
      <c r="W35" s="7">
        <v>106.7267216</v>
      </c>
      <c r="Y35" s="7">
        <v>0.0</v>
      </c>
      <c r="Z35" s="7">
        <v>281.7759333678515</v>
      </c>
      <c r="AA35" s="7">
        <v>205.372448028278</v>
      </c>
      <c r="AB35" s="7">
        <v>245.8948909434591</v>
      </c>
    </row>
    <row r="36" ht="15.75" customHeight="1">
      <c r="A36" s="7" t="s">
        <v>81</v>
      </c>
      <c r="B36" s="7">
        <v>0.001257210448</v>
      </c>
      <c r="C36" s="7">
        <v>1.114944162E-4</v>
      </c>
      <c r="D36" s="7">
        <v>0.0</v>
      </c>
      <c r="E36" s="7">
        <v>0.0</v>
      </c>
      <c r="F36" s="7">
        <v>0.0</v>
      </c>
      <c r="H36" s="7">
        <v>268.7454040470838</v>
      </c>
      <c r="I36" s="7">
        <v>178.571974339001</v>
      </c>
      <c r="J36" s="7">
        <v>125.365640167589</v>
      </c>
      <c r="K36" s="7">
        <v>140.1730387106049</v>
      </c>
      <c r="L36" s="7">
        <v>220.4105340685097</v>
      </c>
      <c r="N36" s="7">
        <v>1903.696450428396</v>
      </c>
      <c r="O36" s="7">
        <v>220.178585968109</v>
      </c>
      <c r="P36" s="7">
        <v>182.0506491473311</v>
      </c>
      <c r="Q36" s="7">
        <v>233.6860828271344</v>
      </c>
      <c r="R36" s="7">
        <v>218.5879081440311</v>
      </c>
      <c r="T36" s="7">
        <v>68.3308692</v>
      </c>
      <c r="U36" s="7">
        <v>59.94978773</v>
      </c>
      <c r="V36" s="7">
        <v>55.22823241</v>
      </c>
      <c r="W36" s="7">
        <v>57.27922412</v>
      </c>
      <c r="Y36" s="7">
        <v>0.0</v>
      </c>
      <c r="Z36" s="7">
        <v>166.4897964547686</v>
      </c>
      <c r="AA36" s="7">
        <v>134.8018917401686</v>
      </c>
      <c r="AB36" s="7">
        <v>134.3226520040445</v>
      </c>
    </row>
    <row r="37" ht="15.75" customHeight="1">
      <c r="A37" s="7" t="s">
        <v>82</v>
      </c>
      <c r="B37" s="7">
        <v>0.0</v>
      </c>
      <c r="C37" s="7">
        <v>0.0</v>
      </c>
      <c r="D37" s="7">
        <v>0.0</v>
      </c>
      <c r="E37" s="7">
        <v>0.0</v>
      </c>
      <c r="F37" s="7">
        <v>10.61884484</v>
      </c>
      <c r="H37" s="7">
        <v>64.75305556817665</v>
      </c>
      <c r="I37" s="7">
        <v>104.0787960071883</v>
      </c>
      <c r="J37" s="7">
        <v>81.38416443337523</v>
      </c>
      <c r="K37" s="7">
        <v>79.56793477054771</v>
      </c>
      <c r="L37" s="7">
        <v>97.66417100099612</v>
      </c>
      <c r="N37" s="7">
        <v>2303.316062176166</v>
      </c>
      <c r="O37" s="7">
        <v>124.7391125697245</v>
      </c>
      <c r="P37" s="7">
        <v>104.2014802173081</v>
      </c>
      <c r="Q37" s="7">
        <v>113.5944546657587</v>
      </c>
      <c r="R37" s="7">
        <v>233.4770569300534</v>
      </c>
      <c r="T37" s="7">
        <v>0.0</v>
      </c>
      <c r="U37" s="7">
        <v>0.0</v>
      </c>
      <c r="V37" s="7">
        <v>0.0</v>
      </c>
      <c r="W37" s="7">
        <v>26.23963318</v>
      </c>
      <c r="Y37" s="7">
        <v>0.0</v>
      </c>
      <c r="Z37" s="7">
        <v>84.60092731488402</v>
      </c>
      <c r="AA37" s="7">
        <v>84.11560015594158</v>
      </c>
      <c r="AB37" s="7">
        <v>114.946259717423</v>
      </c>
    </row>
    <row r="38" ht="15.75" customHeight="1"/>
    <row r="39" ht="15.75" customHeight="1"/>
    <row r="40" ht="15.75" customHeight="1">
      <c r="A40" s="7" t="s">
        <v>183</v>
      </c>
      <c r="B40" s="7">
        <v>319.0964589</v>
      </c>
      <c r="C40" s="7">
        <v>232.4980032</v>
      </c>
      <c r="D40" s="7">
        <v>323.7239761</v>
      </c>
      <c r="E40" s="7">
        <v>326.6842734</v>
      </c>
      <c r="F40" s="7">
        <v>270.8524503</v>
      </c>
      <c r="H40" s="7">
        <v>459.9936049017763</v>
      </c>
      <c r="I40" s="7">
        <v>313.8310928169785</v>
      </c>
      <c r="J40" s="7">
        <v>531.7595112315237</v>
      </c>
      <c r="K40" s="7">
        <v>549.0923985308768</v>
      </c>
      <c r="L40" s="7">
        <v>493.3455016952748</v>
      </c>
      <c r="N40" s="7">
        <v>2208.858498050702</v>
      </c>
      <c r="O40" s="7">
        <v>214.4511371599555</v>
      </c>
      <c r="P40" s="7">
        <v>203.6357501690979</v>
      </c>
      <c r="Q40" s="7">
        <v>254.7937078562386</v>
      </c>
      <c r="R40" s="7">
        <v>150.8617926872155</v>
      </c>
      <c r="T40" s="7">
        <v>283.7933092</v>
      </c>
      <c r="U40" s="7">
        <v>201.3566815</v>
      </c>
      <c r="V40" s="7">
        <v>317.6394564</v>
      </c>
      <c r="W40" s="7">
        <v>137.7663126</v>
      </c>
      <c r="Y40" s="7">
        <v>0.0</v>
      </c>
      <c r="Z40" s="7">
        <v>363.6648025077361</v>
      </c>
      <c r="AA40" s="7">
        <v>256.058739612505</v>
      </c>
      <c r="AB40" s="7">
        <v>265.2712832300805</v>
      </c>
    </row>
    <row r="41" ht="15.75" customHeight="1"/>
    <row r="42" ht="15.75" customHeight="1">
      <c r="A42" s="7" t="s">
        <v>184</v>
      </c>
      <c r="B42" s="7">
        <v>3.558452134</v>
      </c>
      <c r="C42" s="7">
        <v>2.697128625</v>
      </c>
      <c r="D42" s="7">
        <v>2.143275122</v>
      </c>
      <c r="E42" s="7">
        <v>1.843064962</v>
      </c>
      <c r="F42" s="7">
        <v>1.625471073</v>
      </c>
      <c r="H42" s="7">
        <v>1.05324074589108</v>
      </c>
      <c r="I42" s="7">
        <v>1.116006955576457</v>
      </c>
      <c r="J42" s="7">
        <v>1.115537709721308</v>
      </c>
      <c r="K42" s="7">
        <v>1.225823329359622</v>
      </c>
      <c r="L42" s="7">
        <v>1.480915881364803</v>
      </c>
      <c r="N42" s="7">
        <v>0.5944828396630361</v>
      </c>
      <c r="O42" s="7">
        <v>0.7363885770484645</v>
      </c>
      <c r="P42" s="7">
        <v>0.7345003389798204</v>
      </c>
      <c r="Q42" s="7">
        <v>0.7831492550838629</v>
      </c>
      <c r="R42" s="7">
        <v>0.971604725065044</v>
      </c>
      <c r="T42" s="7">
        <v>1.886513242</v>
      </c>
      <c r="U42" s="7">
        <v>0.3409986269</v>
      </c>
      <c r="V42" s="7">
        <v>1.303573027</v>
      </c>
      <c r="W42" s="7">
        <v>1.824281236</v>
      </c>
      <c r="Y42" s="7">
        <v>0.0</v>
      </c>
      <c r="Z42" s="7">
        <v>1.144151893164201</v>
      </c>
      <c r="AA42" s="7">
        <v>1.074691762271321</v>
      </c>
      <c r="AB42" s="7">
        <v>0.9628268373863555</v>
      </c>
    </row>
    <row r="43" ht="15.75" customHeight="1">
      <c r="A43" s="7" t="s">
        <v>185</v>
      </c>
      <c r="B43" s="7">
        <v>0.0</v>
      </c>
      <c r="C43" s="7">
        <v>0.0</v>
      </c>
      <c r="D43" s="7">
        <v>0.0</v>
      </c>
      <c r="E43" s="7">
        <v>0.0</v>
      </c>
      <c r="F43" s="7">
        <v>0.0</v>
      </c>
      <c r="H43" s="7">
        <v>0.843490585138692</v>
      </c>
      <c r="I43" s="7">
        <v>0.7977404992473285</v>
      </c>
      <c r="J43" s="7">
        <v>0.477138477407468</v>
      </c>
      <c r="K43" s="7">
        <v>0.5185597676329381</v>
      </c>
      <c r="L43" s="7">
        <v>0.7293311422292281</v>
      </c>
      <c r="N43" s="7">
        <v>0.3003150774473586</v>
      </c>
      <c r="O43" s="7">
        <v>0.2913562374353354</v>
      </c>
      <c r="P43" s="7">
        <v>0.2124674185664029</v>
      </c>
      <c r="Q43" s="7">
        <v>0.2525126633894212</v>
      </c>
      <c r="R43" s="7">
        <v>0.413408489712537</v>
      </c>
      <c r="T43" s="7">
        <v>0.0</v>
      </c>
      <c r="U43" s="7">
        <v>0.0</v>
      </c>
      <c r="V43" s="7">
        <v>0.0</v>
      </c>
      <c r="W43" s="7">
        <v>0.0</v>
      </c>
      <c r="Y43" s="7">
        <v>0.0</v>
      </c>
      <c r="Z43" s="7">
        <v>0.7225282218175385</v>
      </c>
      <c r="AA43" s="7">
        <v>0.485233947516536</v>
      </c>
      <c r="AB43" s="7">
        <v>0.2679316646651529</v>
      </c>
    </row>
    <row r="44" ht="15.75" customHeight="1">
      <c r="A44" s="7" t="s">
        <v>186</v>
      </c>
      <c r="B44" s="7">
        <v>3.550247456</v>
      </c>
      <c r="C44" s="7">
        <v>2.670021985</v>
      </c>
      <c r="D44" s="7">
        <v>1.946250184</v>
      </c>
      <c r="E44" s="7">
        <v>1.513524496</v>
      </c>
      <c r="F44" s="7">
        <v>1.325427989</v>
      </c>
      <c r="H44" s="7">
        <v>0.05817567732935217</v>
      </c>
      <c r="I44" s="7">
        <v>0.06579983821278204</v>
      </c>
      <c r="J44" s="7">
        <v>0.102665510830929</v>
      </c>
      <c r="K44" s="7">
        <v>0.1229465060811577</v>
      </c>
      <c r="L44" s="7">
        <v>0.139442193079424</v>
      </c>
      <c r="N44" s="7">
        <v>0.05175642824092775</v>
      </c>
      <c r="O44" s="7">
        <v>0.05304917274449081</v>
      </c>
      <c r="P44" s="7">
        <v>0.0682032436136027</v>
      </c>
      <c r="Q44" s="7">
        <v>0.05200965506937491</v>
      </c>
      <c r="R44" s="7">
        <v>0.06184839487891396</v>
      </c>
      <c r="T44" s="7">
        <v>1.869051545</v>
      </c>
      <c r="U44" s="7">
        <v>0.3094509486</v>
      </c>
      <c r="V44" s="7">
        <v>1.246280972</v>
      </c>
      <c r="W44" s="7">
        <v>1.496990103</v>
      </c>
      <c r="Y44" s="7">
        <v>0.0</v>
      </c>
      <c r="Z44" s="7">
        <v>0.02217660573017442</v>
      </c>
      <c r="AA44" s="7">
        <v>0.05723792651807215</v>
      </c>
      <c r="AB44" s="7">
        <v>0.0</v>
      </c>
    </row>
    <row r="45" ht="15.75" customHeight="1">
      <c r="A45" s="7" t="s">
        <v>187</v>
      </c>
    </row>
    <row r="46" ht="15.75" customHeight="1">
      <c r="A46" s="7" t="s">
        <v>188</v>
      </c>
      <c r="B46" s="7">
        <v>1.00655725</v>
      </c>
      <c r="C46" s="7">
        <v>0.1680688457</v>
      </c>
      <c r="D46" s="7">
        <v>0.2331312541</v>
      </c>
      <c r="E46" s="7">
        <v>0.2169159225</v>
      </c>
      <c r="F46" s="7">
        <v>0.129901132</v>
      </c>
      <c r="H46" s="7">
        <v>0.04324183611488734</v>
      </c>
      <c r="I46" s="7">
        <v>0.04546602999220788</v>
      </c>
      <c r="J46" s="7">
        <v>0.03067936434316691</v>
      </c>
      <c r="K46" s="7">
        <v>0.01283760268577212</v>
      </c>
      <c r="L46" s="7">
        <v>0.005607463038098205</v>
      </c>
      <c r="N46" s="7">
        <v>-0.02200401007660275</v>
      </c>
      <c r="O46" s="7">
        <v>0.009253722869901167</v>
      </c>
      <c r="P46" s="7">
        <v>0.01856016782005738</v>
      </c>
      <c r="Q46" s="7">
        <v>0.03090701133529982</v>
      </c>
      <c r="R46" s="7">
        <v>-0.02598775556546647</v>
      </c>
      <c r="T46" s="7">
        <v>-0.001647677505</v>
      </c>
      <c r="U46" s="7">
        <v>-0.1437591815</v>
      </c>
      <c r="V46" s="7">
        <v>0.03639984431</v>
      </c>
      <c r="W46" s="7">
        <v>0.07173110216</v>
      </c>
      <c r="Y46" s="7">
        <v>0.0</v>
      </c>
      <c r="Z46" s="7">
        <v>0.03143795183154938</v>
      </c>
      <c r="AA46" s="7">
        <v>0.02346664028810458</v>
      </c>
      <c r="AB46" s="7">
        <v>0.07307260337629827</v>
      </c>
    </row>
    <row r="47" ht="15.75" customHeight="1">
      <c r="A47" s="7" t="s">
        <v>189</v>
      </c>
      <c r="B47" s="7">
        <v>0.2208118684</v>
      </c>
      <c r="C47" s="7">
        <v>0.04545929093</v>
      </c>
      <c r="D47" s="7">
        <v>0.07416826242</v>
      </c>
      <c r="E47" s="7">
        <v>0.07629650583</v>
      </c>
      <c r="F47" s="7">
        <v>0.04947726651</v>
      </c>
      <c r="H47" s="7">
        <v>0.02106023332709982</v>
      </c>
      <c r="I47" s="7">
        <v>0.02148671103012595</v>
      </c>
      <c r="J47" s="7">
        <v>0.01450192270371227</v>
      </c>
      <c r="K47" s="7">
        <v>0.005767574863843998</v>
      </c>
      <c r="L47" s="7">
        <v>0.002260239083565149</v>
      </c>
      <c r="N47" s="7">
        <v>-0.01380002982943698</v>
      </c>
      <c r="O47" s="7">
        <v>0.005329292643488109</v>
      </c>
      <c r="P47" s="7">
        <v>0.01070058471765644</v>
      </c>
      <c r="Q47" s="7">
        <v>0.01733282351277221</v>
      </c>
      <c r="R47" s="7">
        <v>-0.01318101708475522</v>
      </c>
      <c r="T47" s="7">
        <v>-5.708193129E-4</v>
      </c>
      <c r="U47" s="7">
        <v>-0.1072007238</v>
      </c>
      <c r="V47" s="7">
        <v>0.01580147184</v>
      </c>
      <c r="W47" s="7">
        <v>0.02539800738</v>
      </c>
      <c r="Y47" s="7">
        <v>0.0</v>
      </c>
      <c r="Z47" s="7">
        <v>0.01466218504937879</v>
      </c>
      <c r="AA47" s="7">
        <v>0.01131090445089244</v>
      </c>
      <c r="AB47" s="7">
        <v>0.03722824753792326</v>
      </c>
    </row>
    <row r="48" ht="15.75" customHeight="1">
      <c r="A48" s="7" t="s">
        <v>190</v>
      </c>
      <c r="B48" s="7">
        <v>14418.686</v>
      </c>
      <c r="C48" s="7">
        <v>2893.883</v>
      </c>
      <c r="D48" s="7">
        <v>5234.476</v>
      </c>
      <c r="E48" s="7">
        <v>6219.504</v>
      </c>
      <c r="F48" s="7">
        <v>3790.438</v>
      </c>
      <c r="H48" s="7">
        <v>55422.0</v>
      </c>
      <c r="I48" s="7">
        <v>49227.0</v>
      </c>
      <c r="J48" s="7">
        <v>39552.46299999996</v>
      </c>
      <c r="K48" s="7">
        <v>32077.02</v>
      </c>
      <c r="L48" s="7">
        <v>43794.46600000002</v>
      </c>
      <c r="N48" s="7">
        <v>-2481.0</v>
      </c>
      <c r="O48" s="7">
        <v>6022.186999999994</v>
      </c>
      <c r="P48" s="7">
        <v>5992.457000000006</v>
      </c>
      <c r="Q48" s="7">
        <v>8775.025</v>
      </c>
      <c r="R48" s="7">
        <v>6049.452000000008</v>
      </c>
      <c r="T48" s="7">
        <v>-35.504</v>
      </c>
      <c r="U48" s="7">
        <v>-2708.358</v>
      </c>
      <c r="V48" s="7">
        <v>962.143</v>
      </c>
      <c r="W48" s="7">
        <v>1111.626</v>
      </c>
      <c r="Y48" s="7">
        <v>0.0</v>
      </c>
      <c r="Z48" s="7">
        <v>4038.451999999998</v>
      </c>
      <c r="AA48" s="7">
        <v>5892.765999999996</v>
      </c>
      <c r="AB48" s="7">
        <v>8517.152999999998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11" width="8.71"/>
  </cols>
  <sheetData>
    <row r="1">
      <c r="A1" s="30"/>
      <c r="B1" s="31"/>
      <c r="C1" s="31"/>
      <c r="D1" s="31"/>
      <c r="E1" s="31"/>
      <c r="F1" s="31"/>
      <c r="G1" s="31"/>
      <c r="H1" s="31"/>
      <c r="I1" s="30"/>
      <c r="J1" s="31"/>
      <c r="K1" s="31" t="s">
        <v>191</v>
      </c>
      <c r="L1" s="31"/>
      <c r="M1" s="31"/>
      <c r="N1" s="31"/>
      <c r="O1" s="31"/>
      <c r="P1" s="31"/>
      <c r="Q1" s="30"/>
      <c r="R1" s="31"/>
      <c r="S1" s="31" t="s">
        <v>192</v>
      </c>
      <c r="T1" s="31"/>
      <c r="U1" s="31"/>
      <c r="V1" s="31"/>
      <c r="W1" s="31"/>
      <c r="X1" s="31"/>
      <c r="Y1" s="30"/>
      <c r="Z1" s="32" t="s">
        <v>174</v>
      </c>
      <c r="AA1" s="31"/>
      <c r="AB1" s="31"/>
      <c r="AC1" s="31"/>
      <c r="AD1" s="31"/>
      <c r="AE1" s="31"/>
      <c r="AF1" s="31"/>
      <c r="AG1" s="32" t="s">
        <v>175</v>
      </c>
      <c r="AH1" s="31"/>
      <c r="AI1" s="31"/>
      <c r="AJ1" s="31"/>
      <c r="AK1" s="31"/>
      <c r="AL1" s="31"/>
      <c r="AM1" s="31"/>
      <c r="AN1" s="31"/>
      <c r="AO1" s="31" t="s">
        <v>5</v>
      </c>
      <c r="AP1" s="31"/>
      <c r="AQ1" s="31"/>
      <c r="AR1" s="31"/>
      <c r="AS1" s="31"/>
      <c r="AT1" s="31"/>
      <c r="AU1" s="31" t="s">
        <v>193</v>
      </c>
      <c r="AV1" s="31"/>
      <c r="AW1" s="31"/>
      <c r="AX1" s="31"/>
      <c r="AY1" s="31"/>
      <c r="AZ1" s="31" t="s">
        <v>194</v>
      </c>
      <c r="BA1" s="31"/>
      <c r="BB1" s="31"/>
      <c r="BC1" s="31"/>
      <c r="BD1" s="31"/>
      <c r="BE1" s="31"/>
      <c r="BF1" s="31" t="s">
        <v>195</v>
      </c>
      <c r="BG1" s="31"/>
      <c r="BH1" s="31"/>
      <c r="BI1" s="31"/>
      <c r="BJ1" s="31"/>
      <c r="BK1" s="31"/>
      <c r="BL1" s="31" t="s">
        <v>196</v>
      </c>
      <c r="BM1" s="31"/>
      <c r="BN1" s="31"/>
      <c r="BO1" s="31"/>
      <c r="BP1" s="31"/>
      <c r="BQ1" s="31"/>
      <c r="BR1" s="31" t="s">
        <v>197</v>
      </c>
      <c r="BS1" s="31"/>
      <c r="BT1" s="31"/>
      <c r="BU1" s="31"/>
      <c r="BV1" s="31"/>
      <c r="BW1" s="31"/>
      <c r="BX1" s="31"/>
      <c r="BY1" s="31" t="s">
        <v>11</v>
      </c>
      <c r="BZ1" s="31"/>
      <c r="CA1" s="31"/>
      <c r="CB1" s="31"/>
      <c r="CC1" s="31"/>
      <c r="CD1" s="31"/>
      <c r="CE1" s="31"/>
      <c r="CF1" s="31" t="s">
        <v>198</v>
      </c>
      <c r="CG1" s="31"/>
      <c r="CH1" s="31"/>
      <c r="CI1" s="31"/>
      <c r="CJ1" s="31"/>
      <c r="CK1" s="31"/>
      <c r="CL1" s="31" t="s">
        <v>13</v>
      </c>
      <c r="CM1" s="31"/>
      <c r="CN1" s="31"/>
      <c r="CO1" s="31"/>
      <c r="CP1" s="33"/>
      <c r="CQ1" s="33"/>
      <c r="CR1" s="34" t="s">
        <v>14</v>
      </c>
      <c r="CS1" s="34"/>
      <c r="CT1" s="34"/>
      <c r="CU1" s="34"/>
      <c r="CV1" s="34"/>
      <c r="CW1" s="34" t="s">
        <v>199</v>
      </c>
      <c r="CX1" s="33"/>
      <c r="CY1" s="33"/>
      <c r="CZ1" s="33"/>
      <c r="DA1" s="31"/>
      <c r="DB1" s="31"/>
      <c r="DC1" s="31"/>
      <c r="DD1" s="31"/>
      <c r="DE1" s="31"/>
      <c r="DF1" s="31"/>
      <c r="DG1" s="31"/>
    </row>
    <row r="2">
      <c r="A2" s="35" t="s">
        <v>171</v>
      </c>
      <c r="B2" s="36"/>
      <c r="C2" s="37">
        <v>2020.0</v>
      </c>
      <c r="D2" s="37">
        <v>2021.0</v>
      </c>
      <c r="E2" s="37">
        <v>2022.0</v>
      </c>
      <c r="F2" s="37">
        <v>2023.0</v>
      </c>
      <c r="G2" s="37">
        <v>2024.0</v>
      </c>
      <c r="H2" s="36"/>
      <c r="I2" s="35" t="s">
        <v>172</v>
      </c>
      <c r="J2" s="36"/>
      <c r="K2" s="37">
        <v>2020.0</v>
      </c>
      <c r="L2" s="37">
        <v>2021.0</v>
      </c>
      <c r="M2" s="37">
        <v>2022.0</v>
      </c>
      <c r="N2" s="37">
        <v>2023.0</v>
      </c>
      <c r="O2" s="37">
        <v>2024.0</v>
      </c>
      <c r="P2" s="36"/>
      <c r="Q2" s="35" t="s">
        <v>173</v>
      </c>
      <c r="R2" s="36"/>
      <c r="S2" s="37">
        <v>2020.0</v>
      </c>
      <c r="T2" s="37">
        <v>2021.0</v>
      </c>
      <c r="U2" s="37">
        <v>2022.0</v>
      </c>
      <c r="V2" s="37">
        <v>2023.0</v>
      </c>
      <c r="W2" s="37">
        <v>2024.0</v>
      </c>
      <c r="X2" s="36"/>
      <c r="Y2" s="35" t="s">
        <v>174</v>
      </c>
      <c r="Z2" s="36"/>
      <c r="AA2" s="37">
        <v>2021.0</v>
      </c>
      <c r="AB2" s="37">
        <v>2022.0</v>
      </c>
      <c r="AC2" s="37">
        <v>2023.0</v>
      </c>
      <c r="AD2" s="37">
        <v>2024.0</v>
      </c>
      <c r="AE2" s="36"/>
      <c r="AF2" s="36" t="s">
        <v>175</v>
      </c>
      <c r="AG2" s="36"/>
      <c r="AH2" s="37">
        <v>2021.0</v>
      </c>
      <c r="AI2" s="37">
        <v>2022.0</v>
      </c>
      <c r="AJ2" s="37">
        <v>2023.0</v>
      </c>
      <c r="AK2" s="37">
        <v>2024.0</v>
      </c>
      <c r="AL2" s="36"/>
      <c r="AM2" s="36" t="s">
        <v>200</v>
      </c>
      <c r="AN2" s="36"/>
      <c r="AO2" s="36">
        <v>2021.0</v>
      </c>
      <c r="AP2" s="36">
        <v>2022.0</v>
      </c>
      <c r="AQ2" s="36">
        <v>2023.0</v>
      </c>
      <c r="AR2" s="36"/>
      <c r="AS2" s="36" t="s">
        <v>193</v>
      </c>
      <c r="AT2" s="36"/>
      <c r="AU2" s="38" t="s">
        <v>19</v>
      </c>
      <c r="AV2" s="38" t="s">
        <v>20</v>
      </c>
      <c r="AW2" s="36"/>
      <c r="AX2" s="36" t="s">
        <v>194</v>
      </c>
      <c r="AY2" s="36"/>
      <c r="AZ2" s="38" t="s">
        <v>18</v>
      </c>
      <c r="BA2" s="38" t="s">
        <v>19</v>
      </c>
      <c r="BB2" s="38" t="s">
        <v>20</v>
      </c>
      <c r="BC2" s="36"/>
      <c r="BD2" s="36" t="s">
        <v>195</v>
      </c>
      <c r="BE2" s="36"/>
      <c r="BF2" s="38" t="s">
        <v>19</v>
      </c>
      <c r="BG2" s="38" t="s">
        <v>20</v>
      </c>
      <c r="BH2" s="38" t="s">
        <v>21</v>
      </c>
      <c r="BI2" s="36"/>
      <c r="BJ2" s="36" t="s">
        <v>196</v>
      </c>
      <c r="BK2" s="36"/>
      <c r="BL2" s="38" t="s">
        <v>19</v>
      </c>
      <c r="BM2" s="38" t="s">
        <v>20</v>
      </c>
      <c r="BN2" s="38" t="s">
        <v>21</v>
      </c>
      <c r="BO2" s="36"/>
      <c r="BP2" s="36" t="s">
        <v>201</v>
      </c>
      <c r="BQ2" s="36"/>
      <c r="BR2" s="38" t="s">
        <v>17</v>
      </c>
      <c r="BS2" s="38" t="s">
        <v>18</v>
      </c>
      <c r="BT2" s="38" t="s">
        <v>19</v>
      </c>
      <c r="BU2" s="38" t="s">
        <v>20</v>
      </c>
      <c r="BV2" s="36"/>
      <c r="BW2" s="36" t="s">
        <v>202</v>
      </c>
      <c r="BX2" s="36"/>
      <c r="BY2" s="38" t="s">
        <v>18</v>
      </c>
      <c r="BZ2" s="38" t="s">
        <v>19</v>
      </c>
      <c r="CA2" s="38" t="s">
        <v>20</v>
      </c>
      <c r="CB2" s="38" t="s">
        <v>21</v>
      </c>
      <c r="CC2" s="36"/>
      <c r="CD2" s="36" t="s">
        <v>203</v>
      </c>
      <c r="CE2" s="36"/>
      <c r="CF2" s="38" t="s">
        <v>19</v>
      </c>
      <c r="CG2" s="38" t="s">
        <v>20</v>
      </c>
      <c r="CH2" s="38" t="s">
        <v>21</v>
      </c>
      <c r="CI2" s="36"/>
      <c r="CJ2" s="36" t="s">
        <v>204</v>
      </c>
      <c r="CK2" s="36"/>
      <c r="CL2" s="38" t="s">
        <v>18</v>
      </c>
      <c r="CM2" s="38" t="s">
        <v>19</v>
      </c>
      <c r="CN2" s="38" t="s">
        <v>20</v>
      </c>
      <c r="CO2" s="39"/>
      <c r="CP2" s="38" t="s">
        <v>205</v>
      </c>
      <c r="CQ2" s="38"/>
      <c r="CR2" s="38" t="s">
        <v>18</v>
      </c>
      <c r="CS2" s="38" t="s">
        <v>19</v>
      </c>
      <c r="CT2" s="38"/>
      <c r="CU2" s="40" t="s">
        <v>206</v>
      </c>
      <c r="CV2" s="38"/>
      <c r="CW2" s="38" t="s">
        <v>18</v>
      </c>
      <c r="CX2" s="38" t="s">
        <v>19</v>
      </c>
      <c r="CY2" s="38" t="s">
        <v>20</v>
      </c>
      <c r="CZ2" s="38" t="s">
        <v>21</v>
      </c>
      <c r="DA2" s="39"/>
      <c r="DB2" s="39"/>
      <c r="DC2" s="39"/>
      <c r="DD2" s="39"/>
      <c r="DE2" s="39"/>
      <c r="DF2" s="39"/>
      <c r="DG2" s="39"/>
    </row>
    <row r="3">
      <c r="A3" s="41"/>
      <c r="B3" s="11"/>
      <c r="C3" s="11"/>
      <c r="D3" s="11"/>
      <c r="E3" s="11"/>
      <c r="F3" s="11"/>
      <c r="G3" s="11"/>
      <c r="H3" s="11"/>
      <c r="I3" s="41"/>
      <c r="J3" s="11"/>
      <c r="K3" s="11"/>
      <c r="L3" s="11"/>
      <c r="M3" s="11"/>
      <c r="N3" s="11"/>
      <c r="O3" s="11"/>
      <c r="P3" s="11"/>
      <c r="Q3" s="41"/>
      <c r="R3" s="11"/>
      <c r="S3" s="11"/>
      <c r="T3" s="11"/>
      <c r="U3" s="11"/>
      <c r="V3" s="11"/>
      <c r="W3" s="11"/>
      <c r="X3" s="11"/>
      <c r="Y3" s="4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40"/>
      <c r="CQ3" s="40"/>
      <c r="CR3" s="40"/>
      <c r="CS3" s="40"/>
      <c r="CT3" s="40"/>
      <c r="CU3" s="40"/>
      <c r="CV3" s="40"/>
      <c r="CW3" s="40"/>
      <c r="CX3" s="40"/>
      <c r="CY3" s="40"/>
      <c r="CZ3" s="40"/>
      <c r="DA3" s="11"/>
      <c r="DB3" s="11"/>
      <c r="DC3" s="11"/>
      <c r="DD3" s="11"/>
      <c r="DE3" s="11"/>
      <c r="DF3" s="11"/>
      <c r="DG3" s="11"/>
    </row>
    <row r="4">
      <c r="A4" s="41" t="s">
        <v>207</v>
      </c>
      <c r="B4" s="11"/>
      <c r="C4" s="41">
        <v>12.0</v>
      </c>
      <c r="D4" s="41">
        <v>12.0</v>
      </c>
      <c r="E4" s="41">
        <v>12.0</v>
      </c>
      <c r="F4" s="41">
        <v>12.0</v>
      </c>
      <c r="G4" s="41">
        <v>9.0</v>
      </c>
      <c r="H4" s="41"/>
      <c r="I4" s="41"/>
      <c r="J4" s="41"/>
      <c r="K4" s="41">
        <v>12.0</v>
      </c>
      <c r="L4" s="41">
        <v>12.0</v>
      </c>
      <c r="M4" s="41">
        <v>12.0</v>
      </c>
      <c r="N4" s="41">
        <v>12.0</v>
      </c>
      <c r="O4" s="41">
        <v>9.0</v>
      </c>
      <c r="P4" s="41"/>
      <c r="Q4" s="41"/>
      <c r="R4" s="41"/>
      <c r="S4" s="41">
        <v>12.0</v>
      </c>
      <c r="T4" s="41">
        <v>12.0</v>
      </c>
      <c r="U4" s="41">
        <v>12.0</v>
      </c>
      <c r="V4" s="41">
        <v>12.0</v>
      </c>
      <c r="W4" s="41">
        <v>9.0</v>
      </c>
      <c r="X4" s="41"/>
      <c r="Y4" s="41"/>
      <c r="Z4" s="41"/>
      <c r="AA4" s="41">
        <v>12.0</v>
      </c>
      <c r="AB4" s="41">
        <v>12.0</v>
      </c>
      <c r="AC4" s="41">
        <v>12.0</v>
      </c>
      <c r="AD4" s="41">
        <v>9.0</v>
      </c>
      <c r="AE4" s="41"/>
      <c r="AF4" s="41"/>
      <c r="AG4" s="41"/>
      <c r="AH4" s="41">
        <v>12.0</v>
      </c>
      <c r="AI4" s="41">
        <v>12.0</v>
      </c>
      <c r="AJ4" s="41">
        <v>12.0</v>
      </c>
      <c r="AK4" s="41">
        <v>12.0</v>
      </c>
      <c r="AL4" s="41"/>
      <c r="AM4" s="41"/>
      <c r="AN4" s="41"/>
      <c r="AO4" s="41">
        <v>12.0</v>
      </c>
      <c r="AP4" s="41">
        <v>12.0</v>
      </c>
      <c r="AQ4" s="41">
        <v>6.0</v>
      </c>
      <c r="AR4" s="41"/>
      <c r="AS4" s="41"/>
      <c r="AT4" s="41"/>
      <c r="AU4" s="41">
        <v>12.0</v>
      </c>
      <c r="AV4" s="41">
        <v>8.0</v>
      </c>
      <c r="AW4" s="41"/>
      <c r="AX4" s="41"/>
      <c r="AY4" s="41"/>
      <c r="AZ4" s="41">
        <v>12.0</v>
      </c>
      <c r="BA4" s="41">
        <v>12.0</v>
      </c>
      <c r="BB4" s="41">
        <v>6.0</v>
      </c>
      <c r="BC4" s="41"/>
      <c r="BD4" s="41"/>
      <c r="BE4" s="41"/>
      <c r="BF4" s="41">
        <v>12.0</v>
      </c>
      <c r="BG4" s="41">
        <v>12.0</v>
      </c>
      <c r="BH4" s="41">
        <v>3.0</v>
      </c>
      <c r="BI4" s="41"/>
      <c r="BJ4" s="41"/>
      <c r="BK4" s="41"/>
      <c r="BL4" s="41">
        <v>12.0</v>
      </c>
      <c r="BM4" s="41">
        <v>12.0</v>
      </c>
      <c r="BN4" s="41">
        <v>12.0</v>
      </c>
      <c r="BO4" s="41"/>
      <c r="BP4" s="41"/>
      <c r="BQ4" s="41"/>
      <c r="BR4" s="41">
        <v>12.0</v>
      </c>
      <c r="BS4" s="41">
        <v>12.0</v>
      </c>
      <c r="BT4" s="41">
        <v>12.0</v>
      </c>
      <c r="BU4" s="41">
        <v>12.0</v>
      </c>
      <c r="BV4" s="41"/>
      <c r="BW4" s="41"/>
      <c r="BX4" s="41"/>
      <c r="BY4" s="41">
        <v>12.0</v>
      </c>
      <c r="BZ4" s="41">
        <v>12.0</v>
      </c>
      <c r="CA4" s="41">
        <v>12.0</v>
      </c>
      <c r="CB4" s="41">
        <v>12.0</v>
      </c>
      <c r="CC4" s="41"/>
      <c r="CD4" s="41"/>
      <c r="CE4" s="41"/>
      <c r="CF4" s="41">
        <v>12.0</v>
      </c>
      <c r="CG4" s="41">
        <v>12.0</v>
      </c>
      <c r="CH4" s="41">
        <v>12.0</v>
      </c>
      <c r="CI4" s="41"/>
      <c r="CJ4" s="41"/>
      <c r="CK4" s="41"/>
      <c r="CL4" s="41">
        <v>12.0</v>
      </c>
      <c r="CM4" s="41">
        <v>12.0</v>
      </c>
      <c r="CN4" s="41">
        <v>12.0</v>
      </c>
      <c r="CO4" s="41"/>
      <c r="CP4" s="42"/>
      <c r="CQ4" s="42"/>
      <c r="CR4" s="40">
        <v>12.0</v>
      </c>
      <c r="CS4" s="40">
        <v>12.0</v>
      </c>
      <c r="CT4" s="40"/>
      <c r="CU4" s="40"/>
      <c r="CV4" s="40"/>
      <c r="CW4" s="40">
        <v>12.0</v>
      </c>
      <c r="CX4" s="40">
        <v>12.0</v>
      </c>
      <c r="CY4" s="40">
        <v>12.0</v>
      </c>
      <c r="CZ4" s="40">
        <v>5.0</v>
      </c>
      <c r="DA4" s="41"/>
      <c r="DB4" s="41"/>
      <c r="DC4" s="41"/>
      <c r="DD4" s="41"/>
      <c r="DE4" s="41"/>
      <c r="DF4" s="41"/>
      <c r="DG4" s="41"/>
    </row>
    <row r="5">
      <c r="A5" s="41"/>
      <c r="B5" s="11"/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23</v>
      </c>
      <c r="H5" s="11"/>
      <c r="I5" s="41"/>
      <c r="J5" s="11"/>
      <c r="K5" s="11" t="s">
        <v>22</v>
      </c>
      <c r="L5" s="11" t="s">
        <v>22</v>
      </c>
      <c r="M5" s="11" t="s">
        <v>22</v>
      </c>
      <c r="N5" s="11" t="s">
        <v>22</v>
      </c>
      <c r="O5" s="11" t="s">
        <v>23</v>
      </c>
      <c r="P5" s="11"/>
      <c r="Q5" s="41"/>
      <c r="R5" s="11"/>
      <c r="S5" s="11" t="s">
        <v>22</v>
      </c>
      <c r="T5" s="11" t="s">
        <v>22</v>
      </c>
      <c r="U5" s="11" t="s">
        <v>22</v>
      </c>
      <c r="V5" s="11" t="s">
        <v>23</v>
      </c>
      <c r="W5" s="11" t="s">
        <v>23</v>
      </c>
      <c r="X5" s="11"/>
      <c r="Y5" s="41"/>
      <c r="Z5" s="11"/>
      <c r="AA5" s="11" t="s">
        <v>22</v>
      </c>
      <c r="AB5" s="11" t="s">
        <v>22</v>
      </c>
      <c r="AC5" s="11" t="s">
        <v>22</v>
      </c>
      <c r="AD5" s="11" t="s">
        <v>23</v>
      </c>
      <c r="AE5" s="11"/>
      <c r="AF5" s="11"/>
      <c r="AG5" s="11"/>
      <c r="AH5" s="11" t="s">
        <v>24</v>
      </c>
      <c r="AI5" s="11" t="s">
        <v>22</v>
      </c>
      <c r="AJ5" s="11" t="s">
        <v>22</v>
      </c>
      <c r="AK5" s="11" t="s">
        <v>23</v>
      </c>
      <c r="AL5" s="11"/>
      <c r="AM5" s="11"/>
      <c r="AN5" s="11"/>
      <c r="AO5" s="11" t="s">
        <v>22</v>
      </c>
      <c r="AP5" s="11" t="s">
        <v>22</v>
      </c>
      <c r="AQ5" s="11" t="s">
        <v>25</v>
      </c>
      <c r="AR5" s="11"/>
      <c r="AS5" s="11"/>
      <c r="AT5" s="11"/>
      <c r="AU5" s="11" t="s">
        <v>25</v>
      </c>
      <c r="AV5" s="11" t="s">
        <v>25</v>
      </c>
      <c r="AW5" s="11"/>
      <c r="AX5" s="11"/>
      <c r="AY5" s="11"/>
      <c r="AZ5" s="11" t="s">
        <v>22</v>
      </c>
      <c r="BA5" s="11" t="s">
        <v>22</v>
      </c>
      <c r="BB5" s="11" t="s">
        <v>25</v>
      </c>
      <c r="BC5" s="11"/>
      <c r="BD5" s="11"/>
      <c r="BE5" s="11"/>
      <c r="BF5" s="11" t="s">
        <v>25</v>
      </c>
      <c r="BG5" s="11" t="s">
        <v>25</v>
      </c>
      <c r="BH5" s="11" t="s">
        <v>25</v>
      </c>
      <c r="BI5" s="11"/>
      <c r="BJ5" s="11"/>
      <c r="BK5" s="11"/>
      <c r="BL5" s="11" t="s">
        <v>22</v>
      </c>
      <c r="BM5" s="11" t="s">
        <v>22</v>
      </c>
      <c r="BN5" s="11" t="s">
        <v>25</v>
      </c>
      <c r="BO5" s="11"/>
      <c r="BP5" s="11"/>
      <c r="BQ5" s="11"/>
      <c r="BR5" s="11" t="s">
        <v>22</v>
      </c>
      <c r="BS5" s="11" t="s">
        <v>22</v>
      </c>
      <c r="BT5" s="11" t="s">
        <v>22</v>
      </c>
      <c r="BU5" s="11" t="s">
        <v>22</v>
      </c>
      <c r="BV5" s="11"/>
      <c r="BW5" s="11"/>
      <c r="BX5" s="11"/>
      <c r="BY5" s="11" t="s">
        <v>22</v>
      </c>
      <c r="BZ5" s="11" t="s">
        <v>22</v>
      </c>
      <c r="CA5" s="11" t="s">
        <v>22</v>
      </c>
      <c r="CB5" s="11" t="s">
        <v>25</v>
      </c>
      <c r="CC5" s="11"/>
      <c r="CD5" s="11"/>
      <c r="CE5" s="11"/>
      <c r="CF5" s="11" t="s">
        <v>22</v>
      </c>
      <c r="CG5" s="11" t="s">
        <v>22</v>
      </c>
      <c r="CH5" s="11" t="s">
        <v>25</v>
      </c>
      <c r="CI5" s="11"/>
      <c r="CJ5" s="11"/>
      <c r="CK5" s="11"/>
      <c r="CL5" s="11" t="s">
        <v>25</v>
      </c>
      <c r="CM5" s="11" t="s">
        <v>25</v>
      </c>
      <c r="CN5" s="11" t="s">
        <v>25</v>
      </c>
      <c r="CO5" s="11"/>
      <c r="CP5" s="40"/>
      <c r="CQ5" s="40"/>
      <c r="CR5" s="40" t="s">
        <v>25</v>
      </c>
      <c r="CS5" s="40" t="s">
        <v>25</v>
      </c>
      <c r="CT5" s="40"/>
      <c r="CU5" s="40"/>
      <c r="CV5" s="40"/>
      <c r="CW5" s="40" t="s">
        <v>25</v>
      </c>
      <c r="CX5" s="40" t="s">
        <v>25</v>
      </c>
      <c r="CY5" s="40" t="s">
        <v>25</v>
      </c>
      <c r="CZ5" s="40" t="s">
        <v>25</v>
      </c>
      <c r="DA5" s="11"/>
      <c r="DB5" s="11"/>
      <c r="DC5" s="11"/>
      <c r="DD5" s="11"/>
      <c r="DE5" s="11"/>
      <c r="DF5" s="11"/>
      <c r="DG5" s="11"/>
    </row>
    <row r="6">
      <c r="A6" s="41"/>
      <c r="B6" s="11"/>
      <c r="C6" s="11" t="s">
        <v>208</v>
      </c>
      <c r="D6" s="11" t="s">
        <v>208</v>
      </c>
      <c r="E6" s="11" t="s">
        <v>208</v>
      </c>
      <c r="F6" s="11" t="s">
        <v>208</v>
      </c>
      <c r="G6" s="11" t="s">
        <v>53</v>
      </c>
      <c r="H6" s="11"/>
      <c r="I6" s="41"/>
      <c r="J6" s="11"/>
      <c r="K6" s="11" t="s">
        <v>209</v>
      </c>
      <c r="L6" s="11" t="s">
        <v>209</v>
      </c>
      <c r="M6" s="11" t="s">
        <v>208</v>
      </c>
      <c r="N6" s="11" t="s">
        <v>208</v>
      </c>
      <c r="O6" s="11" t="s">
        <v>210</v>
      </c>
      <c r="P6" s="11"/>
      <c r="Q6" s="41"/>
      <c r="R6" s="11"/>
      <c r="S6" s="11" t="s">
        <v>211</v>
      </c>
      <c r="T6" s="11" t="s">
        <v>208</v>
      </c>
      <c r="U6" s="11" t="s">
        <v>208</v>
      </c>
      <c r="V6" s="11" t="s">
        <v>208</v>
      </c>
      <c r="W6" s="11" t="s">
        <v>212</v>
      </c>
      <c r="X6" s="11"/>
      <c r="Y6" s="41"/>
      <c r="Z6" s="11"/>
      <c r="AA6" s="11"/>
      <c r="AB6" s="11" t="s">
        <v>208</v>
      </c>
      <c r="AC6" s="11" t="s">
        <v>208</v>
      </c>
      <c r="AD6" s="11" t="s">
        <v>213</v>
      </c>
      <c r="AE6" s="11"/>
      <c r="AF6" s="11"/>
      <c r="AG6" s="11"/>
      <c r="AH6" s="11"/>
      <c r="AI6" s="11" t="s">
        <v>214</v>
      </c>
      <c r="AJ6" s="11" t="s">
        <v>214</v>
      </c>
      <c r="AK6" s="11" t="s">
        <v>54</v>
      </c>
      <c r="AL6" s="11"/>
      <c r="AM6" s="11"/>
      <c r="AN6" s="11"/>
      <c r="AO6" s="11" t="s">
        <v>55</v>
      </c>
      <c r="AP6" s="11" t="s">
        <v>55</v>
      </c>
      <c r="AQ6" s="11" t="s">
        <v>215</v>
      </c>
      <c r="AR6" s="11"/>
      <c r="AS6" s="11"/>
      <c r="AT6" s="11"/>
      <c r="AU6" s="11" t="s">
        <v>56</v>
      </c>
      <c r="AV6" s="11" t="s">
        <v>56</v>
      </c>
      <c r="AW6" s="11"/>
      <c r="AX6" s="11"/>
      <c r="AY6" s="11"/>
      <c r="AZ6" s="11" t="s">
        <v>216</v>
      </c>
      <c r="BA6" s="11" t="s">
        <v>216</v>
      </c>
      <c r="BB6" s="11" t="s">
        <v>217</v>
      </c>
      <c r="BC6" s="11"/>
      <c r="BD6" s="11"/>
      <c r="BE6" s="11"/>
      <c r="BF6" s="11" t="s">
        <v>57</v>
      </c>
      <c r="BG6" s="11" t="s">
        <v>57</v>
      </c>
      <c r="BH6" s="11" t="s">
        <v>57</v>
      </c>
      <c r="BI6" s="11"/>
      <c r="BJ6" s="11"/>
      <c r="BK6" s="11"/>
      <c r="BL6" s="11" t="s">
        <v>58</v>
      </c>
      <c r="BM6" s="11" t="s">
        <v>58</v>
      </c>
      <c r="BN6" s="11" t="s">
        <v>218</v>
      </c>
      <c r="BO6" s="11"/>
      <c r="BP6" s="11"/>
      <c r="BQ6" s="11"/>
      <c r="BR6" s="11" t="s">
        <v>59</v>
      </c>
      <c r="BS6" s="11" t="s">
        <v>59</v>
      </c>
      <c r="BT6" s="11" t="s">
        <v>59</v>
      </c>
      <c r="BU6" s="11" t="s">
        <v>59</v>
      </c>
      <c r="BV6" s="11"/>
      <c r="BW6" s="11"/>
      <c r="BX6" s="11"/>
      <c r="BY6" s="11" t="s">
        <v>60</v>
      </c>
      <c r="BZ6" s="11" t="s">
        <v>60</v>
      </c>
      <c r="CA6" s="11" t="s">
        <v>60</v>
      </c>
      <c r="CB6" s="11" t="s">
        <v>219</v>
      </c>
      <c r="CC6" s="11"/>
      <c r="CD6" s="11"/>
      <c r="CE6" s="11"/>
      <c r="CF6" s="11" t="s">
        <v>58</v>
      </c>
      <c r="CG6" s="11" t="s">
        <v>58</v>
      </c>
      <c r="CH6" s="11" t="s">
        <v>220</v>
      </c>
      <c r="CI6" s="11"/>
      <c r="CJ6" s="11"/>
      <c r="CK6" s="11"/>
      <c r="CL6" s="11" t="s">
        <v>61</v>
      </c>
      <c r="CM6" s="11" t="s">
        <v>61</v>
      </c>
      <c r="CN6" s="11" t="s">
        <v>61</v>
      </c>
      <c r="CO6" s="11"/>
      <c r="CP6" s="40"/>
      <c r="CQ6" s="40"/>
      <c r="CR6" s="40" t="s">
        <v>62</v>
      </c>
      <c r="CS6" s="40" t="s">
        <v>62</v>
      </c>
      <c r="CT6" s="40"/>
      <c r="CU6" s="40"/>
      <c r="CV6" s="40"/>
      <c r="CW6" s="40" t="s">
        <v>62</v>
      </c>
      <c r="CX6" s="40" t="s">
        <v>62</v>
      </c>
      <c r="CY6" s="40" t="s">
        <v>62</v>
      </c>
      <c r="CZ6" s="40" t="s">
        <v>62</v>
      </c>
      <c r="DA6" s="11"/>
      <c r="DB6" s="11"/>
      <c r="DC6" s="11"/>
      <c r="DD6" s="11"/>
      <c r="DE6" s="11"/>
      <c r="DF6" s="11"/>
      <c r="DG6" s="11"/>
    </row>
    <row r="7">
      <c r="A7" s="41"/>
      <c r="B7" s="11"/>
      <c r="C7" s="11" t="s">
        <v>221</v>
      </c>
      <c r="D7" s="11" t="s">
        <v>221</v>
      </c>
      <c r="E7" s="11" t="s">
        <v>222</v>
      </c>
      <c r="F7" s="11" t="s">
        <v>223</v>
      </c>
      <c r="G7" s="11"/>
      <c r="H7" s="11"/>
      <c r="I7" s="41"/>
      <c r="J7" s="11"/>
      <c r="K7" s="11" t="s">
        <v>224</v>
      </c>
      <c r="L7" s="11" t="s">
        <v>224</v>
      </c>
      <c r="M7" s="11" t="s">
        <v>221</v>
      </c>
      <c r="N7" s="11" t="s">
        <v>222</v>
      </c>
      <c r="O7" s="11" t="s">
        <v>222</v>
      </c>
      <c r="P7" s="11"/>
      <c r="Q7" s="41"/>
      <c r="R7" s="11"/>
      <c r="S7" s="11" t="s">
        <v>222</v>
      </c>
      <c r="T7" s="11" t="s">
        <v>221</v>
      </c>
      <c r="U7" s="11" t="s">
        <v>222</v>
      </c>
      <c r="V7" s="11" t="s">
        <v>222</v>
      </c>
      <c r="W7" s="11" t="s">
        <v>222</v>
      </c>
      <c r="X7" s="11"/>
      <c r="Y7" s="41"/>
      <c r="Z7" s="11"/>
      <c r="AA7" s="11" t="s">
        <v>224</v>
      </c>
      <c r="AB7" s="11" t="s">
        <v>224</v>
      </c>
      <c r="AC7" s="11" t="s">
        <v>221</v>
      </c>
      <c r="AD7" s="11"/>
      <c r="AE7" s="11"/>
      <c r="AF7" s="11"/>
      <c r="AG7" s="11"/>
      <c r="AH7" s="11"/>
      <c r="AI7" s="11" t="s">
        <v>222</v>
      </c>
      <c r="AJ7" s="11" t="s">
        <v>222</v>
      </c>
      <c r="AK7" s="11" t="s">
        <v>222</v>
      </c>
      <c r="AL7" s="11"/>
      <c r="AM7" s="11"/>
      <c r="AN7" s="11" t="s">
        <v>225</v>
      </c>
      <c r="AO7" s="11" t="s">
        <v>222</v>
      </c>
      <c r="AP7" s="11" t="s">
        <v>222</v>
      </c>
      <c r="AQ7" s="11" t="s">
        <v>222</v>
      </c>
      <c r="AR7" s="11"/>
      <c r="AS7" s="11"/>
      <c r="AT7" s="11" t="s">
        <v>225</v>
      </c>
      <c r="AU7" s="11" t="s">
        <v>222</v>
      </c>
      <c r="AV7" s="11" t="s">
        <v>222</v>
      </c>
      <c r="AW7" s="11"/>
      <c r="AX7" s="11"/>
      <c r="AY7" s="11" t="s">
        <v>225</v>
      </c>
      <c r="AZ7" s="11" t="s">
        <v>222</v>
      </c>
      <c r="BA7" s="11" t="s">
        <v>222</v>
      </c>
      <c r="BB7" s="11" t="s">
        <v>222</v>
      </c>
      <c r="BC7" s="11"/>
      <c r="BD7" s="11"/>
      <c r="BE7" s="11" t="s">
        <v>225</v>
      </c>
      <c r="BF7" s="11" t="s">
        <v>226</v>
      </c>
      <c r="BG7" s="11" t="s">
        <v>226</v>
      </c>
      <c r="BH7" s="11" t="s">
        <v>226</v>
      </c>
      <c r="BI7" s="11"/>
      <c r="BJ7" s="11"/>
      <c r="BK7" s="11" t="s">
        <v>225</v>
      </c>
      <c r="BL7" s="11" t="s">
        <v>222</v>
      </c>
      <c r="BM7" s="11" t="s">
        <v>222</v>
      </c>
      <c r="BN7" s="11" t="s">
        <v>222</v>
      </c>
      <c r="BO7" s="11"/>
      <c r="BP7" s="11"/>
      <c r="BQ7" s="11" t="s">
        <v>225</v>
      </c>
      <c r="BR7" s="11" t="s">
        <v>226</v>
      </c>
      <c r="BS7" s="11" t="s">
        <v>226</v>
      </c>
      <c r="BT7" s="11" t="s">
        <v>226</v>
      </c>
      <c r="BU7" s="11" t="s">
        <v>226</v>
      </c>
      <c r="BV7" s="11"/>
      <c r="BW7" s="11"/>
      <c r="BX7" s="11" t="s">
        <v>225</v>
      </c>
      <c r="BY7" s="11" t="s">
        <v>227</v>
      </c>
      <c r="BZ7" s="11" t="s">
        <v>227</v>
      </c>
      <c r="CA7" s="11" t="s">
        <v>227</v>
      </c>
      <c r="CB7" s="11" t="s">
        <v>227</v>
      </c>
      <c r="CC7" s="11"/>
      <c r="CD7" s="11"/>
      <c r="CE7" s="11" t="s">
        <v>225</v>
      </c>
      <c r="CF7" s="11" t="s">
        <v>221</v>
      </c>
      <c r="CG7" s="11" t="s">
        <v>221</v>
      </c>
      <c r="CH7" s="11" t="s">
        <v>224</v>
      </c>
      <c r="CI7" s="11"/>
      <c r="CJ7" s="11"/>
      <c r="CK7" s="11" t="s">
        <v>225</v>
      </c>
      <c r="CL7" s="11" t="s">
        <v>224</v>
      </c>
      <c r="CM7" s="11" t="s">
        <v>224</v>
      </c>
      <c r="CN7" s="11" t="s">
        <v>224</v>
      </c>
      <c r="CO7" s="11"/>
      <c r="CP7" s="40"/>
      <c r="CQ7" s="40" t="s">
        <v>225</v>
      </c>
      <c r="CR7" s="40" t="s">
        <v>228</v>
      </c>
      <c r="CS7" s="40" t="s">
        <v>228</v>
      </c>
      <c r="CT7" s="40"/>
      <c r="CU7" s="40"/>
      <c r="CV7" s="40" t="s">
        <v>225</v>
      </c>
      <c r="CW7" s="40" t="s">
        <v>224</v>
      </c>
      <c r="CX7" s="40" t="s">
        <v>224</v>
      </c>
      <c r="CY7" s="40" t="s">
        <v>224</v>
      </c>
      <c r="CZ7" s="40" t="s">
        <v>224</v>
      </c>
      <c r="DA7" s="11"/>
      <c r="DB7" s="11"/>
      <c r="DC7" s="11"/>
      <c r="DD7" s="11"/>
      <c r="DE7" s="11"/>
      <c r="DF7" s="11"/>
      <c r="DG7" s="11"/>
    </row>
    <row r="8">
      <c r="A8" s="41"/>
      <c r="B8" s="11"/>
      <c r="C8" s="11"/>
      <c r="D8" s="11"/>
      <c r="E8" s="11"/>
      <c r="F8" s="11"/>
      <c r="G8" s="11"/>
      <c r="H8" s="11"/>
      <c r="I8" s="41"/>
      <c r="J8" s="11"/>
      <c r="K8" s="11"/>
      <c r="L8" s="11"/>
      <c r="M8" s="11"/>
      <c r="N8" s="11"/>
      <c r="O8" s="11"/>
      <c r="P8" s="11"/>
      <c r="Q8" s="41"/>
      <c r="R8" s="11"/>
      <c r="S8" s="11"/>
      <c r="T8" s="11"/>
      <c r="U8" s="11"/>
      <c r="V8" s="11"/>
      <c r="W8" s="11"/>
      <c r="X8" s="11"/>
      <c r="Y8" s="4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40"/>
      <c r="CQ8" s="40"/>
      <c r="CR8" s="43"/>
      <c r="CS8" s="43"/>
      <c r="CT8" s="40"/>
      <c r="CU8" s="40"/>
      <c r="CV8" s="40"/>
      <c r="CW8" s="43"/>
      <c r="CX8" s="43"/>
      <c r="CY8" s="43"/>
      <c r="CZ8" s="43"/>
      <c r="DA8" s="11"/>
      <c r="DB8" s="11"/>
      <c r="DC8" s="11"/>
      <c r="DD8" s="11"/>
      <c r="DE8" s="11"/>
      <c r="DF8" s="11"/>
      <c r="DG8" s="11"/>
    </row>
    <row r="9">
      <c r="A9" s="41" t="s">
        <v>229</v>
      </c>
      <c r="B9" s="11"/>
      <c r="C9" s="11"/>
      <c r="D9" s="11"/>
      <c r="E9" s="11"/>
      <c r="F9" s="11"/>
      <c r="G9" s="11"/>
      <c r="H9" s="11"/>
      <c r="I9" s="41" t="s">
        <v>229</v>
      </c>
      <c r="J9" s="11"/>
      <c r="K9" s="11"/>
      <c r="L9" s="11"/>
      <c r="M9" s="11"/>
      <c r="N9" s="11"/>
      <c r="O9" s="11"/>
      <c r="P9" s="11"/>
      <c r="Q9" s="41" t="s">
        <v>229</v>
      </c>
      <c r="R9" s="11"/>
      <c r="S9" s="11"/>
      <c r="T9" s="11"/>
      <c r="U9" s="11"/>
      <c r="V9" s="11"/>
      <c r="W9" s="11"/>
      <c r="X9" s="11"/>
      <c r="Y9" s="41" t="s">
        <v>229</v>
      </c>
      <c r="Z9" s="11"/>
      <c r="AA9" s="11"/>
      <c r="AB9" s="11"/>
      <c r="AC9" s="11"/>
      <c r="AD9" s="11"/>
      <c r="AE9" s="11"/>
      <c r="AF9" s="11" t="s">
        <v>229</v>
      </c>
      <c r="AG9" s="11"/>
      <c r="AH9" s="11"/>
      <c r="AI9" s="11"/>
      <c r="AJ9" s="11"/>
      <c r="AK9" s="11"/>
      <c r="AL9" s="11"/>
      <c r="AM9" s="11"/>
      <c r="AN9" s="11" t="s">
        <v>230</v>
      </c>
      <c r="AO9" s="11">
        <v>10.30216</v>
      </c>
      <c r="AP9" s="11">
        <v>10.38613</v>
      </c>
      <c r="AQ9" s="11">
        <v>0.17525</v>
      </c>
      <c r="AR9" s="11"/>
      <c r="AS9" s="11"/>
      <c r="AT9" s="11" t="s">
        <v>230</v>
      </c>
      <c r="AU9" s="11">
        <v>5.0</v>
      </c>
      <c r="AV9" s="11">
        <v>436.04914</v>
      </c>
      <c r="AW9" s="11"/>
      <c r="AX9" s="11"/>
      <c r="AY9" s="11" t="s">
        <v>230</v>
      </c>
      <c r="AZ9" s="11">
        <v>1508.79957</v>
      </c>
      <c r="BA9" s="11">
        <v>1898.98988</v>
      </c>
      <c r="BB9" s="11">
        <v>225.14835</v>
      </c>
      <c r="BC9" s="11"/>
      <c r="BD9" s="11"/>
      <c r="BE9" s="11" t="s">
        <v>230</v>
      </c>
      <c r="BF9" s="11">
        <v>1596.595</v>
      </c>
      <c r="BG9" s="11">
        <v>4454.011</v>
      </c>
      <c r="BH9" s="11">
        <v>4093.314</v>
      </c>
      <c r="BI9" s="11"/>
      <c r="BJ9" s="11"/>
      <c r="BK9" s="11" t="s">
        <v>230</v>
      </c>
      <c r="BL9" s="11">
        <v>2.445</v>
      </c>
      <c r="BM9" s="11">
        <v>21.376</v>
      </c>
      <c r="BN9" s="11">
        <v>117.504</v>
      </c>
      <c r="BO9" s="11"/>
      <c r="BP9" s="11"/>
      <c r="BQ9" s="11" t="s">
        <v>230</v>
      </c>
      <c r="BR9" s="11">
        <v>45.59096</v>
      </c>
      <c r="BS9" s="11">
        <v>870.80132</v>
      </c>
      <c r="BT9" s="11">
        <v>427.34899</v>
      </c>
      <c r="BU9" s="11">
        <v>633.43317</v>
      </c>
      <c r="BV9" s="11"/>
      <c r="BW9" s="11"/>
      <c r="BX9" s="11" t="s">
        <v>230</v>
      </c>
      <c r="BY9" s="11">
        <v>1303.768</v>
      </c>
      <c r="BZ9" s="11">
        <v>2309.794999999999</v>
      </c>
      <c r="CA9" s="11">
        <v>20734.921</v>
      </c>
      <c r="CB9" s="11">
        <v>2337.766</v>
      </c>
      <c r="CC9" s="11"/>
      <c r="CD9" s="11"/>
      <c r="CE9" s="11" t="s">
        <v>230</v>
      </c>
      <c r="CF9" s="11">
        <v>9195.344</v>
      </c>
      <c r="CG9" s="11">
        <v>8076.154</v>
      </c>
      <c r="CH9" s="11">
        <v>1070.0925</v>
      </c>
      <c r="CI9" s="11"/>
      <c r="CJ9" s="11"/>
      <c r="CK9" s="11" t="s">
        <v>230</v>
      </c>
      <c r="CL9" s="11">
        <v>27.097799</v>
      </c>
      <c r="CM9" s="11">
        <v>748.67315</v>
      </c>
      <c r="CN9" s="11">
        <v>671.82429</v>
      </c>
      <c r="CO9" s="11"/>
      <c r="CP9" s="44"/>
      <c r="CQ9" s="3" t="s">
        <v>230</v>
      </c>
      <c r="CR9" s="11">
        <v>117.925</v>
      </c>
      <c r="CS9" s="11">
        <v>236.32888</v>
      </c>
      <c r="CT9" s="11"/>
      <c r="CU9" s="11">
        <v>1.0</v>
      </c>
      <c r="CV9" s="11" t="s">
        <v>230</v>
      </c>
      <c r="CW9" s="11">
        <v>1783.163</v>
      </c>
      <c r="CX9" s="11">
        <v>829.43458</v>
      </c>
      <c r="CY9" s="11">
        <v>294.17044</v>
      </c>
      <c r="CZ9" s="11">
        <v>59.15145</v>
      </c>
    </row>
    <row r="10">
      <c r="A10" s="41">
        <v>1.0</v>
      </c>
      <c r="B10" s="11" t="s">
        <v>230</v>
      </c>
      <c r="C10" s="11">
        <v>219.281</v>
      </c>
      <c r="D10" s="11">
        <v>303.998</v>
      </c>
      <c r="E10" s="11">
        <v>467.822</v>
      </c>
      <c r="F10" s="11">
        <v>0.068</v>
      </c>
      <c r="G10" s="11">
        <v>388.108</v>
      </c>
      <c r="H10" s="11"/>
      <c r="I10" s="41">
        <v>1.0</v>
      </c>
      <c r="J10" s="11" t="s">
        <v>230</v>
      </c>
      <c r="K10" s="11">
        <v>14166.0</v>
      </c>
      <c r="L10" s="11">
        <v>26772.0</v>
      </c>
      <c r="M10" s="11">
        <v>38682.088</v>
      </c>
      <c r="N10" s="11">
        <v>13331.938</v>
      </c>
      <c r="O10" s="11">
        <v>10752.389</v>
      </c>
      <c r="P10" s="11"/>
      <c r="Q10" s="41">
        <v>1.0</v>
      </c>
      <c r="R10" s="11" t="s">
        <v>230</v>
      </c>
      <c r="S10" s="11">
        <v>3585.0</v>
      </c>
      <c r="T10" s="11">
        <v>6100.646</v>
      </c>
      <c r="U10" s="11">
        <v>8336.164</v>
      </c>
      <c r="V10" s="11">
        <v>5940.302</v>
      </c>
      <c r="W10" s="11">
        <v>6421.995</v>
      </c>
      <c r="X10" s="11"/>
      <c r="Y10" s="41">
        <v>1.0</v>
      </c>
      <c r="Z10" s="11" t="s">
        <v>230</v>
      </c>
      <c r="AA10" s="11">
        <v>197.63</v>
      </c>
      <c r="AB10" s="11">
        <v>364.578</v>
      </c>
      <c r="AC10" s="11">
        <v>46.361</v>
      </c>
      <c r="AD10" s="11">
        <v>50.182</v>
      </c>
      <c r="AE10" s="11"/>
      <c r="AF10" s="11"/>
      <c r="AG10" s="11" t="s">
        <v>230</v>
      </c>
      <c r="AH10" s="11">
        <v>0.0</v>
      </c>
      <c r="AI10" s="11">
        <v>765.951</v>
      </c>
      <c r="AJ10" s="11">
        <v>1011.194</v>
      </c>
      <c r="AK10" s="11">
        <v>101.049</v>
      </c>
      <c r="AL10" s="11"/>
      <c r="AM10" s="11"/>
      <c r="AN10" s="11" t="s">
        <v>231</v>
      </c>
      <c r="AO10" s="11">
        <v>15200.0</v>
      </c>
      <c r="AP10" s="11">
        <v>15200.0</v>
      </c>
      <c r="AQ10" s="11">
        <v>15200.0</v>
      </c>
      <c r="AR10" s="11"/>
      <c r="AS10" s="11"/>
      <c r="AT10" s="11" t="s">
        <v>232</v>
      </c>
      <c r="AU10" s="11">
        <v>0.0</v>
      </c>
      <c r="AV10" s="11">
        <v>8075.56474</v>
      </c>
      <c r="AW10" s="11"/>
      <c r="AX10" s="11"/>
      <c r="AY10" s="11" t="s">
        <v>231</v>
      </c>
      <c r="AZ10" s="11">
        <v>7239.19918</v>
      </c>
      <c r="BA10" s="11">
        <v>6368.213</v>
      </c>
      <c r="BB10" s="11">
        <v>6368.213</v>
      </c>
      <c r="BC10" s="11"/>
      <c r="BD10" s="11"/>
      <c r="BE10" s="11" t="s">
        <v>231</v>
      </c>
      <c r="BF10" s="11">
        <v>613.2</v>
      </c>
      <c r="BG10" s="11">
        <v>613.2</v>
      </c>
      <c r="BH10" s="11">
        <v>613.2</v>
      </c>
      <c r="BI10" s="11"/>
      <c r="BJ10" s="11"/>
      <c r="BK10" s="11" t="s">
        <v>231</v>
      </c>
      <c r="BL10" s="11">
        <v>459828.2</v>
      </c>
      <c r="BM10" s="11">
        <v>459828.2</v>
      </c>
      <c r="BN10" s="11">
        <v>416681.366</v>
      </c>
      <c r="BO10" s="11"/>
      <c r="BP10" s="11"/>
      <c r="BQ10" s="11" t="s">
        <v>231</v>
      </c>
      <c r="BR10" s="11">
        <v>0.0</v>
      </c>
      <c r="BS10" s="11">
        <v>8587.61042</v>
      </c>
      <c r="BT10" s="11">
        <v>11894.1411</v>
      </c>
      <c r="BU10" s="11">
        <v>15523.50272</v>
      </c>
      <c r="BV10" s="11"/>
      <c r="BW10" s="11"/>
      <c r="BX10" s="11" t="s">
        <v>231</v>
      </c>
      <c r="BY10" s="11">
        <v>509219.6459999999</v>
      </c>
      <c r="BZ10" s="11">
        <v>499513.1519999999</v>
      </c>
      <c r="CA10" s="11">
        <v>399411.107</v>
      </c>
      <c r="CB10" s="11">
        <v>205352.35198</v>
      </c>
      <c r="CC10" s="11"/>
      <c r="CD10" s="11"/>
      <c r="CE10" s="11" t="s">
        <v>231</v>
      </c>
      <c r="CF10" s="11">
        <v>23841.436</v>
      </c>
      <c r="CG10" s="11">
        <v>3333.333</v>
      </c>
      <c r="CH10" s="11">
        <v>45770.973</v>
      </c>
      <c r="CI10" s="11"/>
      <c r="CJ10" s="11"/>
      <c r="CK10" s="11" t="s">
        <v>232</v>
      </c>
      <c r="CL10" s="11">
        <v>5460.23366</v>
      </c>
      <c r="CM10" s="11">
        <v>3657.30785</v>
      </c>
      <c r="CN10" s="11">
        <v>3609.58553</v>
      </c>
      <c r="CO10" s="11"/>
      <c r="CP10" s="44"/>
      <c r="CQ10" s="3" t="s">
        <v>231</v>
      </c>
      <c r="CR10" s="11">
        <v>0.0</v>
      </c>
      <c r="CS10" s="11">
        <v>0.0</v>
      </c>
      <c r="CT10" s="11"/>
      <c r="CU10" s="11">
        <v>4.0</v>
      </c>
      <c r="CV10" s="11" t="s">
        <v>233</v>
      </c>
      <c r="CW10" s="11">
        <v>0.0</v>
      </c>
      <c r="CX10" s="11">
        <v>0.0</v>
      </c>
      <c r="CY10" s="11">
        <v>892.9099</v>
      </c>
      <c r="CZ10" s="11">
        <v>892.9099</v>
      </c>
    </row>
    <row r="11">
      <c r="A11" s="41">
        <v>3.0</v>
      </c>
      <c r="B11" s="11" t="s">
        <v>232</v>
      </c>
      <c r="C11" s="11">
        <v>0.0</v>
      </c>
      <c r="D11" s="11">
        <v>0.0</v>
      </c>
      <c r="E11" s="11">
        <v>387.652</v>
      </c>
      <c r="F11" s="11">
        <v>0.0</v>
      </c>
      <c r="G11" s="11">
        <v>0.0</v>
      </c>
      <c r="H11" s="11"/>
      <c r="I11" s="41">
        <v>2.0</v>
      </c>
      <c r="J11" s="11" t="s">
        <v>234</v>
      </c>
      <c r="K11" s="11">
        <v>45970.0</v>
      </c>
      <c r="L11" s="11">
        <v>126269.0</v>
      </c>
      <c r="M11" s="11">
        <v>0.0</v>
      </c>
      <c r="N11" s="11">
        <v>0.0</v>
      </c>
      <c r="O11" s="11">
        <v>0.0</v>
      </c>
      <c r="P11" s="11"/>
      <c r="Q11" s="41">
        <v>2.0</v>
      </c>
      <c r="R11" s="11" t="s">
        <v>234</v>
      </c>
      <c r="S11" s="11">
        <v>278.98</v>
      </c>
      <c r="T11" s="11">
        <v>278.84</v>
      </c>
      <c r="U11" s="11">
        <v>278.84</v>
      </c>
      <c r="V11" s="11">
        <v>278.84</v>
      </c>
      <c r="W11" s="11">
        <v>4679.839</v>
      </c>
      <c r="X11" s="11"/>
      <c r="Y11" s="41">
        <v>2.0</v>
      </c>
      <c r="Z11" s="11" t="s">
        <v>234</v>
      </c>
      <c r="AA11" s="11">
        <v>0.0</v>
      </c>
      <c r="AB11" s="11">
        <v>0.0</v>
      </c>
      <c r="AC11" s="11">
        <v>0.0</v>
      </c>
      <c r="AD11" s="11">
        <v>0.0</v>
      </c>
      <c r="AE11" s="11"/>
      <c r="AF11" s="11"/>
      <c r="AG11" s="11" t="s">
        <v>234</v>
      </c>
      <c r="AH11" s="11">
        <v>4149.0</v>
      </c>
      <c r="AI11" s="11">
        <v>5.914</v>
      </c>
      <c r="AJ11" s="11">
        <v>0.0</v>
      </c>
      <c r="AK11" s="11">
        <v>5.941</v>
      </c>
      <c r="AL11" s="11"/>
      <c r="AM11" s="11"/>
      <c r="AN11" s="11" t="s">
        <v>232</v>
      </c>
      <c r="AO11" s="11">
        <v>941.09612</v>
      </c>
      <c r="AP11" s="11">
        <v>920.00069</v>
      </c>
      <c r="AQ11" s="11">
        <v>932.01341</v>
      </c>
      <c r="AR11" s="11"/>
      <c r="AS11" s="11"/>
      <c r="AT11" s="11" t="s">
        <v>235</v>
      </c>
      <c r="AU11" s="11">
        <v>0.0</v>
      </c>
      <c r="AV11" s="11">
        <v>991.25011</v>
      </c>
      <c r="AW11" s="11"/>
      <c r="AX11" s="11"/>
      <c r="AY11" s="11" t="s">
        <v>232</v>
      </c>
      <c r="AZ11" s="11">
        <v>19070.06977</v>
      </c>
      <c r="BA11" s="11">
        <v>24998.00667</v>
      </c>
      <c r="BB11" s="11">
        <v>17518.26561</v>
      </c>
      <c r="BC11" s="11"/>
      <c r="BD11" s="11"/>
      <c r="BE11" s="11" t="s">
        <v>232</v>
      </c>
      <c r="BF11" s="11">
        <v>21057.765</v>
      </c>
      <c r="BG11" s="11">
        <v>26519.139</v>
      </c>
      <c r="BH11" s="11">
        <v>25176.069</v>
      </c>
      <c r="BI11" s="11"/>
      <c r="BJ11" s="11"/>
      <c r="BK11" s="11" t="s">
        <v>232</v>
      </c>
      <c r="BL11" s="11">
        <v>4896.367</v>
      </c>
      <c r="BM11" s="11">
        <v>8658.035</v>
      </c>
      <c r="BN11" s="11">
        <v>7948.988</v>
      </c>
      <c r="BO11" s="11"/>
      <c r="BP11" s="11"/>
      <c r="BQ11" s="11" t="s">
        <v>232</v>
      </c>
      <c r="BR11" s="11">
        <v>12452.90055</v>
      </c>
      <c r="BS11" s="11">
        <v>5655.50222</v>
      </c>
      <c r="BT11" s="11">
        <v>15975.12879</v>
      </c>
      <c r="BU11" s="11">
        <v>23033.63376</v>
      </c>
      <c r="BV11" s="11"/>
      <c r="BW11" s="11"/>
      <c r="BX11" s="11" t="s">
        <v>232</v>
      </c>
      <c r="BY11" s="11">
        <v>55000.387</v>
      </c>
      <c r="BZ11" s="11">
        <v>52219.487</v>
      </c>
      <c r="CA11" s="11">
        <v>60044.077</v>
      </c>
      <c r="CB11" s="11">
        <v>80798.43783</v>
      </c>
      <c r="CC11" s="11"/>
      <c r="CD11" s="11"/>
      <c r="CE11" s="11" t="s">
        <v>232</v>
      </c>
      <c r="CF11" s="11">
        <v>170896.82</v>
      </c>
      <c r="CG11" s="11">
        <v>248400.581</v>
      </c>
      <c r="CH11" s="11">
        <v>326310.612</v>
      </c>
      <c r="CI11" s="11"/>
      <c r="CJ11" s="11"/>
      <c r="CK11" s="11" t="s">
        <v>235</v>
      </c>
      <c r="CL11" s="11">
        <v>4098.29959</v>
      </c>
      <c r="CM11" s="11">
        <v>6768.73919</v>
      </c>
      <c r="CN11" s="11">
        <v>8492.94044</v>
      </c>
      <c r="CO11" s="11"/>
      <c r="CP11" s="44"/>
      <c r="CQ11" s="3" t="s">
        <v>232</v>
      </c>
      <c r="CR11" s="11">
        <v>0.0</v>
      </c>
      <c r="CS11" s="11">
        <v>525.90912</v>
      </c>
      <c r="CT11" s="11"/>
      <c r="CU11" s="11">
        <v>5.0</v>
      </c>
      <c r="CV11" s="11" t="s">
        <v>235</v>
      </c>
      <c r="CW11" s="11">
        <v>179.2345</v>
      </c>
      <c r="CX11" s="11">
        <v>123.90426</v>
      </c>
      <c r="CY11" s="11">
        <v>147.52546</v>
      </c>
      <c r="CZ11" s="11">
        <v>671.3307299999999</v>
      </c>
      <c r="DA11" s="11"/>
      <c r="DB11" s="11"/>
      <c r="DC11" s="11"/>
      <c r="DD11" s="11"/>
      <c r="DE11" s="11"/>
      <c r="DF11" s="11"/>
      <c r="DG11" s="11"/>
    </row>
    <row r="12">
      <c r="A12" s="41">
        <v>4.0</v>
      </c>
      <c r="B12" s="11" t="s">
        <v>233</v>
      </c>
      <c r="C12" s="11">
        <v>21211.101</v>
      </c>
      <c r="D12" s="11">
        <v>15227.824</v>
      </c>
      <c r="E12" s="11">
        <v>23900.83</v>
      </c>
      <c r="F12" s="11">
        <v>28045.861</v>
      </c>
      <c r="G12" s="11">
        <v>25171.44</v>
      </c>
      <c r="H12" s="11"/>
      <c r="I12" s="41">
        <v>3.0</v>
      </c>
      <c r="J12" s="11" t="s">
        <v>232</v>
      </c>
      <c r="K12" s="11">
        <v>15066.0</v>
      </c>
      <c r="L12" s="11">
        <v>14499.0</v>
      </c>
      <c r="M12" s="11">
        <v>13337.418</v>
      </c>
      <c r="N12" s="11">
        <v>13468.897</v>
      </c>
      <c r="O12" s="11">
        <v>19104.821</v>
      </c>
      <c r="P12" s="11"/>
      <c r="Q12" s="41">
        <v>3.0</v>
      </c>
      <c r="R12" s="11" t="s">
        <v>232</v>
      </c>
      <c r="S12" s="11">
        <v>14682.0</v>
      </c>
      <c r="T12" s="11">
        <v>17314.2</v>
      </c>
      <c r="U12" s="11">
        <v>25084.24</v>
      </c>
      <c r="V12" s="11">
        <v>28476.013</v>
      </c>
      <c r="W12" s="11">
        <v>25199.921</v>
      </c>
      <c r="X12" s="11"/>
      <c r="Y12" s="41">
        <v>3.0</v>
      </c>
      <c r="Z12" s="11" t="s">
        <v>232</v>
      </c>
      <c r="AA12" s="11">
        <v>0.0</v>
      </c>
      <c r="AB12" s="11">
        <v>0.0</v>
      </c>
      <c r="AC12" s="11">
        <v>0.0</v>
      </c>
      <c r="AD12" s="11">
        <v>0.0</v>
      </c>
      <c r="AE12" s="11"/>
      <c r="AF12" s="11"/>
      <c r="AG12" s="11" t="s">
        <v>232</v>
      </c>
      <c r="AH12" s="11">
        <v>0.0</v>
      </c>
      <c r="AI12" s="11">
        <v>9294.08</v>
      </c>
      <c r="AJ12" s="11">
        <v>5900.931999999997</v>
      </c>
      <c r="AK12" s="11">
        <v>32253.842</v>
      </c>
      <c r="AL12" s="11"/>
      <c r="AM12" s="11"/>
      <c r="AN12" s="11" t="s">
        <v>236</v>
      </c>
      <c r="AO12" s="11">
        <v>2.02953</v>
      </c>
      <c r="AP12" s="11">
        <v>2.02953</v>
      </c>
      <c r="AQ12" s="11">
        <v>2.02953</v>
      </c>
      <c r="AR12" s="11"/>
      <c r="AS12" s="11"/>
      <c r="AT12" s="11" t="s">
        <v>236</v>
      </c>
      <c r="AU12" s="11">
        <v>0.0</v>
      </c>
      <c r="AV12" s="11">
        <v>7086.60922</v>
      </c>
      <c r="AW12" s="11"/>
      <c r="AX12" s="11"/>
      <c r="AY12" s="11" t="s">
        <v>235</v>
      </c>
      <c r="AZ12" s="11">
        <v>6392.836119999999</v>
      </c>
      <c r="BA12" s="11">
        <v>12491.40185</v>
      </c>
      <c r="BB12" s="11">
        <v>13617.27786</v>
      </c>
      <c r="BC12" s="11"/>
      <c r="BD12" s="11"/>
      <c r="BE12" s="11" t="s">
        <v>235</v>
      </c>
      <c r="BF12" s="11">
        <v>7380.778</v>
      </c>
      <c r="BG12" s="11">
        <v>9260.485</v>
      </c>
      <c r="BH12" s="11">
        <v>8975.67</v>
      </c>
      <c r="BI12" s="11"/>
      <c r="BJ12" s="11"/>
      <c r="BK12" s="11" t="s">
        <v>233</v>
      </c>
      <c r="BL12" s="11">
        <v>13483.195</v>
      </c>
      <c r="BM12" s="11">
        <v>13448.041</v>
      </c>
      <c r="BN12" s="11">
        <v>13279.567</v>
      </c>
      <c r="BO12" s="11"/>
      <c r="BP12" s="11"/>
      <c r="BQ12" s="11" t="s">
        <v>233</v>
      </c>
      <c r="BR12" s="11">
        <v>0.0</v>
      </c>
      <c r="BS12" s="11">
        <v>18615.14897</v>
      </c>
      <c r="BT12" s="11">
        <v>23072.72282</v>
      </c>
      <c r="BU12" s="11">
        <v>17543.46353</v>
      </c>
      <c r="BV12" s="11"/>
      <c r="BW12" s="11"/>
      <c r="BX12" s="11" t="s">
        <v>235</v>
      </c>
      <c r="BY12" s="11">
        <v>37490.535</v>
      </c>
      <c r="BZ12" s="11">
        <v>55736.681</v>
      </c>
      <c r="CA12" s="11">
        <v>83561.713</v>
      </c>
      <c r="CB12" s="11">
        <v>76602.88968000002</v>
      </c>
      <c r="CC12" s="11"/>
      <c r="CD12" s="11"/>
      <c r="CE12" s="11" t="s">
        <v>235</v>
      </c>
      <c r="CF12" s="11">
        <v>45008.598</v>
      </c>
      <c r="CG12" s="11">
        <v>50203.721</v>
      </c>
      <c r="CH12" s="11">
        <v>55970.85450000021</v>
      </c>
      <c r="CI12" s="11"/>
      <c r="CJ12" s="11"/>
      <c r="CK12" s="11" t="s">
        <v>236</v>
      </c>
      <c r="CL12" s="11">
        <v>386.10319</v>
      </c>
      <c r="CM12" s="11">
        <v>490.92243</v>
      </c>
      <c r="CN12" s="11">
        <v>622.45642</v>
      </c>
      <c r="CO12" s="11"/>
      <c r="CP12" s="44"/>
      <c r="CQ12" s="3" t="s">
        <v>233</v>
      </c>
      <c r="CR12" s="11">
        <v>0.0</v>
      </c>
      <c r="CS12" s="11">
        <v>0.0</v>
      </c>
      <c r="CT12" s="11"/>
      <c r="CU12" s="11">
        <v>7.0</v>
      </c>
      <c r="CV12" s="11" t="s">
        <v>237</v>
      </c>
      <c r="CW12" s="11">
        <v>253.033</v>
      </c>
      <c r="CX12" s="11">
        <v>945.9752500000001</v>
      </c>
      <c r="CY12" s="11">
        <v>977.6564999999999</v>
      </c>
      <c r="CZ12" s="11">
        <v>481.2665450000003</v>
      </c>
      <c r="DA12" s="11"/>
      <c r="DB12" s="11"/>
      <c r="DC12" s="11"/>
      <c r="DD12" s="11"/>
      <c r="DE12" s="11"/>
      <c r="DF12" s="11"/>
      <c r="DG12" s="11"/>
    </row>
    <row r="13">
      <c r="A13" s="41">
        <v>5.0</v>
      </c>
      <c r="B13" s="11" t="s">
        <v>235</v>
      </c>
      <c r="C13" s="11">
        <v>0.0</v>
      </c>
      <c r="D13" s="11">
        <v>0.0</v>
      </c>
      <c r="E13" s="11">
        <v>2501.694</v>
      </c>
      <c r="F13" s="11">
        <v>1689.761</v>
      </c>
      <c r="G13" s="11">
        <v>0.0</v>
      </c>
      <c r="H13" s="11"/>
      <c r="I13" s="41">
        <v>4.0</v>
      </c>
      <c r="J13" s="11" t="s">
        <v>233</v>
      </c>
      <c r="K13" s="11">
        <v>224911.0</v>
      </c>
      <c r="L13" s="11">
        <v>204926.0</v>
      </c>
      <c r="M13" s="11">
        <v>475765.905</v>
      </c>
      <c r="N13" s="11">
        <v>556123.836</v>
      </c>
      <c r="O13" s="11">
        <v>409288.497</v>
      </c>
      <c r="P13" s="11"/>
      <c r="Q13" s="41">
        <v>4.0</v>
      </c>
      <c r="R13" s="11" t="s">
        <v>233</v>
      </c>
      <c r="S13" s="11">
        <v>12099.0</v>
      </c>
      <c r="T13" s="11">
        <v>5972.802</v>
      </c>
      <c r="U13" s="11">
        <v>11191.979</v>
      </c>
      <c r="V13" s="11">
        <v>12528.005</v>
      </c>
      <c r="W13" s="11">
        <v>13489.001</v>
      </c>
      <c r="X13" s="11"/>
      <c r="Y13" s="41">
        <v>4.0</v>
      </c>
      <c r="Z13" s="11" t="s">
        <v>233</v>
      </c>
      <c r="AA13" s="11">
        <v>12224.957</v>
      </c>
      <c r="AB13" s="11">
        <v>13252.986</v>
      </c>
      <c r="AC13" s="11">
        <v>31311.08</v>
      </c>
      <c r="AD13" s="11">
        <v>13387.562</v>
      </c>
      <c r="AE13" s="11"/>
      <c r="AF13" s="11"/>
      <c r="AG13" s="11" t="s">
        <v>233</v>
      </c>
      <c r="AH13" s="11">
        <v>0.0</v>
      </c>
      <c r="AI13" s="11">
        <v>19267.42</v>
      </c>
      <c r="AJ13" s="11">
        <v>20016.31</v>
      </c>
      <c r="AK13" s="11">
        <v>0.0</v>
      </c>
      <c r="AL13" s="11"/>
      <c r="AM13" s="11"/>
      <c r="AN13" s="11" t="s">
        <v>238</v>
      </c>
      <c r="AO13" s="11">
        <v>5.0</v>
      </c>
      <c r="AP13" s="11">
        <v>5.0</v>
      </c>
      <c r="AQ13" s="11">
        <v>5.0</v>
      </c>
      <c r="AR13" s="11"/>
      <c r="AW13" s="11"/>
      <c r="AX13" s="11"/>
      <c r="AY13" s="11" t="s">
        <v>236</v>
      </c>
      <c r="AZ13" s="11">
        <v>553.3086</v>
      </c>
      <c r="BA13" s="11">
        <v>1373.62879</v>
      </c>
      <c r="BB13" s="11">
        <v>1330.02704</v>
      </c>
      <c r="BC13" s="11"/>
      <c r="BD13" s="11"/>
      <c r="BE13" s="11" t="s">
        <v>236</v>
      </c>
      <c r="BF13" s="11">
        <v>5485.768</v>
      </c>
      <c r="BG13" s="11">
        <v>7753.662000000022</v>
      </c>
      <c r="BH13" s="11">
        <v>8638.738000000001</v>
      </c>
      <c r="BI13" s="11"/>
      <c r="BJ13" s="11"/>
      <c r="BK13" s="11" t="s">
        <v>235</v>
      </c>
      <c r="BL13" s="11">
        <v>2230.989</v>
      </c>
      <c r="BM13" s="11">
        <v>4196.481</v>
      </c>
      <c r="BN13" s="11">
        <v>8261.426</v>
      </c>
      <c r="BO13" s="11"/>
      <c r="BP13" s="11"/>
      <c r="BQ13" s="11" t="s">
        <v>235</v>
      </c>
      <c r="BR13" s="11">
        <v>145.51567</v>
      </c>
      <c r="BS13" s="11">
        <v>0.0</v>
      </c>
      <c r="BT13" s="11">
        <v>34.30854</v>
      </c>
      <c r="BU13" s="11">
        <v>346.59269</v>
      </c>
      <c r="BV13" s="11"/>
      <c r="BW13" s="11"/>
      <c r="BX13" s="11" t="s">
        <v>236</v>
      </c>
      <c r="BY13" s="11">
        <v>91009.488</v>
      </c>
      <c r="BZ13" s="11">
        <v>89361.003</v>
      </c>
      <c r="CA13" s="11">
        <v>74420.367</v>
      </c>
      <c r="CB13" s="11">
        <v>98694.95577</v>
      </c>
      <c r="CC13" s="11"/>
      <c r="CD13" s="11"/>
      <c r="CE13" s="11" t="s">
        <v>236</v>
      </c>
      <c r="CF13" s="11">
        <v>48308.57400000001</v>
      </c>
      <c r="CG13" s="11">
        <v>58829.27100000001</v>
      </c>
      <c r="CH13" s="11">
        <v>65363.63400000001</v>
      </c>
      <c r="CI13" s="11"/>
      <c r="CP13" s="43"/>
      <c r="CQ13" s="40" t="s">
        <v>235</v>
      </c>
      <c r="CR13" s="11">
        <v>17.55</v>
      </c>
      <c r="CS13" s="11">
        <v>45.0</v>
      </c>
      <c r="CT13" s="11"/>
      <c r="CU13" s="11">
        <v>9.0</v>
      </c>
      <c r="CV13" s="11" t="s">
        <v>92</v>
      </c>
      <c r="CW13" s="11">
        <v>4641.469</v>
      </c>
      <c r="CX13" s="11">
        <v>9225.5937</v>
      </c>
      <c r="CY13" s="11">
        <v>12982.95614</v>
      </c>
      <c r="CZ13" s="11">
        <v>12645.70101</v>
      </c>
    </row>
    <row r="14">
      <c r="A14" s="41"/>
      <c r="H14" s="11"/>
      <c r="I14" s="41">
        <v>7.0</v>
      </c>
      <c r="J14" s="11" t="s">
        <v>237</v>
      </c>
      <c r="K14" s="11">
        <v>29830.0</v>
      </c>
      <c r="L14" s="11">
        <v>32500.0</v>
      </c>
      <c r="M14" s="11">
        <v>0.0</v>
      </c>
      <c r="N14" s="11">
        <v>0.0</v>
      </c>
      <c r="O14" s="11">
        <v>0.0</v>
      </c>
      <c r="P14" s="11"/>
      <c r="Q14" s="41">
        <v>5.0</v>
      </c>
      <c r="R14" s="11" t="s">
        <v>235</v>
      </c>
      <c r="S14" s="11">
        <v>4499.0</v>
      </c>
      <c r="T14" s="11">
        <v>0.0</v>
      </c>
      <c r="U14" s="11">
        <v>0.0</v>
      </c>
      <c r="V14" s="11">
        <v>0.0</v>
      </c>
      <c r="W14" s="11">
        <v>7840.422</v>
      </c>
      <c r="X14" s="11"/>
      <c r="Y14" s="41">
        <v>5.0</v>
      </c>
      <c r="Z14" s="11" t="s">
        <v>235</v>
      </c>
      <c r="AA14" s="11">
        <v>0.0</v>
      </c>
      <c r="AB14" s="11">
        <v>0.0</v>
      </c>
      <c r="AC14" s="11">
        <v>0.0</v>
      </c>
      <c r="AD14" s="11">
        <v>0.0</v>
      </c>
      <c r="AE14" s="11"/>
      <c r="AF14" s="11"/>
      <c r="AG14" s="11" t="s">
        <v>235</v>
      </c>
      <c r="AH14" s="11">
        <v>0.0</v>
      </c>
      <c r="AI14" s="11">
        <v>2184.715</v>
      </c>
      <c r="AJ14" s="11">
        <v>3803.379000000004</v>
      </c>
      <c r="AK14" s="11">
        <v>4915.002</v>
      </c>
      <c r="AL14" s="11"/>
      <c r="AM14" s="11"/>
      <c r="AN14" s="11" t="s">
        <v>229</v>
      </c>
      <c r="AO14" s="11">
        <v>16158.42781</v>
      </c>
      <c r="AP14" s="11">
        <v>16137.41635</v>
      </c>
      <c r="AQ14" s="11">
        <v>16139.21819</v>
      </c>
      <c r="AR14" s="11"/>
      <c r="AW14" s="11"/>
      <c r="BC14" s="11"/>
      <c r="BI14" s="11"/>
      <c r="BJ14" s="11"/>
      <c r="BK14" s="11" t="s">
        <v>236</v>
      </c>
      <c r="BL14" s="11">
        <v>8816.64</v>
      </c>
      <c r="BM14" s="11">
        <v>9132.948</v>
      </c>
      <c r="BN14" s="11">
        <v>14491.36599999997</v>
      </c>
      <c r="BO14" s="11"/>
      <c r="BP14" s="11"/>
      <c r="BQ14" s="11" t="s">
        <v>236</v>
      </c>
      <c r="BR14" s="11">
        <v>1071.53261</v>
      </c>
      <c r="BS14" s="11">
        <v>1412.52328</v>
      </c>
      <c r="BT14" s="11">
        <v>2424.72489</v>
      </c>
      <c r="BU14" s="11">
        <v>3167.12864</v>
      </c>
      <c r="BV14" s="11"/>
      <c r="CC14" s="11"/>
      <c r="CI14" s="11"/>
      <c r="CP14" s="43"/>
      <c r="CQ14" s="40" t="s">
        <v>239</v>
      </c>
      <c r="CR14" s="11"/>
      <c r="CS14" s="11"/>
      <c r="CT14" s="11"/>
      <c r="CU14" s="11">
        <v>15.0</v>
      </c>
      <c r="CV14" s="11" t="s">
        <v>229</v>
      </c>
      <c r="CW14" s="11">
        <v>6856.8995</v>
      </c>
      <c r="CX14" s="11">
        <v>11124.90779</v>
      </c>
      <c r="CY14" s="11">
        <v>15295.21844</v>
      </c>
      <c r="CZ14" s="11">
        <v>14750.359635</v>
      </c>
    </row>
    <row r="15">
      <c r="A15" s="41"/>
      <c r="H15" s="11"/>
      <c r="I15" s="41">
        <v>8.0</v>
      </c>
      <c r="J15" s="11" t="s">
        <v>240</v>
      </c>
      <c r="K15" s="11">
        <v>42202.0</v>
      </c>
      <c r="L15" s="11">
        <v>42760.0</v>
      </c>
      <c r="M15" s="11">
        <v>39072.231</v>
      </c>
      <c r="N15" s="11">
        <v>44778.312</v>
      </c>
      <c r="O15" s="11">
        <v>110252.666</v>
      </c>
      <c r="P15" s="11"/>
      <c r="Q15" s="41">
        <v>7.0</v>
      </c>
      <c r="R15" s="11" t="s">
        <v>237</v>
      </c>
      <c r="S15" s="11">
        <v>108635.0</v>
      </c>
      <c r="T15" s="11">
        <v>6074.48</v>
      </c>
      <c r="U15" s="11">
        <v>7179.542</v>
      </c>
      <c r="V15" s="11">
        <v>8529.582</v>
      </c>
      <c r="W15" s="11">
        <v>10283.608</v>
      </c>
      <c r="X15" s="11"/>
      <c r="Y15" s="41">
        <v>6.0</v>
      </c>
      <c r="Z15" s="11" t="s">
        <v>239</v>
      </c>
      <c r="AA15" s="11"/>
      <c r="AB15" s="11"/>
      <c r="AC15" s="11"/>
      <c r="AD15" s="11"/>
      <c r="AE15" s="11"/>
      <c r="AF15" s="11"/>
      <c r="AG15" s="11" t="s">
        <v>237</v>
      </c>
      <c r="AH15" s="11">
        <v>0.0</v>
      </c>
      <c r="AI15" s="11">
        <v>11570.202</v>
      </c>
      <c r="AJ15" s="11">
        <v>3041.632</v>
      </c>
      <c r="AK15" s="11">
        <v>2722.317</v>
      </c>
      <c r="AL15" s="11"/>
      <c r="AR15" s="11"/>
      <c r="AW15" s="11"/>
      <c r="BC15" s="11"/>
      <c r="BI15" s="11"/>
      <c r="BJ15" s="11"/>
      <c r="BK15" s="11" t="s">
        <v>229</v>
      </c>
      <c r="BL15" s="11">
        <v>489257.8360000001</v>
      </c>
      <c r="BM15" s="11">
        <v>495285.081</v>
      </c>
      <c r="BN15" s="11">
        <v>460780.217</v>
      </c>
      <c r="BO15" s="11"/>
      <c r="BV15" s="11"/>
      <c r="CC15" s="11"/>
      <c r="CI15" s="11"/>
      <c r="CP15" s="43"/>
      <c r="CQ15" s="40" t="s">
        <v>237</v>
      </c>
      <c r="CR15" s="11"/>
      <c r="CS15" s="11"/>
      <c r="CT15" s="11"/>
      <c r="CU15" s="11">
        <v>20.0</v>
      </c>
      <c r="CV15" s="11" t="s">
        <v>241</v>
      </c>
      <c r="CW15" s="11">
        <v>14.285</v>
      </c>
      <c r="CX15" s="11">
        <v>14.28571</v>
      </c>
      <c r="CY15" s="11"/>
      <c r="CZ15" s="11"/>
    </row>
    <row r="16" ht="15.75" customHeight="1">
      <c r="I16" s="41"/>
      <c r="Q16" s="41"/>
      <c r="X16" s="11"/>
      <c r="Y16" s="41">
        <v>7.0</v>
      </c>
      <c r="Z16" s="11" t="s">
        <v>237</v>
      </c>
      <c r="AA16" s="11">
        <v>0.0</v>
      </c>
      <c r="AB16" s="11">
        <v>0.0</v>
      </c>
      <c r="AC16" s="11">
        <v>0.0</v>
      </c>
      <c r="AD16" s="11">
        <v>0.0</v>
      </c>
      <c r="AE16" s="11"/>
      <c r="AL16" s="11"/>
      <c r="AR16" s="11"/>
      <c r="AW16" s="11"/>
      <c r="BC16" s="11"/>
      <c r="BI16" s="11"/>
      <c r="BV16" s="11"/>
      <c r="CC16" s="11"/>
      <c r="CI16" s="11"/>
      <c r="CP16" s="43"/>
      <c r="CQ16" s="40" t="s">
        <v>236</v>
      </c>
      <c r="CR16" s="11">
        <v>30.217</v>
      </c>
      <c r="CS16" s="11">
        <v>206.25054</v>
      </c>
      <c r="CT16" s="11"/>
      <c r="CU16" s="11">
        <v>22.0</v>
      </c>
      <c r="CV16" s="11" t="s">
        <v>242</v>
      </c>
      <c r="CW16" s="11">
        <v>10.705</v>
      </c>
      <c r="CX16" s="11">
        <v>10.70535</v>
      </c>
      <c r="CY16" s="11">
        <v>10.70535</v>
      </c>
      <c r="CZ16" s="11">
        <v>10.70535</v>
      </c>
    </row>
    <row r="17" ht="15.75" customHeight="1">
      <c r="I17" s="41"/>
      <c r="Q17" s="41"/>
      <c r="X17" s="11"/>
      <c r="Y17" s="41">
        <v>8.0</v>
      </c>
      <c r="Z17" s="11" t="s">
        <v>240</v>
      </c>
      <c r="AA17" s="11"/>
      <c r="AB17" s="11"/>
      <c r="AC17" s="11"/>
      <c r="AD17" s="11">
        <v>3178.024</v>
      </c>
      <c r="AE17" s="11"/>
      <c r="AL17" s="11"/>
      <c r="AR17" s="11"/>
      <c r="AW17" s="11"/>
      <c r="BC17" s="11"/>
      <c r="BI17" s="11"/>
      <c r="BV17" s="11"/>
      <c r="CC17" s="11"/>
      <c r="CI17" s="11"/>
      <c r="CP17" s="43"/>
      <c r="CQ17" s="40" t="s">
        <v>92</v>
      </c>
      <c r="CR17" s="11">
        <v>241.976</v>
      </c>
      <c r="CS17" s="11">
        <v>1541.29492</v>
      </c>
      <c r="CT17" s="11"/>
      <c r="CU17" s="11">
        <v>23.0</v>
      </c>
      <c r="CV17" s="11" t="s">
        <v>243</v>
      </c>
      <c r="CW17" s="11">
        <v>142.841</v>
      </c>
      <c r="CX17" s="11">
        <v>142.84113</v>
      </c>
      <c r="CY17" s="11">
        <v>286.19145</v>
      </c>
      <c r="CZ17" s="11">
        <v>286.19145</v>
      </c>
    </row>
    <row r="18" ht="15.75" customHeight="1">
      <c r="A18" s="41">
        <v>9.0</v>
      </c>
      <c r="B18" s="11" t="s">
        <v>92</v>
      </c>
      <c r="C18" s="11">
        <v>0.054</v>
      </c>
      <c r="D18" s="11">
        <v>0.004</v>
      </c>
      <c r="E18" s="11">
        <v>0.0</v>
      </c>
      <c r="F18" s="11">
        <v>0.0</v>
      </c>
      <c r="G18" s="11">
        <v>0.0</v>
      </c>
      <c r="H18" s="11"/>
      <c r="I18" s="41">
        <v>9.0</v>
      </c>
      <c r="J18" s="11" t="s">
        <v>92</v>
      </c>
      <c r="K18" s="11">
        <v>82040.0</v>
      </c>
      <c r="L18" s="11">
        <v>69549.0</v>
      </c>
      <c r="M18" s="11">
        <v>58821.594</v>
      </c>
      <c r="N18" s="11">
        <v>60654.179</v>
      </c>
      <c r="O18" s="11">
        <v>152555.974</v>
      </c>
      <c r="P18" s="11"/>
      <c r="Q18" s="41">
        <v>9.0</v>
      </c>
      <c r="R18" s="11" t="s">
        <v>92</v>
      </c>
      <c r="S18" s="11">
        <v>5924.0</v>
      </c>
      <c r="T18" s="11">
        <v>9027.959</v>
      </c>
      <c r="U18" s="11">
        <v>9936.311</v>
      </c>
      <c r="V18" s="11">
        <v>11853.918</v>
      </c>
      <c r="W18" s="11">
        <v>20667.477</v>
      </c>
      <c r="X18" s="11"/>
      <c r="Y18" s="41">
        <v>9.0</v>
      </c>
      <c r="Z18" s="11" t="s">
        <v>92</v>
      </c>
      <c r="AA18" s="11">
        <v>3481.167</v>
      </c>
      <c r="AB18" s="11">
        <v>2275.958</v>
      </c>
      <c r="AC18" s="11">
        <v>2412.788</v>
      </c>
      <c r="AD18" s="11">
        <v>5320.602</v>
      </c>
      <c r="AE18" s="11"/>
      <c r="AF18" s="11"/>
      <c r="AG18" s="11" t="s">
        <v>92</v>
      </c>
      <c r="AH18" s="11">
        <v>0.0</v>
      </c>
      <c r="AI18" s="11">
        <v>3179.649</v>
      </c>
      <c r="AJ18" s="11">
        <v>4199.378</v>
      </c>
      <c r="AK18" s="11">
        <v>2754.552</v>
      </c>
      <c r="AL18" s="11"/>
      <c r="AR18" s="11"/>
      <c r="AS18" s="11"/>
      <c r="AT18" s="11" t="s">
        <v>92</v>
      </c>
      <c r="AU18" s="11">
        <v>0.0</v>
      </c>
      <c r="AV18" s="11">
        <v>1436.06164</v>
      </c>
      <c r="AW18" s="11"/>
      <c r="AX18" s="11"/>
      <c r="AY18" s="11" t="s">
        <v>92</v>
      </c>
      <c r="AZ18" s="11">
        <v>14964.55531</v>
      </c>
      <c r="BA18" s="11">
        <v>15742.36695</v>
      </c>
      <c r="BB18" s="11">
        <v>17221.7022</v>
      </c>
      <c r="BC18" s="11"/>
      <c r="BD18" s="11"/>
      <c r="BE18" s="11" t="s">
        <v>92</v>
      </c>
      <c r="BF18" s="11">
        <v>23678.823</v>
      </c>
      <c r="BG18" s="11">
        <v>28790.548</v>
      </c>
      <c r="BH18" s="11">
        <v>26819.743</v>
      </c>
      <c r="BI18" s="11"/>
      <c r="BP18" s="11"/>
      <c r="BQ18" s="11" t="s">
        <v>92</v>
      </c>
      <c r="BR18" s="11">
        <v>3017.98058</v>
      </c>
      <c r="BS18" s="11">
        <v>2449.56445</v>
      </c>
      <c r="BT18" s="11">
        <v>3641.56245</v>
      </c>
      <c r="BU18" s="11">
        <v>8278.43647</v>
      </c>
      <c r="BV18" s="11"/>
      <c r="BW18" s="11"/>
      <c r="BX18" s="11" t="s">
        <v>92</v>
      </c>
      <c r="BY18" s="11">
        <v>149388.937</v>
      </c>
      <c r="BZ18" s="11">
        <v>135129.344</v>
      </c>
      <c r="CA18" s="11">
        <v>140786.461</v>
      </c>
      <c r="CB18" s="11">
        <v>274342.42363</v>
      </c>
      <c r="CC18" s="11"/>
      <c r="CD18" s="11"/>
      <c r="CE18" s="11" t="s">
        <v>92</v>
      </c>
      <c r="CF18" s="11">
        <v>106027.177</v>
      </c>
      <c r="CG18" s="11">
        <v>168857.253</v>
      </c>
      <c r="CH18" s="11">
        <v>216476.404</v>
      </c>
      <c r="CI18" s="11"/>
      <c r="CJ18" s="11"/>
      <c r="CK18" s="11" t="s">
        <v>92</v>
      </c>
      <c r="CL18" s="11">
        <v>225.88182</v>
      </c>
      <c r="CM18" s="11">
        <v>350.88182</v>
      </c>
      <c r="CN18" s="11">
        <v>3010.93291</v>
      </c>
      <c r="CO18" s="11"/>
      <c r="CP18" s="43"/>
      <c r="CQ18" s="40" t="s">
        <v>238</v>
      </c>
      <c r="CR18" s="11">
        <v>0.0</v>
      </c>
      <c r="CS18" s="11">
        <v>0.0</v>
      </c>
      <c r="CT18" s="11"/>
      <c r="CU18" s="11">
        <v>24.0</v>
      </c>
      <c r="CV18" s="11" t="s">
        <v>244</v>
      </c>
      <c r="CW18" s="11">
        <v>67.251</v>
      </c>
      <c r="CX18" s="11">
        <v>123.53296</v>
      </c>
      <c r="CY18" s="11">
        <v>186.9362</v>
      </c>
      <c r="CZ18" s="11">
        <v>186.9362</v>
      </c>
      <c r="DA18" s="11"/>
      <c r="DB18" s="11"/>
      <c r="DC18" s="11"/>
      <c r="DD18" s="11"/>
      <c r="DE18" s="11"/>
      <c r="DF18" s="11"/>
      <c r="DG18" s="11"/>
    </row>
    <row r="19" ht="15.75" customHeight="1">
      <c r="H19" s="11"/>
      <c r="I19" s="41">
        <v>11.0</v>
      </c>
      <c r="J19" s="11" t="s">
        <v>245</v>
      </c>
      <c r="K19" s="11">
        <v>30848.0</v>
      </c>
      <c r="L19" s="11">
        <v>30427.0</v>
      </c>
      <c r="M19" s="11">
        <v>22300.368</v>
      </c>
      <c r="N19" s="11">
        <v>34945.174</v>
      </c>
      <c r="O19" s="11">
        <v>0.0</v>
      </c>
      <c r="P19" s="11"/>
      <c r="Q19" s="41">
        <v>10.0</v>
      </c>
      <c r="R19" s="11" t="s">
        <v>246</v>
      </c>
      <c r="S19" s="11">
        <v>0.0</v>
      </c>
      <c r="T19" s="11">
        <v>3140.73</v>
      </c>
      <c r="U19" s="11">
        <v>4404.015</v>
      </c>
      <c r="V19" s="11">
        <v>8225.29</v>
      </c>
      <c r="W19" s="11">
        <v>0.0</v>
      </c>
      <c r="X19" s="11"/>
      <c r="Y19" s="41">
        <v>10.0</v>
      </c>
      <c r="Z19" s="11" t="s">
        <v>238</v>
      </c>
      <c r="AA19" s="11">
        <v>0.0</v>
      </c>
      <c r="AB19" s="11">
        <v>0.0</v>
      </c>
      <c r="AC19" s="11">
        <v>0.0</v>
      </c>
      <c r="AD19" s="11">
        <v>0.0</v>
      </c>
      <c r="AE19" s="11"/>
      <c r="AF19" s="11"/>
      <c r="AG19" s="11" t="s">
        <v>245</v>
      </c>
      <c r="AH19" s="11">
        <v>0.0</v>
      </c>
      <c r="AI19" s="11">
        <v>9594.615</v>
      </c>
      <c r="AJ19" s="11">
        <v>9594.615</v>
      </c>
      <c r="AK19" s="11">
        <v>11019.014</v>
      </c>
      <c r="AL19" s="11"/>
      <c r="AM19" s="11"/>
      <c r="AN19" s="11" t="s">
        <v>247</v>
      </c>
      <c r="AO19" s="11">
        <v>1937.5</v>
      </c>
      <c r="AP19" s="11">
        <v>1937.5</v>
      </c>
      <c r="AQ19" s="11">
        <v>1937.5</v>
      </c>
      <c r="AR19" s="11"/>
      <c r="AS19" s="11"/>
      <c r="AT19" s="11" t="s">
        <v>229</v>
      </c>
      <c r="AU19" s="11">
        <v>5.0</v>
      </c>
      <c r="AV19" s="11">
        <v>18025.53485</v>
      </c>
      <c r="AW19" s="11"/>
      <c r="AX19" s="11"/>
      <c r="AY19" s="11" t="s">
        <v>229</v>
      </c>
      <c r="AZ19" s="11">
        <v>49728.76854999999</v>
      </c>
      <c r="BA19" s="11">
        <v>62872.60714000001</v>
      </c>
      <c r="BB19" s="11">
        <v>56280.63406</v>
      </c>
      <c r="BC19" s="11"/>
      <c r="BD19" s="11"/>
      <c r="BE19" s="11" t="s">
        <v>229</v>
      </c>
      <c r="BF19" s="11">
        <v>59812.929</v>
      </c>
      <c r="BG19" s="11">
        <v>77391.04500000001</v>
      </c>
      <c r="BH19" s="11">
        <v>74316.734</v>
      </c>
      <c r="BI19" s="11"/>
      <c r="BJ19" s="11"/>
      <c r="BK19" s="11" t="s">
        <v>247</v>
      </c>
      <c r="BL19" s="11">
        <v>40927.962</v>
      </c>
      <c r="BM19" s="11">
        <v>40927.962</v>
      </c>
      <c r="BN19" s="11">
        <v>46483.492</v>
      </c>
      <c r="BO19" s="11"/>
      <c r="BP19" s="11"/>
      <c r="BQ19" s="11" t="s">
        <v>67</v>
      </c>
      <c r="BR19" s="11">
        <v>4100.77903</v>
      </c>
      <c r="BS19" s="11"/>
      <c r="BT19" s="11">
        <v>0.0</v>
      </c>
      <c r="BU19" s="11"/>
      <c r="BV19" s="11"/>
      <c r="BW19" s="11"/>
      <c r="BX19" s="11" t="s">
        <v>238</v>
      </c>
      <c r="BY19" s="11">
        <v>152416.802</v>
      </c>
      <c r="BZ19" s="11">
        <v>166259.584</v>
      </c>
      <c r="CA19" s="11">
        <v>198951.18</v>
      </c>
      <c r="CB19" s="11">
        <v>228310.44157</v>
      </c>
      <c r="CC19" s="11"/>
      <c r="CD19" s="11"/>
      <c r="CE19" s="11" t="s">
        <v>229</v>
      </c>
      <c r="CF19" s="11">
        <v>403277.949</v>
      </c>
      <c r="CG19" s="11">
        <v>537700.313</v>
      </c>
      <c r="CH19" s="11">
        <v>710962.5700000002</v>
      </c>
      <c r="CI19" s="11"/>
      <c r="CJ19" s="11"/>
      <c r="CK19" s="11" t="s">
        <v>229</v>
      </c>
      <c r="CL19" s="11">
        <v>10197.616059</v>
      </c>
      <c r="CM19" s="11">
        <v>12016.52444</v>
      </c>
      <c r="CN19" s="11">
        <v>16407.73959</v>
      </c>
      <c r="CO19" s="11"/>
      <c r="CP19" s="43"/>
      <c r="CQ19" s="40" t="s">
        <v>245</v>
      </c>
      <c r="CR19" s="11">
        <v>0.0</v>
      </c>
      <c r="CS19" s="11">
        <v>0.0</v>
      </c>
      <c r="CT19" s="11"/>
      <c r="CU19" s="11">
        <v>25.0</v>
      </c>
      <c r="CV19" s="11" t="s">
        <v>248</v>
      </c>
      <c r="CW19" s="11">
        <v>24.927</v>
      </c>
      <c r="CX19" s="11">
        <v>24.92798</v>
      </c>
      <c r="CY19" s="11"/>
      <c r="CZ19" s="11"/>
      <c r="DA19" s="11"/>
      <c r="DB19" s="11"/>
      <c r="DC19" s="11"/>
      <c r="DD19" s="11"/>
      <c r="DE19" s="11"/>
      <c r="DF19" s="11"/>
      <c r="DG19" s="11"/>
    </row>
    <row r="20" ht="15.75" customHeight="1">
      <c r="A20" s="41">
        <v>12.0</v>
      </c>
      <c r="B20" s="11" t="s">
        <v>249</v>
      </c>
      <c r="C20" s="11">
        <v>0.0</v>
      </c>
      <c r="D20" s="11">
        <v>0.0</v>
      </c>
      <c r="E20" s="11">
        <v>0.0</v>
      </c>
      <c r="F20" s="11">
        <v>452.942</v>
      </c>
      <c r="G20" s="11">
        <v>0.0</v>
      </c>
      <c r="H20" s="11"/>
      <c r="I20" s="41">
        <v>12.0</v>
      </c>
      <c r="J20" s="11" t="s">
        <v>249</v>
      </c>
      <c r="K20" s="11">
        <v>4138.0</v>
      </c>
      <c r="L20" s="11">
        <v>11471.0</v>
      </c>
      <c r="M20" s="11">
        <v>0.0</v>
      </c>
      <c r="N20" s="11">
        <v>0.0</v>
      </c>
      <c r="O20" s="11">
        <v>0.0</v>
      </c>
      <c r="P20" s="11"/>
      <c r="Q20" s="41">
        <v>11.0</v>
      </c>
      <c r="R20" s="11" t="s">
        <v>245</v>
      </c>
      <c r="S20" s="11">
        <v>7037.0</v>
      </c>
      <c r="T20" s="11">
        <v>2433.912</v>
      </c>
      <c r="U20" s="11">
        <v>2840.836</v>
      </c>
      <c r="V20" s="11">
        <v>4465.012</v>
      </c>
      <c r="W20" s="11">
        <v>0.0</v>
      </c>
      <c r="X20" s="11"/>
      <c r="Y20" s="41">
        <v>11.0</v>
      </c>
      <c r="Z20" s="11" t="s">
        <v>245</v>
      </c>
      <c r="AA20" s="11">
        <v>0.0</v>
      </c>
      <c r="AB20" s="11">
        <v>3099.5</v>
      </c>
      <c r="AC20" s="11">
        <v>2798.307</v>
      </c>
      <c r="AD20" s="11">
        <v>0.0</v>
      </c>
      <c r="AE20" s="11"/>
      <c r="AF20" s="11"/>
      <c r="AG20" s="11" t="s">
        <v>250</v>
      </c>
      <c r="AH20" s="11">
        <v>4149.0</v>
      </c>
      <c r="AI20" s="11">
        <v>55862.54599999999</v>
      </c>
      <c r="AJ20" s="11">
        <v>47567.44</v>
      </c>
      <c r="AK20" s="11">
        <v>53771.717</v>
      </c>
      <c r="AL20" s="11"/>
      <c r="AM20" s="11"/>
      <c r="AN20" s="11" t="s">
        <v>251</v>
      </c>
      <c r="AO20" s="11">
        <v>1937.5</v>
      </c>
      <c r="AP20" s="11">
        <v>1937.5</v>
      </c>
      <c r="AQ20" s="11">
        <v>1937.5</v>
      </c>
      <c r="AR20" s="11"/>
      <c r="AS20" s="11"/>
      <c r="AT20" s="11" t="s">
        <v>248</v>
      </c>
      <c r="AU20" s="11"/>
      <c r="AV20" s="11">
        <v>129.08187</v>
      </c>
      <c r="AW20" s="11"/>
      <c r="AX20" s="11"/>
      <c r="AY20" s="11" t="s">
        <v>247</v>
      </c>
      <c r="AZ20" s="11">
        <v>5512.978929999999</v>
      </c>
      <c r="BA20" s="11">
        <v>5990.71219</v>
      </c>
      <c r="BB20" s="11">
        <v>5990.71219</v>
      </c>
      <c r="BC20" s="11"/>
      <c r="BD20" s="11"/>
      <c r="BE20" s="11" t="s">
        <v>247</v>
      </c>
      <c r="BF20" s="11">
        <v>1430.8</v>
      </c>
      <c r="BG20" s="11">
        <v>1430.8</v>
      </c>
      <c r="BH20" s="11">
        <v>1430.8</v>
      </c>
      <c r="BI20" s="11"/>
      <c r="BJ20" s="11"/>
      <c r="BK20" s="11" t="s">
        <v>252</v>
      </c>
      <c r="BL20" s="11">
        <v>12436.298</v>
      </c>
      <c r="BM20" s="11">
        <v>12759.469</v>
      </c>
      <c r="BN20" s="11">
        <v>17613.393</v>
      </c>
      <c r="BO20" s="11"/>
      <c r="BP20" s="11"/>
      <c r="BQ20" s="11" t="s">
        <v>229</v>
      </c>
      <c r="BR20" s="11">
        <v>20834.2994</v>
      </c>
      <c r="BS20" s="11">
        <v>37591.15066</v>
      </c>
      <c r="BT20" s="11">
        <v>57469.93758</v>
      </c>
      <c r="BU20" s="11">
        <v>68526.19098</v>
      </c>
      <c r="BV20" s="11"/>
      <c r="BW20" s="11"/>
      <c r="BX20" s="11" t="s">
        <v>253</v>
      </c>
      <c r="BY20" s="11">
        <v>211503.848</v>
      </c>
      <c r="BZ20" s="11">
        <v>247016.035</v>
      </c>
      <c r="CA20" s="11">
        <v>274742.233</v>
      </c>
      <c r="CB20" s="11">
        <v>327820.12298</v>
      </c>
      <c r="CC20" s="11"/>
      <c r="CD20" s="11"/>
      <c r="CE20" s="11" t="s">
        <v>254</v>
      </c>
      <c r="CF20" s="11">
        <v>1347.453</v>
      </c>
      <c r="CG20" s="11">
        <v>5300.249000000001</v>
      </c>
      <c r="CH20" s="11">
        <v>18388.685</v>
      </c>
      <c r="CI20" s="11"/>
      <c r="CJ20" s="11"/>
      <c r="CK20" s="11" t="s">
        <v>255</v>
      </c>
      <c r="CL20" s="11">
        <v>65.29882</v>
      </c>
      <c r="CM20" s="11">
        <v>203.7483</v>
      </c>
      <c r="CN20" s="11">
        <v>203.74838</v>
      </c>
      <c r="CO20" s="11"/>
      <c r="CP20" s="43"/>
      <c r="CQ20" s="40" t="s">
        <v>256</v>
      </c>
      <c r="CR20" s="11"/>
      <c r="CS20" s="11"/>
      <c r="CT20" s="11"/>
      <c r="CU20" s="11">
        <v>26.0</v>
      </c>
      <c r="CV20" s="11" t="s">
        <v>251</v>
      </c>
      <c r="CW20" s="11">
        <v>260.009</v>
      </c>
      <c r="CX20" s="11">
        <v>316.29313</v>
      </c>
      <c r="CY20" s="11">
        <v>483.833</v>
      </c>
      <c r="CZ20" s="11">
        <v>483.833</v>
      </c>
      <c r="DA20" s="11"/>
      <c r="DB20" s="11"/>
      <c r="DC20" s="11"/>
      <c r="DD20" s="11"/>
      <c r="DE20" s="11"/>
      <c r="DF20" s="11"/>
      <c r="DG20" s="11"/>
    </row>
    <row r="21" ht="15.75" customHeight="1">
      <c r="A21" s="41">
        <v>15.0</v>
      </c>
      <c r="B21" s="11" t="s">
        <v>257</v>
      </c>
      <c r="C21" s="11">
        <v>13.44</v>
      </c>
      <c r="D21" s="11">
        <v>615.944</v>
      </c>
      <c r="E21" s="11">
        <v>0.0</v>
      </c>
      <c r="F21" s="11">
        <v>0.0</v>
      </c>
      <c r="G21" s="11">
        <v>3364.291</v>
      </c>
      <c r="H21" s="11"/>
      <c r="I21" s="41">
        <v>14.0</v>
      </c>
      <c r="J21" s="11" t="s">
        <v>257</v>
      </c>
      <c r="K21" s="11">
        <v>0.0</v>
      </c>
      <c r="L21" s="11">
        <v>0.0</v>
      </c>
      <c r="M21" s="11">
        <v>10409.053</v>
      </c>
      <c r="N21" s="11">
        <v>24411.839</v>
      </c>
      <c r="O21" s="11">
        <v>29587.734</v>
      </c>
      <c r="P21" s="11"/>
      <c r="Q21" s="41">
        <v>13.0</v>
      </c>
      <c r="R21" s="11" t="s">
        <v>249</v>
      </c>
      <c r="S21" s="11">
        <v>0.0</v>
      </c>
      <c r="T21" s="11">
        <v>0.0</v>
      </c>
      <c r="U21" s="11">
        <v>0.0</v>
      </c>
      <c r="V21" s="11">
        <v>0.0</v>
      </c>
      <c r="W21" s="11">
        <v>428.989</v>
      </c>
      <c r="X21" s="11"/>
      <c r="Y21" s="41">
        <v>12.0</v>
      </c>
      <c r="Z21" s="11" t="s">
        <v>249</v>
      </c>
      <c r="AA21" s="11">
        <v>267.691</v>
      </c>
      <c r="AB21" s="11">
        <v>1287.722</v>
      </c>
      <c r="AC21" s="11">
        <v>1566.337</v>
      </c>
      <c r="AD21" s="11">
        <v>0.0</v>
      </c>
      <c r="AE21" s="11"/>
      <c r="AF21" s="11" t="s">
        <v>258</v>
      </c>
      <c r="AG21" s="11"/>
      <c r="AH21" s="11"/>
      <c r="AI21" s="11"/>
      <c r="AJ21" s="11"/>
      <c r="AK21" s="11"/>
      <c r="AL21" s="11"/>
      <c r="AM21" s="11"/>
      <c r="AN21" s="11" t="s">
        <v>259</v>
      </c>
      <c r="AO21" s="11">
        <v>1937.5</v>
      </c>
      <c r="AP21" s="11">
        <v>1937.5</v>
      </c>
      <c r="AQ21" s="11">
        <v>1937.5</v>
      </c>
      <c r="AR21" s="11"/>
      <c r="AS21" s="11"/>
      <c r="AT21" s="11" t="s">
        <v>251</v>
      </c>
      <c r="AU21" s="11">
        <v>0.0</v>
      </c>
      <c r="AV21" s="11">
        <v>129.08187</v>
      </c>
      <c r="AW21" s="11"/>
      <c r="AX21" s="11"/>
      <c r="AY21" s="11" t="s">
        <v>241</v>
      </c>
      <c r="AZ21" s="11">
        <v>5117.22325</v>
      </c>
      <c r="BA21" s="11">
        <v>8323.56909</v>
      </c>
      <c r="BB21" s="11">
        <v>10603.10557</v>
      </c>
      <c r="BC21" s="11"/>
      <c r="BD21" s="11"/>
      <c r="BE21" s="11" t="s">
        <v>254</v>
      </c>
      <c r="BF21" s="11">
        <v>97.751</v>
      </c>
      <c r="BG21" s="11">
        <v>100.576</v>
      </c>
      <c r="BH21" s="11">
        <v>100.576</v>
      </c>
      <c r="BI21" s="11"/>
      <c r="BJ21" s="11"/>
      <c r="BK21" s="11" t="s">
        <v>254</v>
      </c>
      <c r="BL21" s="11">
        <v>96.008</v>
      </c>
      <c r="BM21" s="11">
        <v>398.182</v>
      </c>
      <c r="BN21" s="11">
        <v>14183.671</v>
      </c>
      <c r="BO21" s="11"/>
      <c r="BP21" s="11"/>
      <c r="BQ21" s="11" t="s">
        <v>247</v>
      </c>
      <c r="BR21" s="11"/>
      <c r="BS21" s="11"/>
      <c r="BT21" s="11"/>
      <c r="BU21" s="11">
        <v>2660.0</v>
      </c>
      <c r="BV21" s="11"/>
      <c r="BW21" s="11"/>
      <c r="BX21" s="11" t="s">
        <v>229</v>
      </c>
      <c r="BY21" s="11">
        <v>1207333.411</v>
      </c>
      <c r="BZ21" s="11">
        <v>1247545.081</v>
      </c>
      <c r="CA21" s="11">
        <v>1252652.059</v>
      </c>
      <c r="CB21" s="11">
        <v>1294259.38944</v>
      </c>
      <c r="CC21" s="11"/>
      <c r="CD21" s="11"/>
      <c r="CE21" s="11" t="s">
        <v>241</v>
      </c>
      <c r="CF21" s="11"/>
      <c r="CG21" s="11">
        <v>21.428</v>
      </c>
      <c r="CH21" s="11">
        <v>21.429</v>
      </c>
      <c r="CI21" s="11"/>
      <c r="CJ21" s="11"/>
      <c r="CK21" s="11" t="s">
        <v>241</v>
      </c>
      <c r="CL21" s="11">
        <v>6604.8758</v>
      </c>
      <c r="CM21" s="11">
        <v>6604.8758</v>
      </c>
      <c r="CN21" s="11">
        <v>7758.80552</v>
      </c>
      <c r="CO21" s="11"/>
      <c r="CP21" s="43"/>
      <c r="CQ21" s="40" t="s">
        <v>249</v>
      </c>
      <c r="CR21" s="11"/>
      <c r="CS21" s="11"/>
      <c r="CT21" s="11"/>
      <c r="CU21" s="11">
        <v>27.0</v>
      </c>
      <c r="CV21" s="11" t="s">
        <v>260</v>
      </c>
      <c r="CW21" s="11">
        <v>-215.901</v>
      </c>
      <c r="CX21" s="11">
        <v>-269.05</v>
      </c>
      <c r="CY21" s="11">
        <v>-362.12911</v>
      </c>
      <c r="CZ21" s="11">
        <v>-412.92128</v>
      </c>
      <c r="DA21" s="11"/>
      <c r="DB21" s="11"/>
      <c r="DC21" s="11"/>
      <c r="DD21" s="11"/>
      <c r="DE21" s="11"/>
      <c r="DF21" s="11"/>
      <c r="DG21" s="11"/>
    </row>
    <row r="22" ht="15.75" customHeight="1">
      <c r="A22" s="41">
        <v>16.0</v>
      </c>
      <c r="B22" s="11" t="s">
        <v>250</v>
      </c>
      <c r="C22" s="11">
        <v>21443.876</v>
      </c>
      <c r="D22" s="11">
        <v>16147.77</v>
      </c>
      <c r="E22" s="11">
        <v>27257.998</v>
      </c>
      <c r="F22" s="11">
        <v>30188.632</v>
      </c>
      <c r="G22" s="11">
        <v>28923.839</v>
      </c>
      <c r="H22" s="11"/>
      <c r="I22" s="41">
        <v>15.0</v>
      </c>
      <c r="J22" s="11" t="s">
        <v>250</v>
      </c>
      <c r="K22" s="11">
        <v>489171.0</v>
      </c>
      <c r="L22" s="11">
        <v>559173.0</v>
      </c>
      <c r="M22" s="11">
        <v>658388.6570000001</v>
      </c>
      <c r="N22" s="11">
        <v>747714.175</v>
      </c>
      <c r="O22" s="11">
        <v>731542.0810000001</v>
      </c>
      <c r="P22" s="11"/>
      <c r="Q22" s="41">
        <v>15.0</v>
      </c>
      <c r="R22" s="11" t="s">
        <v>250</v>
      </c>
      <c r="S22" s="11">
        <v>156739.98</v>
      </c>
      <c r="T22" s="11">
        <v>50343.569</v>
      </c>
      <c r="U22" s="11">
        <v>69251.92700000001</v>
      </c>
      <c r="V22" s="11">
        <v>80296.96200000001</v>
      </c>
      <c r="W22" s="11">
        <v>89011.252</v>
      </c>
      <c r="X22" s="11"/>
      <c r="Y22" s="41">
        <v>13.0</v>
      </c>
      <c r="Z22" s="11" t="s">
        <v>261</v>
      </c>
      <c r="AA22" s="11"/>
      <c r="AB22" s="11"/>
      <c r="AC22" s="11"/>
      <c r="AD22" s="11"/>
      <c r="AE22" s="11"/>
      <c r="AF22" s="11"/>
      <c r="AG22" s="11" t="s">
        <v>241</v>
      </c>
      <c r="AH22" s="11">
        <v>0.0</v>
      </c>
      <c r="AI22" s="11">
        <v>28392.108</v>
      </c>
      <c r="AJ22" s="11">
        <v>28763.889</v>
      </c>
      <c r="AK22" s="11">
        <v>33008.888</v>
      </c>
      <c r="AL22" s="11"/>
      <c r="AM22" s="11"/>
      <c r="AN22" s="11" t="s">
        <v>262</v>
      </c>
      <c r="AO22" s="11">
        <v>0.0</v>
      </c>
      <c r="AP22" s="11">
        <v>0.0</v>
      </c>
      <c r="AQ22" s="11">
        <v>0.0</v>
      </c>
      <c r="AR22" s="11"/>
      <c r="AS22" s="11"/>
      <c r="AT22" s="11" t="s">
        <v>260</v>
      </c>
      <c r="AU22" s="11">
        <v>0.0</v>
      </c>
      <c r="AV22" s="11">
        <v>0.0</v>
      </c>
      <c r="AW22" s="11"/>
      <c r="AX22" s="11"/>
      <c r="AY22" s="11" t="s">
        <v>242</v>
      </c>
      <c r="AZ22" s="11">
        <v>2190.87464</v>
      </c>
      <c r="BA22" s="11">
        <v>2568.50394</v>
      </c>
      <c r="BB22" s="11">
        <v>2568.50394</v>
      </c>
      <c r="BC22" s="11"/>
      <c r="BD22" s="11"/>
      <c r="BE22" s="11" t="s">
        <v>241</v>
      </c>
      <c r="BF22" s="11">
        <v>245.042</v>
      </c>
      <c r="BG22" s="11">
        <v>247.985</v>
      </c>
      <c r="BH22" s="11">
        <v>247.985</v>
      </c>
      <c r="BI22" s="11"/>
      <c r="BJ22" s="11"/>
      <c r="BK22" s="11" t="s">
        <v>241</v>
      </c>
      <c r="BL22" s="11">
        <v>7010.1</v>
      </c>
      <c r="BM22" s="11">
        <v>7023.492</v>
      </c>
      <c r="BN22" s="11">
        <v>7023.493</v>
      </c>
      <c r="BO22" s="11"/>
      <c r="BP22" s="11"/>
      <c r="BQ22" s="11" t="s">
        <v>241</v>
      </c>
      <c r="BR22" s="11">
        <v>2.63103</v>
      </c>
      <c r="BS22" s="11">
        <v>0.37575</v>
      </c>
      <c r="BT22" s="11">
        <v>14.41729</v>
      </c>
      <c r="BU22" s="11">
        <v>7.48575</v>
      </c>
      <c r="BV22" s="11"/>
      <c r="BW22" s="11"/>
      <c r="BX22" s="11" t="s">
        <v>247</v>
      </c>
      <c r="BY22" s="11">
        <v>0.0</v>
      </c>
      <c r="BZ22" s="11">
        <v>114564.069</v>
      </c>
      <c r="CA22" s="11">
        <v>119305.227</v>
      </c>
      <c r="CB22" s="11">
        <v>122267.72691</v>
      </c>
      <c r="CC22" s="11"/>
      <c r="CD22" s="11"/>
      <c r="CE22" s="11" t="s">
        <v>242</v>
      </c>
      <c r="CF22" s="11">
        <v>1061.769</v>
      </c>
      <c r="CG22" s="11">
        <v>1061.769</v>
      </c>
      <c r="CH22" s="11">
        <v>1061.769</v>
      </c>
      <c r="CI22" s="11"/>
      <c r="CJ22" s="11"/>
      <c r="CK22" s="11" t="s">
        <v>242</v>
      </c>
      <c r="CL22" s="11">
        <v>129.11785</v>
      </c>
      <c r="CM22" s="11">
        <v>142.01071</v>
      </c>
      <c r="CN22" s="11">
        <v>703.47946</v>
      </c>
      <c r="CO22" s="11"/>
      <c r="CP22" s="43"/>
      <c r="CQ22" s="40" t="s">
        <v>261</v>
      </c>
      <c r="CR22" s="11"/>
      <c r="CS22" s="11"/>
      <c r="CT22" s="11"/>
      <c r="CU22" s="11">
        <v>28.0</v>
      </c>
      <c r="CV22" s="11" t="s">
        <v>259</v>
      </c>
      <c r="CW22" s="11">
        <v>44.108</v>
      </c>
      <c r="CX22" s="11">
        <v>47.24313000000001</v>
      </c>
      <c r="CY22" s="11">
        <v>121.70389</v>
      </c>
      <c r="CZ22" s="11">
        <v>70.91171999999995</v>
      </c>
      <c r="DA22" s="11"/>
      <c r="DB22" s="11"/>
      <c r="DC22" s="11"/>
      <c r="DD22" s="11"/>
      <c r="DE22" s="11"/>
      <c r="DF22" s="11"/>
      <c r="DG22" s="11"/>
    </row>
    <row r="23" ht="15.75" customHeight="1">
      <c r="A23" s="41"/>
      <c r="B23" s="11"/>
      <c r="C23" s="11"/>
      <c r="D23" s="11"/>
      <c r="E23" s="11"/>
      <c r="F23" s="11"/>
      <c r="G23" s="11"/>
      <c r="H23" s="11"/>
      <c r="I23" s="41"/>
      <c r="J23" s="11"/>
      <c r="K23" s="11"/>
      <c r="L23" s="11"/>
      <c r="M23" s="11"/>
      <c r="N23" s="11"/>
      <c r="O23" s="11"/>
      <c r="P23" s="11"/>
      <c r="Q23" s="41"/>
      <c r="R23" s="11"/>
      <c r="S23" s="11"/>
      <c r="T23" s="11"/>
      <c r="U23" s="11"/>
      <c r="V23" s="11"/>
      <c r="W23" s="11"/>
      <c r="X23" s="11"/>
      <c r="Y23" s="41">
        <v>14.0</v>
      </c>
      <c r="Z23" s="11" t="s">
        <v>263</v>
      </c>
      <c r="AA23" s="11">
        <v>947.235</v>
      </c>
      <c r="AB23" s="11">
        <v>2322.586</v>
      </c>
      <c r="AC23" s="11">
        <v>3694.445</v>
      </c>
      <c r="AD23" s="11">
        <v>0.0</v>
      </c>
      <c r="AE23" s="11"/>
      <c r="AF23" s="11"/>
      <c r="AG23" s="11" t="s">
        <v>67</v>
      </c>
      <c r="AH23" s="11">
        <v>0.0</v>
      </c>
      <c r="AI23" s="11">
        <v>0.0</v>
      </c>
      <c r="AJ23" s="11">
        <v>0.0</v>
      </c>
      <c r="AK23" s="11">
        <v>165.382</v>
      </c>
      <c r="AL23" s="11"/>
      <c r="AM23" s="11"/>
      <c r="AN23" s="11" t="s">
        <v>264</v>
      </c>
      <c r="AO23" s="11">
        <v>18095.92781</v>
      </c>
      <c r="AP23" s="11">
        <v>18074.91635</v>
      </c>
      <c r="AQ23" s="11">
        <v>18076.71819</v>
      </c>
      <c r="AR23" s="11"/>
      <c r="AS23" s="11"/>
      <c r="AT23" s="11" t="s">
        <v>259</v>
      </c>
      <c r="AU23" s="11">
        <v>0.0</v>
      </c>
      <c r="AV23" s="11">
        <v>129.08187</v>
      </c>
      <c r="AW23" s="11"/>
      <c r="AX23" s="11"/>
      <c r="AY23" s="11" t="s">
        <v>243</v>
      </c>
      <c r="AZ23" s="11">
        <v>1324.94124</v>
      </c>
      <c r="BA23" s="11">
        <v>200.33234</v>
      </c>
      <c r="BB23" s="11">
        <v>200.33234</v>
      </c>
      <c r="BC23" s="11"/>
      <c r="BD23" s="11"/>
      <c r="BE23" s="11" t="s">
        <v>242</v>
      </c>
      <c r="BF23" s="11">
        <v>769.454</v>
      </c>
      <c r="BG23" s="11">
        <v>789.37</v>
      </c>
      <c r="BH23" s="11">
        <v>928.791</v>
      </c>
      <c r="BI23" s="11"/>
      <c r="BJ23" s="11"/>
      <c r="BK23" s="11" t="s">
        <v>242</v>
      </c>
      <c r="BL23" s="11">
        <v>41213.109</v>
      </c>
      <c r="BM23" s="11">
        <v>62895.831</v>
      </c>
      <c r="BN23" s="11">
        <v>46525.352</v>
      </c>
      <c r="BO23" s="11"/>
      <c r="BP23" s="11"/>
      <c r="BQ23" s="11" t="s">
        <v>242</v>
      </c>
      <c r="BR23" s="11">
        <v>284.40045</v>
      </c>
      <c r="BS23" s="11">
        <v>480.94971</v>
      </c>
      <c r="BT23" s="11">
        <v>1922.92975</v>
      </c>
      <c r="BU23" s="11">
        <v>530.8150600000001</v>
      </c>
      <c r="BV23" s="11"/>
      <c r="BW23" s="11"/>
      <c r="BX23" s="11" t="s">
        <v>252</v>
      </c>
      <c r="BY23" s="11">
        <v>0.0</v>
      </c>
      <c r="BZ23" s="11">
        <v>852918.209</v>
      </c>
      <c r="CA23" s="11">
        <v>885930.72</v>
      </c>
      <c r="CB23" s="11">
        <v>880164.0738</v>
      </c>
      <c r="CC23" s="11"/>
      <c r="CD23" s="11"/>
      <c r="CE23" s="11" t="s">
        <v>243</v>
      </c>
      <c r="CF23" s="11">
        <v>2785.983</v>
      </c>
      <c r="CG23" s="11">
        <v>3461.277</v>
      </c>
      <c r="CH23" s="11">
        <v>3998.361</v>
      </c>
      <c r="CI23" s="11"/>
      <c r="CJ23" s="11"/>
      <c r="CK23" s="11" t="s">
        <v>243</v>
      </c>
      <c r="CL23" s="11">
        <v>305.49762</v>
      </c>
      <c r="CM23" s="11">
        <v>404.32849</v>
      </c>
      <c r="CN23" s="11">
        <v>659.75551</v>
      </c>
      <c r="CO23" s="11"/>
      <c r="CP23" s="43"/>
      <c r="CQ23" s="40" t="s">
        <v>229</v>
      </c>
      <c r="CR23" s="11">
        <v>407.668</v>
      </c>
      <c r="CS23" s="11">
        <v>2554.78346</v>
      </c>
      <c r="CT23" s="11"/>
      <c r="CU23" s="11">
        <v>34.0</v>
      </c>
      <c r="CV23" s="11" t="s">
        <v>262</v>
      </c>
      <c r="CW23" s="11">
        <v>0.0</v>
      </c>
      <c r="CX23" s="11">
        <v>0.0</v>
      </c>
      <c r="CY23" s="11">
        <v>0.0</v>
      </c>
      <c r="CZ23" s="11">
        <v>0.0</v>
      </c>
      <c r="DA23" s="11"/>
      <c r="DB23" s="11"/>
      <c r="DC23" s="11"/>
      <c r="DD23" s="11"/>
      <c r="DE23" s="11"/>
      <c r="DF23" s="11"/>
      <c r="DG23" s="11"/>
    </row>
    <row r="24" ht="15.75" customHeight="1">
      <c r="A24" s="41"/>
      <c r="B24" s="11"/>
      <c r="C24" s="11"/>
      <c r="D24" s="11"/>
      <c r="E24" s="11"/>
      <c r="F24" s="11"/>
      <c r="G24" s="11"/>
      <c r="H24" s="11"/>
      <c r="I24" s="41"/>
      <c r="J24" s="11"/>
      <c r="K24" s="11"/>
      <c r="L24" s="11"/>
      <c r="M24" s="11"/>
      <c r="N24" s="11"/>
      <c r="O24" s="11"/>
      <c r="P24" s="11"/>
      <c r="Q24" s="41"/>
      <c r="R24" s="11"/>
      <c r="S24" s="11"/>
      <c r="T24" s="11"/>
      <c r="U24" s="11"/>
      <c r="V24" s="11"/>
      <c r="W24" s="11"/>
      <c r="X24" s="11"/>
      <c r="Y24" s="41">
        <v>15.0</v>
      </c>
      <c r="Z24" s="11" t="s">
        <v>257</v>
      </c>
      <c r="AA24" s="11">
        <v>0.0</v>
      </c>
      <c r="AB24" s="11">
        <v>0.0</v>
      </c>
      <c r="AC24" s="11">
        <v>0.0</v>
      </c>
      <c r="AD24" s="11">
        <v>71.945</v>
      </c>
      <c r="AE24" s="11"/>
      <c r="AF24" s="11"/>
      <c r="AG24" s="11" t="s">
        <v>265</v>
      </c>
      <c r="AH24" s="11">
        <v>0.0</v>
      </c>
      <c r="AI24" s="11">
        <v>30400.785</v>
      </c>
      <c r="AJ24" s="11">
        <v>30955.847</v>
      </c>
      <c r="AK24" s="11">
        <v>33174.27</v>
      </c>
      <c r="AL24" s="11"/>
      <c r="AM24" s="11"/>
      <c r="AN24" s="11"/>
      <c r="AO24" s="11"/>
      <c r="AP24" s="11"/>
      <c r="AQ24" s="11"/>
      <c r="AR24" s="11"/>
      <c r="AS24" s="11"/>
      <c r="AT24" s="11" t="s">
        <v>266</v>
      </c>
      <c r="AU24" s="11">
        <v>7.5</v>
      </c>
      <c r="AV24" s="11">
        <v>7.5</v>
      </c>
      <c r="AW24" s="11"/>
      <c r="AX24" s="11"/>
      <c r="AY24" s="11" t="s">
        <v>244</v>
      </c>
      <c r="AZ24" s="11">
        <v>872.30448</v>
      </c>
      <c r="BA24" s="11">
        <v>272.25507</v>
      </c>
      <c r="BB24" s="11">
        <v>272.25507</v>
      </c>
      <c r="BC24" s="11"/>
      <c r="BD24" s="11"/>
      <c r="BE24" s="11" t="s">
        <v>243</v>
      </c>
      <c r="BF24" s="11">
        <v>245.74</v>
      </c>
      <c r="BG24" s="11">
        <v>306.351</v>
      </c>
      <c r="BH24" s="11">
        <v>309.985</v>
      </c>
      <c r="BI24" s="11"/>
      <c r="BJ24" s="11"/>
      <c r="BK24" s="11" t="s">
        <v>243</v>
      </c>
      <c r="BL24" s="11">
        <v>10867.467</v>
      </c>
      <c r="BM24" s="11">
        <v>12936.183</v>
      </c>
      <c r="BN24" s="11">
        <v>16235.297</v>
      </c>
      <c r="BO24" s="11"/>
      <c r="BP24" s="11"/>
      <c r="BQ24" s="11" t="s">
        <v>243</v>
      </c>
      <c r="BR24" s="11">
        <v>24.91852</v>
      </c>
      <c r="BS24" s="11">
        <v>14.41624</v>
      </c>
      <c r="BT24" s="11">
        <v>29.7336</v>
      </c>
      <c r="BU24" s="11">
        <v>5.39205</v>
      </c>
      <c r="BV24" s="11"/>
      <c r="BW24" s="11"/>
      <c r="BX24" s="11" t="s">
        <v>241</v>
      </c>
      <c r="BY24" s="11">
        <v>0.0</v>
      </c>
      <c r="BZ24" s="11">
        <v>405529.232</v>
      </c>
      <c r="CA24" s="11">
        <v>412164.028</v>
      </c>
      <c r="CB24" s="11">
        <v>454824.4548</v>
      </c>
      <c r="CC24" s="11"/>
      <c r="CD24" s="11"/>
      <c r="CE24" s="11" t="s">
        <v>244</v>
      </c>
      <c r="CF24" s="11">
        <v>1560.74</v>
      </c>
      <c r="CG24" s="11">
        <v>2483.927</v>
      </c>
      <c r="CH24" s="11">
        <v>3840.796</v>
      </c>
      <c r="CI24" s="11"/>
      <c r="CJ24" s="11"/>
      <c r="CK24" s="11" t="s">
        <v>244</v>
      </c>
      <c r="CL24" s="11">
        <v>133.69395</v>
      </c>
      <c r="CM24" s="11">
        <v>133.69395</v>
      </c>
      <c r="CN24" s="11">
        <v>133.69395</v>
      </c>
      <c r="CO24" s="11"/>
      <c r="CP24" s="43"/>
      <c r="CQ24" s="40" t="s">
        <v>247</v>
      </c>
      <c r="CR24" s="11"/>
      <c r="CS24" s="11"/>
      <c r="CT24" s="11"/>
      <c r="CU24" s="11">
        <v>35.0</v>
      </c>
      <c r="CV24" s="11" t="s">
        <v>264</v>
      </c>
      <c r="CW24" s="11">
        <v>6901.0075</v>
      </c>
      <c r="CX24" s="11">
        <v>11172.15092</v>
      </c>
      <c r="CY24" s="11">
        <v>15416.92233</v>
      </c>
      <c r="CZ24" s="11">
        <v>14821.271355</v>
      </c>
      <c r="DA24" s="11"/>
      <c r="DB24" s="11"/>
      <c r="DC24" s="11"/>
      <c r="DD24" s="11"/>
      <c r="DE24" s="11"/>
      <c r="DF24" s="11"/>
      <c r="DG24" s="11"/>
    </row>
    <row r="25" ht="15.75" customHeight="1">
      <c r="A25" s="41"/>
      <c r="B25" s="11"/>
      <c r="C25" s="11"/>
      <c r="D25" s="11"/>
      <c r="E25" s="11"/>
      <c r="F25" s="11"/>
      <c r="G25" s="11"/>
      <c r="H25" s="11"/>
      <c r="I25" s="41"/>
      <c r="J25" s="11"/>
      <c r="K25" s="11"/>
      <c r="L25" s="11"/>
      <c r="M25" s="11"/>
      <c r="N25" s="11"/>
      <c r="O25" s="11"/>
      <c r="P25" s="11"/>
      <c r="Q25" s="41"/>
      <c r="R25" s="11"/>
      <c r="S25" s="11"/>
      <c r="T25" s="11"/>
      <c r="U25" s="11"/>
      <c r="V25" s="11"/>
      <c r="W25" s="11"/>
      <c r="X25" s="11"/>
      <c r="Y25" s="41">
        <v>16.0</v>
      </c>
      <c r="Z25" s="11" t="s">
        <v>250</v>
      </c>
      <c r="AA25" s="11">
        <v>17118.68</v>
      </c>
      <c r="AB25" s="11">
        <v>22603.33</v>
      </c>
      <c r="AC25" s="11">
        <v>41829.318</v>
      </c>
      <c r="AD25" s="11">
        <v>22008.315</v>
      </c>
      <c r="AE25" s="11"/>
      <c r="AF25" s="11"/>
      <c r="AG25" s="11" t="s">
        <v>260</v>
      </c>
      <c r="AH25" s="11">
        <v>0.0</v>
      </c>
      <c r="AI25" s="11">
        <v>-18449.081</v>
      </c>
      <c r="AJ25" s="11">
        <v>-20298.672</v>
      </c>
      <c r="AK25" s="11">
        <v>-22202.915</v>
      </c>
      <c r="AL25" s="11"/>
      <c r="AM25" s="11"/>
      <c r="AN25" s="11" t="s">
        <v>267</v>
      </c>
      <c r="AO25" s="11">
        <v>0.0</v>
      </c>
      <c r="AP25" s="11">
        <v>0.0</v>
      </c>
      <c r="AQ25" s="11">
        <v>0.0</v>
      </c>
      <c r="AR25" s="11"/>
      <c r="AS25" s="11"/>
      <c r="AT25" s="11" t="s">
        <v>262</v>
      </c>
      <c r="AU25" s="11">
        <v>7.5</v>
      </c>
      <c r="AV25" s="11">
        <v>7.5</v>
      </c>
      <c r="AW25" s="11"/>
      <c r="AX25" s="11"/>
      <c r="AY25" s="11" t="s">
        <v>248</v>
      </c>
      <c r="AZ25" s="11">
        <v>1329.38558</v>
      </c>
      <c r="BA25" s="11">
        <v>1145.71954</v>
      </c>
      <c r="BB25" s="11">
        <v>1145.71954</v>
      </c>
      <c r="BC25" s="11"/>
      <c r="BD25" s="11"/>
      <c r="BE25" s="11" t="s">
        <v>244</v>
      </c>
      <c r="BF25" s="11">
        <v>222.241</v>
      </c>
      <c r="BG25" s="11">
        <v>320.451</v>
      </c>
      <c r="BH25" s="11">
        <v>323.932</v>
      </c>
      <c r="BI25" s="11"/>
      <c r="BJ25" s="11"/>
      <c r="BK25" s="11" t="s">
        <v>244</v>
      </c>
      <c r="BL25" s="11">
        <v>1350.093</v>
      </c>
      <c r="BM25" s="11">
        <v>2740.582</v>
      </c>
      <c r="BN25" s="11">
        <v>3387.618</v>
      </c>
      <c r="BO25" s="11"/>
      <c r="BP25" s="11"/>
      <c r="BQ25" s="11" t="s">
        <v>244</v>
      </c>
      <c r="BR25" s="11">
        <v>77.12312</v>
      </c>
      <c r="BS25" s="11">
        <v>55.06513</v>
      </c>
      <c r="BT25" s="11">
        <v>40.8125</v>
      </c>
      <c r="BU25" s="11">
        <v>56.13315</v>
      </c>
      <c r="BV25" s="11"/>
      <c r="BW25" s="11"/>
      <c r="BX25" s="11" t="s">
        <v>242</v>
      </c>
      <c r="BY25" s="11">
        <v>0.0</v>
      </c>
      <c r="BZ25" s="11">
        <v>69950.308</v>
      </c>
      <c r="CA25" s="11">
        <v>75555.917</v>
      </c>
      <c r="CB25" s="11">
        <v>85517.59909</v>
      </c>
      <c r="CC25" s="11"/>
      <c r="CD25" s="11"/>
      <c r="CE25" s="11" t="s">
        <v>251</v>
      </c>
      <c r="CF25" s="11">
        <v>6755.945</v>
      </c>
      <c r="CG25" s="11">
        <v>12328.65</v>
      </c>
      <c r="CH25" s="11">
        <v>27311.04</v>
      </c>
      <c r="CI25" s="11"/>
      <c r="CJ25" s="11"/>
      <c r="CK25" s="11" t="s">
        <v>251</v>
      </c>
      <c r="CL25" s="11">
        <v>7238.484039999999</v>
      </c>
      <c r="CM25" s="11">
        <v>7488.657249999999</v>
      </c>
      <c r="CN25" s="11">
        <v>9459.482820000001</v>
      </c>
      <c r="CO25" s="11"/>
      <c r="CP25" s="43"/>
      <c r="CQ25" s="40" t="s">
        <v>252</v>
      </c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</row>
    <row r="26" ht="15.75" customHeight="1">
      <c r="A26" s="41" t="s">
        <v>258</v>
      </c>
      <c r="B26" s="11"/>
      <c r="C26" s="11"/>
      <c r="D26" s="11"/>
      <c r="E26" s="11"/>
      <c r="F26" s="11"/>
      <c r="G26" s="11"/>
      <c r="H26" s="11"/>
      <c r="I26" s="41" t="s">
        <v>258</v>
      </c>
      <c r="J26" s="11"/>
      <c r="K26" s="11"/>
      <c r="L26" s="11"/>
      <c r="M26" s="11"/>
      <c r="N26" s="11"/>
      <c r="O26" s="11"/>
      <c r="P26" s="11"/>
      <c r="Q26" s="41" t="s">
        <v>258</v>
      </c>
      <c r="R26" s="11"/>
      <c r="S26" s="11"/>
      <c r="T26" s="11"/>
      <c r="U26" s="11"/>
      <c r="V26" s="11"/>
      <c r="W26" s="11"/>
      <c r="X26" s="11"/>
      <c r="Y26" s="41" t="s">
        <v>258</v>
      </c>
      <c r="Z26" s="11"/>
      <c r="AA26" s="11"/>
      <c r="AB26" s="11"/>
      <c r="AC26" s="11"/>
      <c r="AD26" s="11"/>
      <c r="AE26" s="11"/>
      <c r="AF26" s="11"/>
      <c r="AG26" s="11" t="s">
        <v>259</v>
      </c>
      <c r="AH26" s="11">
        <v>0.0</v>
      </c>
      <c r="AI26" s="11">
        <v>11951.704</v>
      </c>
      <c r="AJ26" s="11">
        <v>10657.175</v>
      </c>
      <c r="AK26" s="11">
        <v>10971.355</v>
      </c>
      <c r="AL26" s="11"/>
      <c r="AM26" s="11"/>
      <c r="AN26" s="11" t="s">
        <v>268</v>
      </c>
      <c r="AO26" s="11">
        <v>5.89476</v>
      </c>
      <c r="AP26" s="11"/>
      <c r="AQ26" s="11">
        <v>0.0</v>
      </c>
      <c r="AR26" s="11"/>
      <c r="AS26" s="11"/>
      <c r="AT26" s="11" t="s">
        <v>264</v>
      </c>
      <c r="AU26" s="11">
        <v>12.5</v>
      </c>
      <c r="AV26" s="11">
        <v>18162.11672</v>
      </c>
      <c r="AW26" s="11"/>
      <c r="AX26" s="11"/>
      <c r="AY26" s="11" t="s">
        <v>251</v>
      </c>
      <c r="AZ26" s="11">
        <v>16347.70812</v>
      </c>
      <c r="BA26" s="11">
        <v>18501.09217</v>
      </c>
      <c r="BB26" s="11">
        <v>20780.62865</v>
      </c>
      <c r="BC26" s="11"/>
      <c r="BD26" s="11"/>
      <c r="BE26" s="11" t="s">
        <v>251</v>
      </c>
      <c r="BF26" s="11">
        <v>3011.027999999999</v>
      </c>
      <c r="BG26" s="11">
        <v>3195.533</v>
      </c>
      <c r="BH26" s="11">
        <v>3342.069</v>
      </c>
      <c r="BI26" s="11"/>
      <c r="BJ26" s="11"/>
      <c r="BK26" s="11" t="s">
        <v>248</v>
      </c>
      <c r="BL26" s="11">
        <v>1953.602</v>
      </c>
      <c r="BM26" s="11">
        <v>16092.191</v>
      </c>
      <c r="BN26" s="11">
        <v>26296.914</v>
      </c>
      <c r="BO26" s="11"/>
      <c r="BP26" s="11"/>
      <c r="BQ26" s="11" t="s">
        <v>248</v>
      </c>
      <c r="BR26" s="11">
        <v>429.75155</v>
      </c>
      <c r="BS26" s="11">
        <v>24.02801</v>
      </c>
      <c r="BT26" s="11">
        <v>10.41581</v>
      </c>
      <c r="BU26" s="11">
        <v>2.86137</v>
      </c>
      <c r="BV26" s="11"/>
      <c r="BW26" s="11"/>
      <c r="BX26" s="11" t="s">
        <v>243</v>
      </c>
      <c r="BY26" s="11">
        <v>0.0</v>
      </c>
      <c r="BZ26" s="11">
        <v>363355.948</v>
      </c>
      <c r="CA26" s="11">
        <v>363959.796</v>
      </c>
      <c r="CB26" s="11">
        <v>326068.12751</v>
      </c>
      <c r="CC26" s="11"/>
      <c r="CD26" s="11"/>
      <c r="CE26" s="11" t="s">
        <v>260</v>
      </c>
      <c r="CF26" s="11">
        <v>-4598.095</v>
      </c>
      <c r="CG26" s="11">
        <v>-6259.373</v>
      </c>
      <c r="CH26" s="11">
        <v>-8178.749</v>
      </c>
      <c r="CI26" s="11"/>
      <c r="CJ26" s="11"/>
      <c r="CK26" s="11" t="s">
        <v>260</v>
      </c>
      <c r="CL26" s="11">
        <v>-3647.02238</v>
      </c>
      <c r="CM26" s="11">
        <v>-3647.02238</v>
      </c>
      <c r="CN26" s="11">
        <v>-3316.76044</v>
      </c>
      <c r="CO26" s="11"/>
      <c r="CP26" s="43"/>
      <c r="CQ26" s="40" t="s">
        <v>254</v>
      </c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</row>
    <row r="27" ht="15.75" customHeight="1">
      <c r="H27" s="11"/>
      <c r="I27" s="41">
        <v>16.0</v>
      </c>
      <c r="J27" s="11" t="s">
        <v>247</v>
      </c>
      <c r="K27" s="11">
        <v>58054.0</v>
      </c>
      <c r="L27" s="11">
        <v>51873.0</v>
      </c>
      <c r="M27" s="11">
        <v>0.0</v>
      </c>
      <c r="N27" s="11">
        <v>0.0</v>
      </c>
      <c r="O27" s="11">
        <v>0.0</v>
      </c>
      <c r="P27" s="11"/>
      <c r="Q27" s="41">
        <v>16.0</v>
      </c>
      <c r="R27" s="11" t="s">
        <v>269</v>
      </c>
      <c r="S27" s="11">
        <v>10925.0</v>
      </c>
      <c r="T27" s="11">
        <v>26300.778</v>
      </c>
      <c r="U27" s="11">
        <v>23715.271</v>
      </c>
      <c r="V27" s="11">
        <v>28567.047</v>
      </c>
      <c r="W27" s="11">
        <v>29221.778</v>
      </c>
      <c r="X27" s="11"/>
      <c r="Y27" s="41">
        <v>17.0</v>
      </c>
      <c r="Z27" s="11" t="s">
        <v>247</v>
      </c>
      <c r="AA27" s="11"/>
      <c r="AB27" s="11"/>
      <c r="AC27" s="11"/>
      <c r="AD27" s="11"/>
      <c r="AE27" s="11"/>
      <c r="AF27" s="11"/>
      <c r="AG27" s="11" t="s">
        <v>270</v>
      </c>
      <c r="AH27" s="11">
        <v>0.0</v>
      </c>
      <c r="AI27" s="11">
        <v>11319.385</v>
      </c>
      <c r="AJ27" s="11">
        <v>20216.327</v>
      </c>
      <c r="AK27" s="11">
        <v>14995.304</v>
      </c>
      <c r="AL27" s="11"/>
      <c r="AM27" s="11"/>
      <c r="AN27" s="11" t="s">
        <v>271</v>
      </c>
      <c r="AO27" s="11">
        <v>5.89476</v>
      </c>
      <c r="AP27" s="11">
        <v>0.0</v>
      </c>
      <c r="AQ27" s="11">
        <v>0.0</v>
      </c>
      <c r="AR27" s="11"/>
      <c r="AS27" s="11"/>
      <c r="AT27" s="11"/>
      <c r="AU27" s="11"/>
      <c r="AV27" s="11">
        <v>0.0</v>
      </c>
      <c r="AW27" s="11"/>
      <c r="AX27" s="11"/>
      <c r="AY27" s="11" t="s">
        <v>260</v>
      </c>
      <c r="AZ27" s="11"/>
      <c r="BA27" s="11"/>
      <c r="BB27" s="11">
        <v>0.0</v>
      </c>
      <c r="BC27" s="11"/>
      <c r="BD27" s="11"/>
      <c r="BE27" s="11" t="s">
        <v>260</v>
      </c>
      <c r="BF27" s="11">
        <v>-1203.923</v>
      </c>
      <c r="BG27" s="11">
        <v>-1452.702</v>
      </c>
      <c r="BH27" s="11">
        <v>-1529.055</v>
      </c>
      <c r="BI27" s="11"/>
      <c r="BJ27" s="11"/>
      <c r="BK27" s="11" t="s">
        <v>251</v>
      </c>
      <c r="BL27" s="11">
        <v>115854.639</v>
      </c>
      <c r="BM27" s="11">
        <v>155773.892</v>
      </c>
      <c r="BN27" s="11">
        <v>177749.23</v>
      </c>
      <c r="BO27" s="11"/>
      <c r="BP27" s="11"/>
      <c r="BQ27" s="11" t="s">
        <v>251</v>
      </c>
      <c r="BR27" s="11">
        <v>818.82467</v>
      </c>
      <c r="BS27" s="11">
        <v>574.83484</v>
      </c>
      <c r="BT27" s="11">
        <v>2018.30895</v>
      </c>
      <c r="BU27" s="11">
        <v>3263.649780000004</v>
      </c>
      <c r="BV27" s="11"/>
      <c r="BW27" s="11"/>
      <c r="BX27" s="11" t="s">
        <v>244</v>
      </c>
      <c r="BY27" s="11">
        <v>0.0</v>
      </c>
      <c r="BZ27" s="11">
        <v>12203.466</v>
      </c>
      <c r="CA27" s="11">
        <v>12805.699</v>
      </c>
      <c r="CB27" s="11">
        <v>12902.93972</v>
      </c>
      <c r="CC27" s="11"/>
      <c r="CD27" s="11"/>
      <c r="CE27" s="11" t="s">
        <v>259</v>
      </c>
      <c r="CF27" s="11">
        <v>2157.849999999999</v>
      </c>
      <c r="CG27" s="11">
        <v>6069.277000000002</v>
      </c>
      <c r="CH27" s="11">
        <v>19132.291</v>
      </c>
      <c r="CI27" s="11"/>
      <c r="CJ27" s="11"/>
      <c r="CK27" s="11" t="s">
        <v>259</v>
      </c>
      <c r="CL27" s="11">
        <v>3591.461659999999</v>
      </c>
      <c r="CM27" s="11">
        <v>3841.634869999999</v>
      </c>
      <c r="CN27" s="11">
        <v>6142.722380000001</v>
      </c>
      <c r="CO27" s="11"/>
      <c r="CP27" s="43"/>
      <c r="CQ27" s="40" t="s">
        <v>272</v>
      </c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</row>
    <row r="28" ht="15.75" customHeight="1">
      <c r="H28" s="11"/>
      <c r="I28" s="41">
        <v>17.0</v>
      </c>
      <c r="J28" s="11" t="s">
        <v>252</v>
      </c>
      <c r="K28" s="11">
        <v>42183.0</v>
      </c>
      <c r="L28" s="11">
        <v>43456.0</v>
      </c>
      <c r="M28" s="11">
        <v>0.0</v>
      </c>
      <c r="N28" s="11">
        <v>0.0</v>
      </c>
      <c r="O28" s="11">
        <v>0.0</v>
      </c>
      <c r="P28" s="11"/>
      <c r="Q28" s="41">
        <v>27.0</v>
      </c>
      <c r="R28" s="11" t="s">
        <v>265</v>
      </c>
      <c r="S28" s="11">
        <v>25948.0</v>
      </c>
      <c r="T28" s="11">
        <v>26300.778</v>
      </c>
      <c r="U28" s="11">
        <v>23715.271</v>
      </c>
      <c r="V28" s="11">
        <v>28567.047</v>
      </c>
      <c r="W28" s="11">
        <v>29221.778</v>
      </c>
      <c r="X28" s="11"/>
      <c r="Y28" s="41">
        <v>18.0</v>
      </c>
      <c r="Z28" s="11" t="s">
        <v>252</v>
      </c>
      <c r="AA28" s="11"/>
      <c r="AB28" s="11"/>
      <c r="AC28" s="11"/>
      <c r="AD28" s="11"/>
      <c r="AE28" s="11"/>
      <c r="AF28" s="11"/>
      <c r="AG28" s="11" t="s">
        <v>262</v>
      </c>
      <c r="AH28" s="11">
        <v>0.0</v>
      </c>
      <c r="AI28" s="11">
        <v>11319.385</v>
      </c>
      <c r="AJ28" s="11">
        <v>20216.327</v>
      </c>
      <c r="AK28" s="11">
        <v>14995.304</v>
      </c>
      <c r="AL28" s="11"/>
      <c r="AM28" s="11"/>
      <c r="AN28" s="11" t="s">
        <v>273</v>
      </c>
      <c r="AO28" s="11">
        <v>5.89476</v>
      </c>
      <c r="AP28" s="11">
        <v>0.0</v>
      </c>
      <c r="AQ28" s="11">
        <v>0.0</v>
      </c>
      <c r="AR28" s="11"/>
      <c r="AS28" s="11"/>
      <c r="AT28" s="11" t="s">
        <v>274</v>
      </c>
      <c r="AU28" s="11"/>
      <c r="AV28" s="11">
        <v>1517.88104</v>
      </c>
      <c r="AW28" s="11"/>
      <c r="AX28" s="11"/>
      <c r="AY28" s="11" t="s">
        <v>259</v>
      </c>
      <c r="AZ28" s="11">
        <v>16347.70812</v>
      </c>
      <c r="BA28" s="11">
        <v>18501.09217</v>
      </c>
      <c r="BB28" s="11">
        <v>20780.62865</v>
      </c>
      <c r="BC28" s="11"/>
      <c r="BD28" s="11"/>
      <c r="BE28" s="11" t="s">
        <v>259</v>
      </c>
      <c r="BF28" s="11">
        <v>1807.104999999999</v>
      </c>
      <c r="BG28" s="11">
        <v>1742.831</v>
      </c>
      <c r="BH28" s="11">
        <v>1813.014</v>
      </c>
      <c r="BI28" s="11"/>
      <c r="BJ28" s="11"/>
      <c r="BK28" s="11" t="s">
        <v>260</v>
      </c>
      <c r="BL28" s="11">
        <v>-44364.334</v>
      </c>
      <c r="BM28" s="11">
        <v>-53133.562</v>
      </c>
      <c r="BN28" s="11">
        <v>-61649.073</v>
      </c>
      <c r="BO28" s="11"/>
      <c r="BP28" s="11"/>
      <c r="BQ28" s="11" t="s">
        <v>260</v>
      </c>
      <c r="BR28" s="11">
        <v>-323.2547000000034</v>
      </c>
      <c r="BS28" s="11">
        <v>-379.52225</v>
      </c>
      <c r="BT28" s="11">
        <v>-549.1901700000001</v>
      </c>
      <c r="BU28" s="11">
        <v>-282.16308</v>
      </c>
      <c r="BV28" s="11"/>
      <c r="BW28" s="11"/>
      <c r="BX28" s="11" t="s">
        <v>248</v>
      </c>
      <c r="BY28" s="11">
        <v>1074320.722</v>
      </c>
      <c r="BZ28" s="11">
        <v>-4031.162</v>
      </c>
      <c r="CA28" s="11">
        <v>-6234.923</v>
      </c>
      <c r="CB28" s="11">
        <v>95995.85061</v>
      </c>
      <c r="CC28" s="11"/>
      <c r="CD28" s="11"/>
      <c r="CE28" s="11" t="s">
        <v>275</v>
      </c>
      <c r="CF28" s="11">
        <v>5951.627</v>
      </c>
      <c r="CG28" s="11">
        <v>5951.627</v>
      </c>
      <c r="CH28" s="11">
        <v>5951.627</v>
      </c>
      <c r="CI28" s="11"/>
      <c r="CJ28" s="11"/>
      <c r="CK28" s="11" t="s">
        <v>262</v>
      </c>
      <c r="CL28" s="11">
        <v>0.0</v>
      </c>
      <c r="CM28" s="11">
        <v>0.0</v>
      </c>
      <c r="CN28" s="11">
        <v>0.0</v>
      </c>
      <c r="CO28" s="11"/>
      <c r="CP28" s="43"/>
      <c r="CQ28" s="40" t="s">
        <v>241</v>
      </c>
      <c r="CR28" s="11">
        <v>0.0</v>
      </c>
      <c r="CS28" s="11">
        <v>0.0</v>
      </c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</row>
    <row r="29" ht="15.75" customHeight="1">
      <c r="H29" s="11"/>
      <c r="I29" s="41">
        <v>18.0</v>
      </c>
      <c r="J29" s="11" t="s">
        <v>254</v>
      </c>
      <c r="K29" s="11">
        <v>7791.0</v>
      </c>
      <c r="L29" s="11">
        <v>5995.0</v>
      </c>
      <c r="M29" s="11">
        <v>0.0</v>
      </c>
      <c r="N29" s="11">
        <v>0.0</v>
      </c>
      <c r="O29" s="11">
        <v>0.0</v>
      </c>
      <c r="P29" s="11"/>
      <c r="Q29" s="41">
        <v>28.0</v>
      </c>
      <c r="R29" s="11" t="s">
        <v>260</v>
      </c>
      <c r="S29" s="11">
        <v>0.0</v>
      </c>
      <c r="T29" s="11">
        <v>0.0</v>
      </c>
      <c r="U29" s="11">
        <v>0.0</v>
      </c>
      <c r="V29" s="11">
        <v>0.0</v>
      </c>
      <c r="W29" s="11">
        <v>0.0</v>
      </c>
      <c r="X29" s="11"/>
      <c r="Y29" s="41">
        <v>19.0</v>
      </c>
      <c r="Z29" s="11" t="s">
        <v>254</v>
      </c>
      <c r="AA29" s="11"/>
      <c r="AB29" s="11">
        <v>1689.486</v>
      </c>
      <c r="AC29" s="11">
        <v>2505.577</v>
      </c>
      <c r="AD29" s="11"/>
      <c r="AE29" s="11"/>
      <c r="AF29" s="11"/>
      <c r="AG29" s="11" t="s">
        <v>264</v>
      </c>
      <c r="AH29" s="11">
        <v>4149.0</v>
      </c>
      <c r="AI29" s="11">
        <v>79133.635</v>
      </c>
      <c r="AJ29" s="11">
        <v>78440.942</v>
      </c>
      <c r="AK29" s="11">
        <v>79738.37599999999</v>
      </c>
      <c r="AL29" s="11"/>
      <c r="AM29" s="11"/>
      <c r="AN29" s="11" t="s">
        <v>276</v>
      </c>
      <c r="AO29" s="11">
        <v>2000.0</v>
      </c>
      <c r="AP29" s="11">
        <v>2000.0</v>
      </c>
      <c r="AQ29" s="11">
        <v>2000.0</v>
      </c>
      <c r="AR29" s="11"/>
      <c r="AS29" s="11"/>
      <c r="AT29" s="11" t="s">
        <v>277</v>
      </c>
      <c r="AU29" s="11">
        <v>0.0</v>
      </c>
      <c r="AV29" s="11">
        <v>777.17908</v>
      </c>
      <c r="AW29" s="11"/>
      <c r="AX29" s="11"/>
      <c r="AY29" s="11" t="s">
        <v>278</v>
      </c>
      <c r="AZ29" s="11">
        <v>4372.55885</v>
      </c>
      <c r="BA29" s="11">
        <v>2125.383500000002</v>
      </c>
      <c r="BB29" s="11">
        <v>2125.38487</v>
      </c>
      <c r="BC29" s="11"/>
      <c r="BD29" s="11"/>
      <c r="BE29" s="11" t="s">
        <v>275</v>
      </c>
      <c r="BF29" s="11">
        <v>12.81100000000004</v>
      </c>
      <c r="BG29" s="11">
        <v>250.039</v>
      </c>
      <c r="BH29" s="11">
        <v>235.9150000000001</v>
      </c>
      <c r="BI29" s="11"/>
      <c r="BJ29" s="11"/>
      <c r="BK29" s="11" t="s">
        <v>259</v>
      </c>
      <c r="BL29" s="11">
        <v>71490.305</v>
      </c>
      <c r="BM29" s="11">
        <v>102640.33</v>
      </c>
      <c r="BN29" s="11">
        <v>116100.157</v>
      </c>
      <c r="BO29" s="11"/>
      <c r="BP29" s="11"/>
      <c r="BQ29" s="11" t="s">
        <v>259</v>
      </c>
      <c r="BR29" s="11">
        <v>495.5699699999966</v>
      </c>
      <c r="BS29" s="11">
        <v>195.31259</v>
      </c>
      <c r="BT29" s="11">
        <v>1469.11878</v>
      </c>
      <c r="BU29" s="11">
        <v>2981.486700000004</v>
      </c>
      <c r="BV29" s="11"/>
      <c r="BW29" s="11"/>
      <c r="BX29" s="11" t="s">
        <v>251</v>
      </c>
      <c r="BY29" s="11">
        <v>1074320.722</v>
      </c>
      <c r="BZ29" s="11">
        <v>1814490.07</v>
      </c>
      <c r="CA29" s="11">
        <v>1863486.464</v>
      </c>
      <c r="CB29" s="11">
        <v>1977740.77244</v>
      </c>
      <c r="CC29" s="11"/>
      <c r="CD29" s="11"/>
      <c r="CE29" s="11" t="s">
        <v>262</v>
      </c>
      <c r="CF29" s="11">
        <v>5951.627</v>
      </c>
      <c r="CG29" s="11">
        <v>5951.627</v>
      </c>
      <c r="CH29" s="11">
        <v>5951.627</v>
      </c>
      <c r="CI29" s="11"/>
      <c r="CJ29" s="11"/>
      <c r="CK29" s="11" t="s">
        <v>264</v>
      </c>
      <c r="CL29" s="11">
        <v>13789.077719</v>
      </c>
      <c r="CM29" s="11">
        <v>15858.15931</v>
      </c>
      <c r="CN29" s="11">
        <v>22550.46197</v>
      </c>
      <c r="CO29" s="11"/>
      <c r="CP29" s="43"/>
      <c r="CQ29" s="40" t="s">
        <v>279</v>
      </c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</row>
    <row r="30" ht="15.75" customHeight="1">
      <c r="H30" s="11"/>
      <c r="I30" s="41">
        <v>20.0</v>
      </c>
      <c r="J30" s="11" t="s">
        <v>241</v>
      </c>
      <c r="K30" s="11">
        <v>142121.0</v>
      </c>
      <c r="L30" s="11">
        <v>124902.0</v>
      </c>
      <c r="M30" s="11">
        <v>183901.697</v>
      </c>
      <c r="N30" s="11">
        <v>221052.018</v>
      </c>
      <c r="O30" s="11">
        <v>95615.30599999963</v>
      </c>
      <c r="P30" s="11"/>
      <c r="Q30" s="41">
        <v>29.0</v>
      </c>
      <c r="R30" s="11" t="s">
        <v>259</v>
      </c>
      <c r="S30" s="11">
        <v>25948.0</v>
      </c>
      <c r="T30" s="11">
        <v>26300.778</v>
      </c>
      <c r="U30" s="11">
        <v>23715.271</v>
      </c>
      <c r="V30" s="11">
        <v>28567.047</v>
      </c>
      <c r="W30" s="11">
        <v>29221.778</v>
      </c>
      <c r="X30" s="11"/>
      <c r="Y30" s="41">
        <v>20.0</v>
      </c>
      <c r="Z30" s="11" t="s">
        <v>272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280</v>
      </c>
      <c r="AO30" s="11">
        <v>14879.18517</v>
      </c>
      <c r="AP30" s="11">
        <v>14858.53718</v>
      </c>
      <c r="AQ30" s="11">
        <v>14858.25661</v>
      </c>
      <c r="AR30" s="11"/>
      <c r="AS30" s="11"/>
      <c r="AT30" s="11" t="s">
        <v>281</v>
      </c>
      <c r="AU30" s="11">
        <v>7.5</v>
      </c>
      <c r="AV30" s="11">
        <v>12035.121</v>
      </c>
      <c r="AW30" s="11"/>
      <c r="AX30" s="11"/>
      <c r="AY30" s="11" t="s">
        <v>262</v>
      </c>
      <c r="AZ30" s="11">
        <v>4372.55885</v>
      </c>
      <c r="BA30" s="11">
        <v>2125.383500000002</v>
      </c>
      <c r="BB30" s="11">
        <v>2125.38487</v>
      </c>
      <c r="BC30" s="11"/>
      <c r="BD30" s="11"/>
      <c r="BE30" s="11" t="s">
        <v>262</v>
      </c>
      <c r="BF30" s="11">
        <v>12.81100000000004</v>
      </c>
      <c r="BG30" s="11">
        <v>250.039</v>
      </c>
      <c r="BH30" s="11">
        <v>235.9150000000001</v>
      </c>
      <c r="BI30" s="11"/>
      <c r="BJ30" s="11"/>
      <c r="BK30" s="11" t="s">
        <v>275</v>
      </c>
      <c r="BL30" s="11">
        <v>3297.461</v>
      </c>
      <c r="BM30" s="11">
        <v>4455.227</v>
      </c>
      <c r="BN30" s="11">
        <v>5384.058</v>
      </c>
      <c r="BO30" s="11"/>
      <c r="BP30" s="11"/>
      <c r="BQ30" s="11" t="s">
        <v>275</v>
      </c>
      <c r="BR30" s="11">
        <v>1479.4846</v>
      </c>
      <c r="BS30" s="11">
        <v>1392.37832</v>
      </c>
      <c r="BT30" s="11">
        <v>1305.272</v>
      </c>
      <c r="BU30" s="11">
        <v>1218.16568</v>
      </c>
      <c r="BV30" s="11"/>
      <c r="BW30" s="11"/>
      <c r="BX30" s="11" t="s">
        <v>260</v>
      </c>
      <c r="BY30" s="11">
        <v>0.0</v>
      </c>
      <c r="BZ30" s="11">
        <v>-825733.244</v>
      </c>
      <c r="CA30" s="11">
        <v>-871961.981</v>
      </c>
      <c r="CB30" s="11">
        <v>-942492.0026499999</v>
      </c>
      <c r="CC30" s="11"/>
      <c r="CD30" s="11"/>
      <c r="CE30" s="11" t="s">
        <v>264</v>
      </c>
      <c r="CF30" s="11">
        <v>411387.426</v>
      </c>
      <c r="CG30" s="11">
        <v>549721.217</v>
      </c>
      <c r="CH30" s="11">
        <v>736046.4880000001</v>
      </c>
      <c r="CI30" s="11"/>
      <c r="CJ30" s="11"/>
      <c r="CK30" s="11"/>
      <c r="CL30" s="11"/>
      <c r="CM30" s="11"/>
      <c r="CN30" s="11"/>
      <c r="CO30" s="11"/>
      <c r="CP30" s="43"/>
      <c r="CQ30" s="40" t="s">
        <v>242</v>
      </c>
      <c r="CR30" s="11">
        <v>0.0</v>
      </c>
      <c r="CS30" s="11">
        <v>0.0</v>
      </c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</row>
    <row r="31" ht="15.75" customHeight="1">
      <c r="H31" s="11"/>
      <c r="I31" s="41">
        <v>22.0</v>
      </c>
      <c r="J31" s="11" t="s">
        <v>242</v>
      </c>
      <c r="K31" s="11">
        <v>4450.0</v>
      </c>
      <c r="L31" s="11">
        <v>4298.0</v>
      </c>
      <c r="M31" s="11">
        <v>0.0</v>
      </c>
      <c r="N31" s="11">
        <v>0.0</v>
      </c>
      <c r="O31" s="11">
        <v>0.0</v>
      </c>
      <c r="P31" s="11"/>
      <c r="Q31" s="41">
        <v>30.0</v>
      </c>
      <c r="R31" s="11" t="s">
        <v>282</v>
      </c>
      <c r="S31" s="11">
        <v>30351.0</v>
      </c>
      <c r="T31" s="11">
        <v>30351.24</v>
      </c>
      <c r="U31" s="11">
        <v>30351.24</v>
      </c>
      <c r="V31" s="11">
        <v>30351.24</v>
      </c>
      <c r="W31" s="11">
        <v>30351.24</v>
      </c>
      <c r="X31" s="11"/>
      <c r="Y31" s="41">
        <v>21.0</v>
      </c>
      <c r="Z31" s="11" t="s">
        <v>241</v>
      </c>
      <c r="AA31" s="11"/>
      <c r="AB31" s="11">
        <v>945.096</v>
      </c>
      <c r="AC31" s="11">
        <v>683.986</v>
      </c>
      <c r="AD31" s="11"/>
      <c r="AE31" s="11"/>
      <c r="AF31" s="11" t="s">
        <v>267</v>
      </c>
      <c r="AG31" s="11"/>
      <c r="AH31" s="11"/>
      <c r="AI31" s="11"/>
      <c r="AJ31" s="11"/>
      <c r="AK31" s="11"/>
      <c r="AL31" s="11"/>
      <c r="AM31" s="11"/>
      <c r="AN31" s="11" t="s">
        <v>283</v>
      </c>
      <c r="AO31" s="11">
        <v>44.22588</v>
      </c>
      <c r="AP31" s="11">
        <v>44.22588</v>
      </c>
      <c r="AQ31" s="11">
        <v>44.22588</v>
      </c>
      <c r="AR31" s="11"/>
      <c r="AS31" s="11"/>
      <c r="AT31" s="11" t="s">
        <v>267</v>
      </c>
      <c r="AU31" s="11">
        <v>7.5</v>
      </c>
      <c r="AV31" s="11">
        <v>14330.18112</v>
      </c>
      <c r="AW31" s="11"/>
      <c r="AX31" s="11"/>
      <c r="AY31" s="11" t="s">
        <v>264</v>
      </c>
      <c r="AZ31" s="11">
        <v>70449.03551999999</v>
      </c>
      <c r="BA31" s="11">
        <v>83499.08281000002</v>
      </c>
      <c r="BB31" s="11">
        <v>79186.64757999999</v>
      </c>
      <c r="BC31" s="11"/>
      <c r="BD31" s="11"/>
      <c r="BE31" s="11" t="s">
        <v>264</v>
      </c>
      <c r="BF31" s="11">
        <v>61632.845</v>
      </c>
      <c r="BG31" s="11">
        <v>79383.91500000001</v>
      </c>
      <c r="BH31" s="11">
        <v>76365.663</v>
      </c>
      <c r="BI31" s="11"/>
      <c r="BJ31" s="11"/>
      <c r="BK31" s="11" t="s">
        <v>262</v>
      </c>
      <c r="BL31" s="11">
        <v>3297.461</v>
      </c>
      <c r="BM31" s="11">
        <v>4455.227</v>
      </c>
      <c r="BN31" s="11">
        <v>5384.058</v>
      </c>
      <c r="BO31" s="11"/>
      <c r="BP31" s="11"/>
      <c r="BQ31" s="11" t="s">
        <v>266</v>
      </c>
      <c r="BR31" s="11">
        <v>661.75697</v>
      </c>
      <c r="BS31" s="11">
        <v>563.71766</v>
      </c>
      <c r="BT31" s="11">
        <v>465.67838</v>
      </c>
      <c r="BU31" s="11">
        <v>367.6391</v>
      </c>
      <c r="BV31" s="11"/>
      <c r="BW31" s="11"/>
      <c r="BX31" s="11" t="s">
        <v>259</v>
      </c>
      <c r="BY31" s="11">
        <v>1074320.722</v>
      </c>
      <c r="BZ31" s="11">
        <v>988756.8260000001</v>
      </c>
      <c r="CA31" s="11">
        <v>991524.4829999997</v>
      </c>
      <c r="CB31" s="11">
        <v>1035248.76979</v>
      </c>
      <c r="CC31" s="11"/>
      <c r="CD31" s="11"/>
      <c r="CE31" s="11"/>
      <c r="CF31" s="11"/>
      <c r="CG31" s="11"/>
      <c r="CH31" s="11"/>
      <c r="CI31" s="11"/>
      <c r="CJ31" s="11"/>
      <c r="CK31" s="11" t="s">
        <v>284</v>
      </c>
      <c r="CL31" s="11">
        <v>765.0985000000001</v>
      </c>
      <c r="CM31" s="11">
        <v>757.7210800000022</v>
      </c>
      <c r="CN31" s="11">
        <v>1126.413720000007</v>
      </c>
      <c r="CO31" s="11"/>
      <c r="CP31" s="43"/>
      <c r="CQ31" s="40" t="s">
        <v>243</v>
      </c>
      <c r="CR31" s="11">
        <v>0.0</v>
      </c>
      <c r="CS31" s="11">
        <v>0.0</v>
      </c>
      <c r="CT31" s="11"/>
      <c r="CU31" s="11">
        <v>36.0</v>
      </c>
      <c r="CV31" s="11" t="s">
        <v>285</v>
      </c>
      <c r="CW31" s="11">
        <v>274.136</v>
      </c>
      <c r="CX31" s="11">
        <v>2087.97334</v>
      </c>
      <c r="CY31" s="11">
        <v>143.7335900000064</v>
      </c>
      <c r="CZ31" s="11">
        <v>885.31976</v>
      </c>
      <c r="DA31" s="11"/>
      <c r="DB31" s="11"/>
      <c r="DC31" s="11"/>
      <c r="DD31" s="11"/>
      <c r="DE31" s="11"/>
      <c r="DF31" s="11"/>
      <c r="DG31" s="11"/>
    </row>
    <row r="32" ht="15.75" customHeight="1">
      <c r="A32" s="41"/>
      <c r="B32" s="11"/>
      <c r="C32" s="11"/>
      <c r="D32" s="11"/>
      <c r="E32" s="11"/>
      <c r="F32" s="11"/>
      <c r="G32" s="11"/>
      <c r="H32" s="11"/>
      <c r="I32" s="41">
        <v>23.0</v>
      </c>
      <c r="J32" s="11" t="s">
        <v>243</v>
      </c>
      <c r="K32" s="11">
        <v>15355.0</v>
      </c>
      <c r="L32" s="11">
        <v>15000.0</v>
      </c>
      <c r="M32" s="11">
        <v>0.0</v>
      </c>
      <c r="N32" s="11">
        <v>0.0</v>
      </c>
      <c r="O32" s="11">
        <v>0.0</v>
      </c>
      <c r="P32" s="11"/>
      <c r="Q32" s="41">
        <v>31.0</v>
      </c>
      <c r="R32" s="11" t="s">
        <v>270</v>
      </c>
      <c r="S32" s="11">
        <v>0.0</v>
      </c>
      <c r="T32" s="11">
        <v>7753.363000000041</v>
      </c>
      <c r="U32" s="11">
        <v>2320.991999999969</v>
      </c>
      <c r="V32" s="11">
        <v>6389.589</v>
      </c>
      <c r="W32" s="11">
        <v>19758.36</v>
      </c>
      <c r="X32" s="11"/>
      <c r="Y32" s="41">
        <v>22.0</v>
      </c>
      <c r="Z32" s="11" t="s">
        <v>279</v>
      </c>
      <c r="AA32" s="11"/>
      <c r="AB32" s="11"/>
      <c r="AC32" s="11"/>
      <c r="AD32" s="11"/>
      <c r="AE32" s="11"/>
      <c r="AF32" s="11"/>
      <c r="AG32" s="11" t="s">
        <v>284</v>
      </c>
      <c r="AH32" s="11">
        <v>0.0</v>
      </c>
      <c r="AI32" s="11">
        <v>9493.161</v>
      </c>
      <c r="AJ32" s="11">
        <v>8845.636</v>
      </c>
      <c r="AK32" s="11">
        <v>11780.171</v>
      </c>
      <c r="AL32" s="11"/>
      <c r="AM32" s="11"/>
      <c r="AN32" s="11" t="s">
        <v>286</v>
      </c>
      <c r="AO32" s="11">
        <v>1166.902</v>
      </c>
      <c r="AP32" s="11">
        <v>1166.622</v>
      </c>
      <c r="AQ32" s="11">
        <v>1172.43386</v>
      </c>
      <c r="AR32" s="11"/>
      <c r="AS32" s="11"/>
      <c r="AT32" s="11" t="s">
        <v>271</v>
      </c>
      <c r="AU32" s="11">
        <v>0.0</v>
      </c>
      <c r="AV32" s="11">
        <v>0.0</v>
      </c>
      <c r="AW32" s="11"/>
      <c r="AX32" s="11"/>
      <c r="AY32" s="11"/>
      <c r="AZ32" s="11"/>
      <c r="BA32" s="11"/>
      <c r="BB32" s="11"/>
      <c r="BC32" s="11"/>
      <c r="BD32" s="11"/>
      <c r="BE32" s="11"/>
      <c r="BF32" s="11">
        <v>0.0</v>
      </c>
      <c r="BG32" s="11"/>
      <c r="BH32" s="11"/>
      <c r="BI32" s="11"/>
      <c r="BJ32" s="11"/>
      <c r="BK32" s="11" t="s">
        <v>264</v>
      </c>
      <c r="BL32" s="11">
        <v>564045.6020000001</v>
      </c>
      <c r="BM32" s="11">
        <v>602380.6379999999</v>
      </c>
      <c r="BN32" s="11">
        <v>582264.432</v>
      </c>
      <c r="BO32" s="11"/>
      <c r="BP32" s="11"/>
      <c r="BQ32" s="11" t="s">
        <v>262</v>
      </c>
      <c r="BR32" s="11">
        <v>2141.24157</v>
      </c>
      <c r="BS32" s="11">
        <v>1956.09598</v>
      </c>
      <c r="BT32" s="11">
        <v>1770.95038</v>
      </c>
      <c r="BU32" s="11">
        <v>1585.80478</v>
      </c>
      <c r="BV32" s="11"/>
      <c r="BW32" s="11"/>
      <c r="BX32" s="11" t="s">
        <v>278</v>
      </c>
      <c r="BY32" s="11">
        <v>8968.307</v>
      </c>
      <c r="BZ32" s="11">
        <v>19772.419</v>
      </c>
      <c r="CA32" s="11">
        <v>12101.736</v>
      </c>
      <c r="CB32" s="11"/>
      <c r="CC32" s="11"/>
      <c r="CD32" s="11"/>
      <c r="CE32" s="11" t="s">
        <v>284</v>
      </c>
      <c r="CF32" s="11">
        <v>181356.565</v>
      </c>
      <c r="CG32" s="11">
        <v>249616.457</v>
      </c>
      <c r="CH32" s="11">
        <v>409004.964</v>
      </c>
      <c r="CI32" s="11"/>
      <c r="CJ32" s="11"/>
      <c r="CK32" s="11" t="s">
        <v>277</v>
      </c>
      <c r="CL32" s="11">
        <v>51.2604</v>
      </c>
      <c r="CM32" s="11">
        <v>141.80182</v>
      </c>
      <c r="CN32" s="11">
        <v>140.75902</v>
      </c>
      <c r="CO32" s="11"/>
      <c r="CP32" s="43"/>
      <c r="CQ32" s="40" t="s">
        <v>244</v>
      </c>
      <c r="CR32" s="11">
        <v>3.749</v>
      </c>
      <c r="CS32" s="11">
        <v>32.09395</v>
      </c>
      <c r="CT32" s="11"/>
      <c r="CU32" s="11">
        <v>39.0</v>
      </c>
      <c r="CV32" s="11" t="s">
        <v>284</v>
      </c>
      <c r="CW32" s="11">
        <v>0.0</v>
      </c>
      <c r="CX32" s="11">
        <v>3557.59642</v>
      </c>
      <c r="CY32" s="11">
        <v>758.8797999999999</v>
      </c>
      <c r="CZ32" s="11">
        <v>2051.16721</v>
      </c>
      <c r="DA32" s="11"/>
      <c r="DB32" s="11"/>
      <c r="DC32" s="11"/>
      <c r="DD32" s="11"/>
      <c r="DE32" s="11"/>
      <c r="DF32" s="11"/>
      <c r="DG32" s="11"/>
    </row>
    <row r="33" ht="15.75" customHeight="1">
      <c r="A33" s="41"/>
      <c r="B33" s="11"/>
      <c r="C33" s="11"/>
      <c r="D33" s="11"/>
      <c r="E33" s="11"/>
      <c r="F33" s="11"/>
      <c r="G33" s="11"/>
      <c r="H33" s="11"/>
      <c r="I33" s="41">
        <v>24.0</v>
      </c>
      <c r="J33" s="11" t="s">
        <v>244</v>
      </c>
      <c r="K33" s="11">
        <v>39919.0</v>
      </c>
      <c r="L33" s="11">
        <v>40033.0</v>
      </c>
      <c r="M33" s="11">
        <v>0.0</v>
      </c>
      <c r="N33" s="11">
        <v>0.0</v>
      </c>
      <c r="O33" s="11">
        <v>0.0</v>
      </c>
      <c r="P33" s="11"/>
      <c r="Q33" s="41">
        <v>32.0</v>
      </c>
      <c r="R33" s="11" t="s">
        <v>287</v>
      </c>
      <c r="S33" s="11">
        <v>4062.0</v>
      </c>
      <c r="T33" s="11">
        <v>15287.065</v>
      </c>
      <c r="U33" s="11">
        <v>12178.625</v>
      </c>
      <c r="V33" s="11">
        <v>11363.427</v>
      </c>
      <c r="W33" s="11">
        <v>10791.562</v>
      </c>
      <c r="X33" s="11"/>
      <c r="Y33" s="41">
        <v>23.0</v>
      </c>
      <c r="Z33" s="11" t="s">
        <v>242</v>
      </c>
      <c r="AA33" s="11"/>
      <c r="AB33" s="11"/>
      <c r="AC33" s="11"/>
      <c r="AD33" s="11"/>
      <c r="AE33" s="11"/>
      <c r="AF33" s="11"/>
      <c r="AG33" s="11" t="s">
        <v>277</v>
      </c>
      <c r="AH33" s="11">
        <v>0.0</v>
      </c>
      <c r="AI33" s="11">
        <v>1459.251</v>
      </c>
      <c r="AJ33" s="11">
        <v>1088.722</v>
      </c>
      <c r="AK33" s="11">
        <v>839.323</v>
      </c>
      <c r="AL33" s="11"/>
      <c r="AM33" s="11"/>
      <c r="AN33" s="11" t="s">
        <v>288</v>
      </c>
      <c r="AO33" s="11">
        <v>-0.28</v>
      </c>
      <c r="AP33" s="11">
        <v>5.53129</v>
      </c>
      <c r="AQ33" s="11">
        <v>1.80184</v>
      </c>
      <c r="AR33" s="11"/>
      <c r="AS33" s="11"/>
      <c r="AT33" s="11" t="s">
        <v>273</v>
      </c>
      <c r="AU33" s="11">
        <v>7.5</v>
      </c>
      <c r="AV33" s="11">
        <v>14330.18112</v>
      </c>
      <c r="AW33" s="11"/>
      <c r="AX33" s="11"/>
      <c r="AY33" s="11" t="s">
        <v>289</v>
      </c>
      <c r="AZ33" s="11">
        <v>28381.89773</v>
      </c>
      <c r="BA33" s="11">
        <v>33918.55829</v>
      </c>
      <c r="BB33" s="11">
        <v>33918.55838999999</v>
      </c>
      <c r="BC33" s="11"/>
      <c r="BD33" s="11"/>
      <c r="BE33" s="11" t="s">
        <v>284</v>
      </c>
      <c r="BF33" s="11">
        <v>7412.341</v>
      </c>
      <c r="BG33" s="11">
        <v>4610.936</v>
      </c>
      <c r="BH33" s="11">
        <v>269.4959999999893</v>
      </c>
      <c r="BI33" s="11"/>
      <c r="BJ33" s="11"/>
      <c r="BK33" s="11"/>
      <c r="BL33" s="11"/>
      <c r="BM33" s="11"/>
      <c r="BN33" s="11"/>
      <c r="BO33" s="11"/>
      <c r="BP33" s="11"/>
      <c r="BQ33" s="11" t="s">
        <v>264</v>
      </c>
      <c r="BR33" s="11">
        <v>23471.11094</v>
      </c>
      <c r="BS33" s="11">
        <v>39742.55923</v>
      </c>
      <c r="BT33" s="11">
        <v>60710.00674</v>
      </c>
      <c r="BU33" s="11">
        <v>73093.48246</v>
      </c>
      <c r="BV33" s="11"/>
      <c r="BW33" s="11"/>
      <c r="BX33" s="11" t="s">
        <v>290</v>
      </c>
      <c r="BY33" s="11">
        <v>123234.409</v>
      </c>
      <c r="BZ33" s="11">
        <v>115619.684</v>
      </c>
      <c r="CA33" s="11">
        <v>107032.77</v>
      </c>
      <c r="CB33" s="11">
        <v>98694.95577</v>
      </c>
      <c r="CC33" s="11"/>
      <c r="CD33" s="11"/>
      <c r="CE33" s="11" t="s">
        <v>277</v>
      </c>
      <c r="CF33" s="11">
        <v>2146.514</v>
      </c>
      <c r="CG33" s="11">
        <v>2956.72</v>
      </c>
      <c r="CH33" s="11">
        <v>2211.581</v>
      </c>
      <c r="CI33" s="11"/>
      <c r="CJ33" s="11"/>
      <c r="CK33" s="11" t="s">
        <v>267</v>
      </c>
      <c r="CL33" s="11">
        <v>816.3589000000001</v>
      </c>
      <c r="CM33" s="11">
        <v>899.5229000000022</v>
      </c>
      <c r="CN33" s="11">
        <v>1267.172740000007</v>
      </c>
      <c r="CO33" s="11"/>
      <c r="CP33" s="43"/>
      <c r="CQ33" s="40" t="s">
        <v>248</v>
      </c>
      <c r="CR33" s="11">
        <v>0.0</v>
      </c>
      <c r="CS33" s="11">
        <v>0.0</v>
      </c>
      <c r="CT33" s="11"/>
      <c r="CU33" s="11">
        <v>45.0</v>
      </c>
      <c r="CV33" s="11" t="s">
        <v>277</v>
      </c>
      <c r="CW33" s="11">
        <v>53.74499999999999</v>
      </c>
      <c r="CX33" s="11">
        <v>169.45457</v>
      </c>
      <c r="CY33" s="11">
        <v>773.6184800000001</v>
      </c>
      <c r="CZ33" s="11">
        <v>26.601615</v>
      </c>
      <c r="DA33" s="11"/>
      <c r="DB33" s="11"/>
      <c r="DC33" s="11"/>
      <c r="DD33" s="11"/>
      <c r="DE33" s="11"/>
      <c r="DF33" s="11"/>
      <c r="DG33" s="11"/>
    </row>
    <row r="34" ht="15.75" customHeight="1">
      <c r="A34" s="41"/>
      <c r="B34" s="11"/>
      <c r="C34" s="11"/>
      <c r="D34" s="11"/>
      <c r="E34" s="11"/>
      <c r="F34" s="11"/>
      <c r="G34" s="11"/>
      <c r="H34" s="11"/>
      <c r="I34" s="41">
        <v>26.0</v>
      </c>
      <c r="J34" s="11" t="s">
        <v>248</v>
      </c>
      <c r="K34" s="11">
        <v>6462.0</v>
      </c>
      <c r="L34" s="11">
        <v>9819.0</v>
      </c>
      <c r="M34" s="11">
        <v>0.0</v>
      </c>
      <c r="N34" s="11">
        <v>0.0</v>
      </c>
      <c r="O34" s="11">
        <v>0.0</v>
      </c>
      <c r="P34" s="11"/>
      <c r="Q34" s="41">
        <v>33.0</v>
      </c>
      <c r="R34" s="11" t="s">
        <v>291</v>
      </c>
      <c r="S34" s="11">
        <v>0.0</v>
      </c>
      <c r="T34" s="11">
        <v>6188.536</v>
      </c>
      <c r="U34" s="11">
        <v>1095.01</v>
      </c>
      <c r="V34" s="11">
        <v>2592.901</v>
      </c>
      <c r="W34" s="11">
        <v>2145.317</v>
      </c>
      <c r="X34" s="11"/>
      <c r="Y34" s="41">
        <v>24.0</v>
      </c>
      <c r="Z34" s="11" t="s">
        <v>243</v>
      </c>
      <c r="AA34" s="11"/>
      <c r="AB34" s="11">
        <v>20.875</v>
      </c>
      <c r="AC34" s="11">
        <v>15.342</v>
      </c>
      <c r="AD34" s="11"/>
      <c r="AE34" s="11"/>
      <c r="AF34" s="11"/>
      <c r="AG34" s="11" t="s">
        <v>281</v>
      </c>
      <c r="AH34" s="11">
        <v>0.0</v>
      </c>
      <c r="AI34" s="11">
        <v>3379.813999999999</v>
      </c>
      <c r="AJ34" s="11">
        <v>3392.147</v>
      </c>
      <c r="AK34" s="11">
        <v>2034.919</v>
      </c>
      <c r="AL34" s="11"/>
      <c r="AM34" s="11"/>
      <c r="AN34" s="11" t="s">
        <v>292</v>
      </c>
      <c r="AO34" s="11">
        <v>18090.03305</v>
      </c>
      <c r="AP34" s="11">
        <v>18074.91635</v>
      </c>
      <c r="AQ34" s="11">
        <v>18076.71819</v>
      </c>
      <c r="AR34" s="11"/>
      <c r="AS34" s="11"/>
      <c r="AT34" s="11" t="s">
        <v>276</v>
      </c>
      <c r="AU34" s="11">
        <v>5.0</v>
      </c>
      <c r="AV34" s="11">
        <v>490.0</v>
      </c>
      <c r="AW34" s="11"/>
      <c r="AX34" s="11"/>
      <c r="AY34" s="11" t="s">
        <v>293</v>
      </c>
      <c r="AZ34" s="11">
        <v>7742.71855</v>
      </c>
      <c r="BA34" s="11">
        <v>4908.51428</v>
      </c>
      <c r="BB34" s="11">
        <v>4697.95634</v>
      </c>
      <c r="BC34" s="11"/>
      <c r="BD34" s="11"/>
      <c r="BE34" s="11" t="s">
        <v>277</v>
      </c>
      <c r="BF34" s="11">
        <v>172.436</v>
      </c>
      <c r="BG34" s="11">
        <v>152.251</v>
      </c>
      <c r="BH34" s="11">
        <v>332.598</v>
      </c>
      <c r="BI34" s="11"/>
      <c r="BJ34" s="11"/>
      <c r="BK34" s="11" t="s">
        <v>289</v>
      </c>
      <c r="BL34" s="11">
        <v>3503.891</v>
      </c>
      <c r="BM34" s="11">
        <v>2341.886</v>
      </c>
      <c r="BN34" s="11"/>
      <c r="BO34" s="11"/>
      <c r="BP34" s="11"/>
      <c r="BQ34" s="11"/>
      <c r="BR34" s="11"/>
      <c r="BS34" s="11"/>
      <c r="BT34" s="11">
        <v>0.0</v>
      </c>
      <c r="BU34" s="11"/>
      <c r="BV34" s="11"/>
      <c r="BW34" s="11"/>
      <c r="BX34" s="11" t="s">
        <v>262</v>
      </c>
      <c r="BY34" s="11">
        <v>132202.716</v>
      </c>
      <c r="BZ34" s="11">
        <v>135392.103</v>
      </c>
      <c r="CA34" s="11">
        <v>119134.506</v>
      </c>
      <c r="CB34" s="11">
        <v>98694.95577</v>
      </c>
      <c r="CC34" s="11"/>
      <c r="CD34" s="11"/>
      <c r="CE34" s="11" t="s">
        <v>281</v>
      </c>
      <c r="CF34" s="11">
        <v>86215.093</v>
      </c>
      <c r="CG34" s="11">
        <v>199065.803</v>
      </c>
      <c r="CH34" s="11">
        <v>214808.165</v>
      </c>
      <c r="CI34" s="11"/>
      <c r="CJ34" s="11"/>
      <c r="CK34" s="11" t="s">
        <v>294</v>
      </c>
      <c r="CL34" s="11">
        <v>1291.956938999999</v>
      </c>
      <c r="CM34" s="11">
        <v>785.48835</v>
      </c>
      <c r="CN34" s="11">
        <v>3429.31752</v>
      </c>
      <c r="CO34" s="11"/>
      <c r="CP34" s="43"/>
      <c r="CQ34" s="40" t="s">
        <v>251</v>
      </c>
      <c r="CR34" s="11">
        <v>3.749</v>
      </c>
      <c r="CS34" s="11">
        <v>32.09395</v>
      </c>
      <c r="CT34" s="11"/>
      <c r="CU34" s="11">
        <v>46.0</v>
      </c>
      <c r="CV34" s="11" t="s">
        <v>281</v>
      </c>
      <c r="CW34" s="11">
        <v>2466.618499999999</v>
      </c>
      <c r="CX34" s="11">
        <v>2591.48207</v>
      </c>
      <c r="CY34" s="11">
        <v>1007.70855</v>
      </c>
      <c r="CZ34" s="11">
        <v>186.74568</v>
      </c>
      <c r="DA34" s="11"/>
      <c r="DB34" s="11"/>
      <c r="DC34" s="11"/>
      <c r="DD34" s="11"/>
      <c r="DE34" s="11"/>
      <c r="DF34" s="11"/>
      <c r="DG34" s="11"/>
    </row>
    <row r="35" ht="15.75" customHeight="1">
      <c r="A35" s="41"/>
      <c r="B35" s="11"/>
      <c r="C35" s="11"/>
      <c r="D35" s="11"/>
      <c r="E35" s="11"/>
      <c r="F35" s="11"/>
      <c r="G35" s="11"/>
      <c r="H35" s="11"/>
      <c r="I35" s="41">
        <v>27.0</v>
      </c>
      <c r="J35" s="11" t="s">
        <v>265</v>
      </c>
      <c r="K35" s="11">
        <v>316335.0</v>
      </c>
      <c r="L35" s="11">
        <v>295376.0</v>
      </c>
      <c r="M35" s="11">
        <v>183901.697</v>
      </c>
      <c r="N35" s="11">
        <v>221052.018</v>
      </c>
      <c r="O35" s="11">
        <v>95615.30599999963</v>
      </c>
      <c r="P35" s="11"/>
      <c r="Q35" s="41">
        <v>34.0</v>
      </c>
      <c r="R35" s="11" t="s">
        <v>295</v>
      </c>
      <c r="S35" s="11">
        <v>0.0</v>
      </c>
      <c r="T35" s="11">
        <v>5595.623</v>
      </c>
      <c r="U35" s="11">
        <v>5139.42</v>
      </c>
      <c r="V35" s="11">
        <v>6574.83</v>
      </c>
      <c r="W35" s="11">
        <v>7982.494</v>
      </c>
      <c r="X35" s="11"/>
      <c r="Y35" s="41">
        <v>25.0</v>
      </c>
      <c r="Z35" s="11" t="s">
        <v>244</v>
      </c>
      <c r="AA35" s="11"/>
      <c r="AB35" s="11">
        <v>5.576</v>
      </c>
      <c r="AC35" s="11">
        <v>3.417</v>
      </c>
      <c r="AD35" s="11"/>
      <c r="AE35" s="11"/>
      <c r="AF35" s="11"/>
      <c r="AG35" s="11" t="s">
        <v>296</v>
      </c>
      <c r="AH35" s="11">
        <v>0.0</v>
      </c>
      <c r="AI35" s="11">
        <v>22040.14</v>
      </c>
      <c r="AJ35" s="11">
        <v>20790.369</v>
      </c>
      <c r="AK35" s="11">
        <v>14654.413</v>
      </c>
      <c r="AL35" s="11"/>
      <c r="AM35" s="11"/>
      <c r="AN35" s="11" t="s">
        <v>297</v>
      </c>
      <c r="AO35" s="11">
        <v>18095.92781</v>
      </c>
      <c r="AP35" s="11">
        <v>18074.91635</v>
      </c>
      <c r="AQ35" s="11">
        <v>18076.71819</v>
      </c>
      <c r="AR35" s="11"/>
      <c r="AS35" s="11"/>
      <c r="AT35" s="11" t="s">
        <v>280</v>
      </c>
      <c r="AU35" s="11">
        <v>0.0</v>
      </c>
      <c r="AV35" s="11">
        <v>3000.0</v>
      </c>
      <c r="AW35" s="11"/>
      <c r="AX35" s="11"/>
      <c r="AY35" s="11" t="s">
        <v>277</v>
      </c>
      <c r="AZ35" s="11">
        <v>156.75977</v>
      </c>
      <c r="BA35" s="11">
        <v>94.66515</v>
      </c>
      <c r="BB35" s="11">
        <v>99.2577100000046</v>
      </c>
      <c r="BC35" s="11"/>
      <c r="BD35" s="11"/>
      <c r="BE35" s="11" t="s">
        <v>267</v>
      </c>
      <c r="BF35" s="11">
        <v>7584.777</v>
      </c>
      <c r="BG35" s="11">
        <v>4763.187</v>
      </c>
      <c r="BH35" s="11">
        <v>602.0939999999894</v>
      </c>
      <c r="BI35" s="11"/>
      <c r="BJ35" s="11"/>
      <c r="BK35" s="11" t="s">
        <v>284</v>
      </c>
      <c r="BL35" s="11">
        <v>16496.579</v>
      </c>
      <c r="BM35" s="11">
        <v>30961.074</v>
      </c>
      <c r="BN35" s="11">
        <v>15660.375</v>
      </c>
      <c r="BO35" s="11"/>
      <c r="BP35" s="11"/>
      <c r="BQ35" s="11" t="s">
        <v>298</v>
      </c>
      <c r="BR35" s="11">
        <v>0.0</v>
      </c>
      <c r="BS35" s="11">
        <v>0.0</v>
      </c>
      <c r="BT35" s="11">
        <v>18601.9709</v>
      </c>
      <c r="BU35" s="11">
        <v>22123.91735</v>
      </c>
      <c r="BV35" s="11"/>
      <c r="BW35" s="11"/>
      <c r="BX35" s="11" t="s">
        <v>264</v>
      </c>
      <c r="BY35" s="11">
        <v>2413856.849</v>
      </c>
      <c r="BZ35" s="11">
        <v>2371694.01</v>
      </c>
      <c r="CA35" s="11">
        <v>2363311.047999999</v>
      </c>
      <c r="CB35" s="11">
        <v>2428203.115</v>
      </c>
      <c r="CC35" s="11"/>
      <c r="CD35" s="11"/>
      <c r="CE35" s="11" t="s">
        <v>267</v>
      </c>
      <c r="CF35" s="11">
        <v>269718.172</v>
      </c>
      <c r="CG35" s="11">
        <v>451638.98</v>
      </c>
      <c r="CH35" s="11">
        <v>626024.7100000001</v>
      </c>
      <c r="CI35" s="11"/>
      <c r="CJ35" s="11"/>
      <c r="CK35" s="11" t="s">
        <v>271</v>
      </c>
      <c r="CL35" s="11">
        <v>1291.956938999999</v>
      </c>
      <c r="CM35" s="11">
        <v>785.48835</v>
      </c>
      <c r="CN35" s="11">
        <v>3429.31752</v>
      </c>
      <c r="CO35" s="11"/>
      <c r="CP35" s="43"/>
      <c r="CQ35" s="40" t="s">
        <v>260</v>
      </c>
      <c r="CR35" s="11">
        <v>-0.41652</v>
      </c>
      <c r="CS35" s="11">
        <v>-4.44762</v>
      </c>
      <c r="CT35" s="11"/>
      <c r="CU35" s="11">
        <v>49.0</v>
      </c>
      <c r="CV35" s="11" t="s">
        <v>267</v>
      </c>
      <c r="CW35" s="11">
        <v>2794.499499999999</v>
      </c>
      <c r="CX35" s="11">
        <v>8406.5064</v>
      </c>
      <c r="CY35" s="11">
        <v>2683.940420000006</v>
      </c>
      <c r="CZ35" s="11">
        <v>3149.834265</v>
      </c>
      <c r="DA35" s="11"/>
      <c r="DB35" s="11"/>
      <c r="DC35" s="11"/>
      <c r="DD35" s="11"/>
      <c r="DE35" s="11"/>
      <c r="DF35" s="11"/>
      <c r="DG35" s="11"/>
    </row>
    <row r="36" ht="15.75" customHeight="1">
      <c r="A36" s="41"/>
      <c r="B36" s="11"/>
      <c r="C36" s="11"/>
      <c r="D36" s="11"/>
      <c r="E36" s="11"/>
      <c r="F36" s="11"/>
      <c r="G36" s="11"/>
      <c r="H36" s="11"/>
      <c r="I36" s="41">
        <v>28.0</v>
      </c>
      <c r="J36" s="11" t="s">
        <v>260</v>
      </c>
      <c r="K36" s="11">
        <v>-199056.718</v>
      </c>
      <c r="L36" s="11">
        <v>-190039.0</v>
      </c>
      <c r="M36" s="11">
        <v>0.0</v>
      </c>
      <c r="N36" s="11">
        <v>0.0</v>
      </c>
      <c r="O36" s="11">
        <v>0.0</v>
      </c>
      <c r="P36" s="11"/>
      <c r="Q36" s="41">
        <v>35.0</v>
      </c>
      <c r="R36" s="11" t="s">
        <v>299</v>
      </c>
      <c r="S36" s="11">
        <v>0.0</v>
      </c>
      <c r="T36" s="11">
        <v>1.728</v>
      </c>
      <c r="U36" s="11">
        <v>34.374</v>
      </c>
      <c r="V36" s="11">
        <v>0.0</v>
      </c>
      <c r="W36" s="11">
        <v>0.0</v>
      </c>
      <c r="X36" s="11"/>
      <c r="Y36" s="41">
        <v>26.0</v>
      </c>
      <c r="Z36" s="11" t="s">
        <v>67</v>
      </c>
      <c r="AA36" s="11">
        <v>0.0</v>
      </c>
      <c r="AB36" s="11">
        <v>0.0</v>
      </c>
      <c r="AC36" s="11">
        <v>0.0</v>
      </c>
      <c r="AD36" s="11">
        <v>0.0</v>
      </c>
      <c r="AE36" s="11"/>
      <c r="AF36" s="11" t="s">
        <v>271</v>
      </c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 t="s">
        <v>288</v>
      </c>
      <c r="AU36" s="11">
        <v>0.0</v>
      </c>
      <c r="AV36" s="11">
        <v>341.9356</v>
      </c>
      <c r="AW36" s="11"/>
      <c r="AX36" s="11"/>
      <c r="AY36" s="11" t="s">
        <v>281</v>
      </c>
      <c r="AZ36" s="11">
        <v>405.0751199999906</v>
      </c>
      <c r="BA36" s="11">
        <v>412.27961</v>
      </c>
      <c r="BB36" s="11">
        <v>717.06405</v>
      </c>
      <c r="BC36" s="11"/>
      <c r="BD36" s="11"/>
      <c r="BE36" s="11" t="s">
        <v>294</v>
      </c>
      <c r="BF36" s="11">
        <v>25245.176</v>
      </c>
      <c r="BG36" s="11">
        <v>43906.206</v>
      </c>
      <c r="BH36" s="11">
        <v>43685.16800000001</v>
      </c>
      <c r="BI36" s="11"/>
      <c r="BJ36" s="11"/>
      <c r="BK36" s="11" t="s">
        <v>277</v>
      </c>
      <c r="BL36" s="11">
        <v>13192.852</v>
      </c>
      <c r="BM36" s="11">
        <v>16982.156</v>
      </c>
      <c r="BN36" s="11">
        <v>22915.269</v>
      </c>
      <c r="BO36" s="11"/>
      <c r="BP36" s="11"/>
      <c r="BQ36" s="11" t="s">
        <v>284</v>
      </c>
      <c r="BR36" s="11">
        <v>1691.6603</v>
      </c>
      <c r="BS36" s="11">
        <v>7421.149969999996</v>
      </c>
      <c r="BT36" s="11">
        <v>658.96935</v>
      </c>
      <c r="BU36" s="11">
        <v>822.87784</v>
      </c>
      <c r="BV36" s="11"/>
      <c r="BW36" s="11"/>
      <c r="BX36" s="11"/>
      <c r="BY36" s="11">
        <v>0.0</v>
      </c>
      <c r="BZ36" s="11"/>
      <c r="CA36" s="11">
        <v>0.0</v>
      </c>
      <c r="CB36" s="11">
        <v>0.0</v>
      </c>
      <c r="CC36" s="11"/>
      <c r="CD36" s="11"/>
      <c r="CE36" s="11" t="s">
        <v>300</v>
      </c>
      <c r="CF36" s="11">
        <v>3542.761</v>
      </c>
      <c r="CG36" s="11">
        <v>321.476</v>
      </c>
      <c r="CH36" s="11">
        <v>321.476</v>
      </c>
      <c r="CI36" s="11"/>
      <c r="CJ36" s="11"/>
      <c r="CK36" s="11" t="s">
        <v>273</v>
      </c>
      <c r="CL36" s="11">
        <v>2108.315838999999</v>
      </c>
      <c r="CM36" s="11">
        <v>1685.011250000002</v>
      </c>
      <c r="CN36" s="11">
        <v>4696.490260000007</v>
      </c>
      <c r="CO36" s="11"/>
      <c r="CP36" s="43"/>
      <c r="CQ36" s="40" t="s">
        <v>259</v>
      </c>
      <c r="CR36" s="11">
        <v>3.33248</v>
      </c>
      <c r="CS36" s="11">
        <v>27.64633</v>
      </c>
      <c r="CT36" s="11"/>
      <c r="CU36" s="11">
        <v>50.0</v>
      </c>
      <c r="CV36" s="11" t="s">
        <v>294</v>
      </c>
      <c r="CW36" s="11">
        <v>0.0</v>
      </c>
      <c r="CX36" s="11">
        <v>97.46402</v>
      </c>
      <c r="CY36" s="11">
        <v>8532.58613</v>
      </c>
      <c r="CZ36" s="11">
        <v>7195.36331</v>
      </c>
      <c r="DA36" s="11"/>
      <c r="DB36" s="11"/>
      <c r="DC36" s="11"/>
      <c r="DD36" s="11"/>
      <c r="DE36" s="11"/>
      <c r="DF36" s="11"/>
      <c r="DG36" s="11"/>
    </row>
    <row r="37" ht="15.75" customHeight="1">
      <c r="A37" s="41">
        <v>30.0</v>
      </c>
      <c r="B37" s="11" t="s">
        <v>259</v>
      </c>
      <c r="C37" s="11">
        <v>0.0</v>
      </c>
      <c r="D37" s="11">
        <v>0.0</v>
      </c>
      <c r="E37" s="11">
        <v>0.0</v>
      </c>
      <c r="F37" s="11">
        <v>0.0</v>
      </c>
      <c r="G37" s="11">
        <v>0.0</v>
      </c>
      <c r="H37" s="11"/>
      <c r="I37" s="41">
        <v>29.0</v>
      </c>
      <c r="J37" s="11" t="s">
        <v>259</v>
      </c>
      <c r="K37" s="11">
        <v>117278.282</v>
      </c>
      <c r="L37" s="11">
        <v>105337.0</v>
      </c>
      <c r="M37" s="11">
        <v>183901.697</v>
      </c>
      <c r="N37" s="11">
        <v>221052.018</v>
      </c>
      <c r="O37" s="11">
        <v>95615.30599999963</v>
      </c>
      <c r="P37" s="11"/>
      <c r="Q37" s="41">
        <v>36.0</v>
      </c>
      <c r="R37" s="11" t="s">
        <v>301</v>
      </c>
      <c r="S37" s="11">
        <v>0.0</v>
      </c>
      <c r="T37" s="11">
        <v>97601.242</v>
      </c>
      <c r="U37" s="11">
        <v>97601.242</v>
      </c>
      <c r="V37" s="11">
        <v>97601.242</v>
      </c>
      <c r="W37" s="11">
        <v>97601.242</v>
      </c>
      <c r="X37" s="11"/>
      <c r="Y37" s="41">
        <v>27.0</v>
      </c>
      <c r="Z37" s="11" t="s">
        <v>248</v>
      </c>
      <c r="AA37" s="11">
        <v>45079.636</v>
      </c>
      <c r="AB37" s="11"/>
      <c r="AC37" s="11"/>
      <c r="AD37" s="11">
        <v>5083.783</v>
      </c>
      <c r="AE37" s="11"/>
      <c r="AF37" s="11"/>
      <c r="AG37" s="11" t="s">
        <v>294</v>
      </c>
      <c r="AH37" s="11">
        <v>0.0</v>
      </c>
      <c r="AI37" s="11">
        <v>18958.24</v>
      </c>
      <c r="AJ37" s="11">
        <v>10882.094</v>
      </c>
      <c r="AK37" s="11">
        <v>10884.524</v>
      </c>
      <c r="AL37" s="11"/>
      <c r="AM37" s="11"/>
      <c r="AN37" s="11"/>
      <c r="AO37" s="11">
        <v>0.0</v>
      </c>
      <c r="AP37" s="11">
        <v>0.0</v>
      </c>
      <c r="AQ37" s="11">
        <v>0.0</v>
      </c>
      <c r="AR37" s="11"/>
      <c r="AS37" s="11"/>
      <c r="AT37" s="11" t="s">
        <v>292</v>
      </c>
      <c r="AU37" s="11">
        <v>5.0</v>
      </c>
      <c r="AV37" s="11">
        <v>3831.9356</v>
      </c>
      <c r="AW37" s="11"/>
      <c r="AX37" s="11"/>
      <c r="AY37" s="11" t="s">
        <v>267</v>
      </c>
      <c r="AZ37" s="11">
        <v>36686.45116999999</v>
      </c>
      <c r="BA37" s="11">
        <v>39334.01733</v>
      </c>
      <c r="BB37" s="11">
        <v>39432.83648999999</v>
      </c>
      <c r="BC37" s="11"/>
      <c r="BD37" s="11"/>
      <c r="BE37" s="11" t="s">
        <v>268</v>
      </c>
      <c r="BF37" s="11">
        <v>76.878</v>
      </c>
      <c r="BG37" s="11">
        <v>128.908</v>
      </c>
      <c r="BH37" s="11">
        <v>157.086</v>
      </c>
      <c r="BI37" s="11"/>
      <c r="BJ37" s="11"/>
      <c r="BK37" s="11" t="s">
        <v>281</v>
      </c>
      <c r="BL37" s="11">
        <v>9850.826000000001</v>
      </c>
      <c r="BM37" s="11">
        <v>24904.835</v>
      </c>
      <c r="BN37" s="11">
        <v>32009.357</v>
      </c>
      <c r="BO37" s="11"/>
      <c r="BP37" s="11"/>
      <c r="BQ37" s="11" t="s">
        <v>277</v>
      </c>
      <c r="BR37" s="11">
        <v>5.66226</v>
      </c>
      <c r="BS37" s="11">
        <v>1.83607</v>
      </c>
      <c r="BT37" s="11">
        <v>0.0</v>
      </c>
      <c r="BU37" s="11">
        <v>0.0</v>
      </c>
      <c r="BV37" s="11"/>
      <c r="BW37" s="11"/>
      <c r="BX37" s="11" t="s">
        <v>302</v>
      </c>
      <c r="BY37" s="11">
        <v>3910.828</v>
      </c>
      <c r="BZ37" s="11">
        <v>6818.354</v>
      </c>
      <c r="CA37" s="11">
        <v>9815.746</v>
      </c>
      <c r="CB37" s="11"/>
      <c r="CC37" s="11"/>
      <c r="CD37" s="11"/>
      <c r="CE37" s="11" t="s">
        <v>271</v>
      </c>
      <c r="CF37" s="11">
        <v>3542.761</v>
      </c>
      <c r="CG37" s="11">
        <v>321.476</v>
      </c>
      <c r="CH37" s="11">
        <v>321.476</v>
      </c>
      <c r="CI37" s="11"/>
      <c r="CJ37" s="11"/>
      <c r="CK37" s="11" t="s">
        <v>276</v>
      </c>
      <c r="CL37" s="11">
        <v>3105.0</v>
      </c>
      <c r="CM37" s="11">
        <v>3105.0</v>
      </c>
      <c r="CN37" s="11">
        <v>3105.0</v>
      </c>
      <c r="CO37" s="11"/>
      <c r="CP37" s="43"/>
      <c r="CQ37" s="40" t="s">
        <v>275</v>
      </c>
      <c r="CR37" s="11"/>
      <c r="CS37" s="11"/>
      <c r="CT37" s="11"/>
      <c r="CU37" s="11">
        <v>57.0</v>
      </c>
      <c r="CV37" s="11" t="s">
        <v>271</v>
      </c>
      <c r="CW37" s="11">
        <v>0.0</v>
      </c>
      <c r="CX37" s="11">
        <v>97.46402</v>
      </c>
      <c r="CY37" s="11">
        <v>8532.58613</v>
      </c>
      <c r="CZ37" s="11">
        <v>7195.36331</v>
      </c>
      <c r="DA37" s="11"/>
      <c r="DB37" s="11"/>
      <c r="DC37" s="11"/>
      <c r="DD37" s="11"/>
      <c r="DE37" s="11"/>
      <c r="DF37" s="11"/>
      <c r="DG37" s="11"/>
    </row>
    <row r="38" ht="15.75" customHeight="1">
      <c r="A38" s="41">
        <v>32.0</v>
      </c>
      <c r="B38" s="11" t="s">
        <v>270</v>
      </c>
      <c r="C38" s="11">
        <v>2944.895</v>
      </c>
      <c r="D38" s="11">
        <v>9056.64</v>
      </c>
      <c r="E38" s="11">
        <v>4863.318</v>
      </c>
      <c r="F38" s="11">
        <v>12874.545</v>
      </c>
      <c r="G38" s="11">
        <v>32998.625</v>
      </c>
      <c r="H38" s="11"/>
      <c r="I38" s="41">
        <v>31.0</v>
      </c>
      <c r="J38" s="11" t="s">
        <v>270</v>
      </c>
      <c r="K38" s="11">
        <v>316380.0</v>
      </c>
      <c r="L38" s="11">
        <v>332106.0</v>
      </c>
      <c r="M38" s="11">
        <v>7311.429</v>
      </c>
      <c r="N38" s="11">
        <v>16609.091</v>
      </c>
      <c r="O38" s="11">
        <v>307871.699</v>
      </c>
      <c r="P38" s="11"/>
      <c r="Q38" s="41">
        <v>37.0</v>
      </c>
      <c r="R38" s="11" t="s">
        <v>262</v>
      </c>
      <c r="S38" s="11">
        <v>34413.0</v>
      </c>
      <c r="T38" s="11">
        <v>162778.797</v>
      </c>
      <c r="U38" s="11">
        <v>148720.903</v>
      </c>
      <c r="V38" s="11">
        <v>154873.229</v>
      </c>
      <c r="W38" s="11">
        <v>168630.215</v>
      </c>
      <c r="X38" s="11"/>
      <c r="Y38" s="41">
        <v>28.0</v>
      </c>
      <c r="Z38" s="11" t="s">
        <v>265</v>
      </c>
      <c r="AA38" s="11">
        <v>45079.636</v>
      </c>
      <c r="AB38" s="11">
        <v>2661.033</v>
      </c>
      <c r="AC38" s="11">
        <v>3208.322</v>
      </c>
      <c r="AD38" s="11">
        <v>5083.783</v>
      </c>
      <c r="AE38" s="11"/>
      <c r="AF38" s="11"/>
      <c r="AG38" s="11" t="s">
        <v>300</v>
      </c>
      <c r="AH38" s="11">
        <v>0.0</v>
      </c>
      <c r="AI38" s="11">
        <v>818.466</v>
      </c>
      <c r="AJ38" s="11">
        <v>2164.079</v>
      </c>
      <c r="AK38" s="11">
        <v>0.0</v>
      </c>
      <c r="AL38" s="11"/>
      <c r="AM38" s="11"/>
      <c r="AN38" s="11"/>
      <c r="AO38" s="11"/>
      <c r="AP38" s="11"/>
      <c r="AQ38" s="11"/>
      <c r="AR38" s="11"/>
      <c r="AS38" s="11"/>
      <c r="AT38" s="11" t="s">
        <v>297</v>
      </c>
      <c r="AU38" s="11">
        <v>12.5</v>
      </c>
      <c r="AV38" s="11">
        <v>18162.11672</v>
      </c>
      <c r="AW38" s="11"/>
      <c r="AX38" s="11"/>
      <c r="AY38" s="11" t="s">
        <v>294</v>
      </c>
      <c r="AZ38" s="11">
        <v>7271.07142</v>
      </c>
      <c r="BA38" s="11">
        <v>14107.94335</v>
      </c>
      <c r="BB38" s="11">
        <v>10130.75993</v>
      </c>
      <c r="BC38" s="11"/>
      <c r="BD38" s="11"/>
      <c r="BE38" s="11" t="s">
        <v>271</v>
      </c>
      <c r="BF38" s="11">
        <v>25322.054</v>
      </c>
      <c r="BG38" s="11">
        <v>44035.114</v>
      </c>
      <c r="BH38" s="11">
        <v>43842.25400000001</v>
      </c>
      <c r="BI38" s="11"/>
      <c r="BJ38" s="11"/>
      <c r="BK38" s="11" t="s">
        <v>267</v>
      </c>
      <c r="BL38" s="11">
        <v>43044.148</v>
      </c>
      <c r="BM38" s="11">
        <v>75189.951</v>
      </c>
      <c r="BN38" s="11">
        <v>70585.001</v>
      </c>
      <c r="BO38" s="11"/>
      <c r="BP38" s="11"/>
      <c r="BQ38" s="11" t="s">
        <v>281</v>
      </c>
      <c r="BR38" s="11">
        <v>0.0</v>
      </c>
      <c r="BS38" s="11">
        <v>0.0</v>
      </c>
      <c r="BT38" s="11">
        <v>5.71517</v>
      </c>
      <c r="BU38" s="11">
        <v>0.0</v>
      </c>
      <c r="BV38" s="11"/>
      <c r="BW38" s="11"/>
      <c r="BX38" s="11" t="s">
        <v>289</v>
      </c>
      <c r="BY38" s="11">
        <v>142572.146</v>
      </c>
      <c r="BZ38" s="11">
        <v>141895.897</v>
      </c>
      <c r="CA38" s="11">
        <v>86084.224</v>
      </c>
      <c r="CB38" s="11">
        <v>215613.89313</v>
      </c>
      <c r="CC38" s="11"/>
      <c r="CD38" s="11"/>
      <c r="CE38" s="11" t="s">
        <v>273</v>
      </c>
      <c r="CF38" s="11">
        <v>273260.933</v>
      </c>
      <c r="CG38" s="11">
        <v>451960.456</v>
      </c>
      <c r="CH38" s="11">
        <v>626346.1860000001</v>
      </c>
      <c r="CI38" s="11"/>
      <c r="CJ38" s="11"/>
      <c r="CK38" s="11" t="s">
        <v>280</v>
      </c>
      <c r="CL38" s="11">
        <v>2.8535</v>
      </c>
      <c r="CM38" s="11">
        <v>2.8535</v>
      </c>
      <c r="CN38" s="11">
        <v>2.8535</v>
      </c>
      <c r="CO38" s="11"/>
      <c r="CP38" s="43"/>
      <c r="CQ38" s="40" t="s">
        <v>278</v>
      </c>
      <c r="CR38" s="11"/>
      <c r="CS38" s="11"/>
      <c r="CT38" s="11"/>
      <c r="CU38" s="11">
        <v>58.0</v>
      </c>
      <c r="CV38" s="11" t="s">
        <v>273</v>
      </c>
      <c r="CW38" s="11">
        <v>2794.499499999999</v>
      </c>
      <c r="CX38" s="11">
        <v>8503.97042</v>
      </c>
      <c r="CY38" s="11">
        <v>11216.52655000001</v>
      </c>
      <c r="CZ38" s="11">
        <v>10345.197575</v>
      </c>
      <c r="DA38" s="11"/>
      <c r="DB38" s="11"/>
      <c r="DC38" s="11"/>
      <c r="DD38" s="11"/>
      <c r="DE38" s="11"/>
      <c r="DF38" s="11"/>
      <c r="DG38" s="11"/>
    </row>
    <row r="39" ht="15.75" customHeight="1">
      <c r="H39" s="11"/>
      <c r="I39" s="41">
        <v>35.0</v>
      </c>
      <c r="J39" s="11" t="s">
        <v>303</v>
      </c>
      <c r="K39" s="11">
        <v>0.0</v>
      </c>
      <c r="L39" s="11">
        <v>0.0</v>
      </c>
      <c r="M39" s="11">
        <v>39483.25199999994</v>
      </c>
      <c r="N39" s="11">
        <v>50117.098</v>
      </c>
      <c r="O39" s="11">
        <v>0.0</v>
      </c>
      <c r="P39" s="11"/>
      <c r="Q39" s="41">
        <v>38.0</v>
      </c>
      <c r="R39" s="11" t="s">
        <v>264</v>
      </c>
      <c r="S39" s="11">
        <v>217100.98</v>
      </c>
      <c r="T39" s="11">
        <v>239423.144</v>
      </c>
      <c r="U39" s="11">
        <v>241688.101</v>
      </c>
      <c r="V39" s="11">
        <v>263737.238</v>
      </c>
      <c r="W39" s="11">
        <v>286863.245</v>
      </c>
      <c r="X39" s="11"/>
      <c r="Y39" s="41">
        <v>29.0</v>
      </c>
      <c r="Z39" s="11" t="s">
        <v>260</v>
      </c>
      <c r="AA39" s="11"/>
      <c r="AB39" s="11"/>
      <c r="AC39" s="11"/>
      <c r="AD39" s="11"/>
      <c r="AE39" s="11"/>
      <c r="AF39" s="11"/>
      <c r="AG39" s="11" t="s">
        <v>304</v>
      </c>
      <c r="AH39" s="11">
        <v>0.0</v>
      </c>
      <c r="AI39" s="11">
        <v>410.0590000000011</v>
      </c>
      <c r="AJ39" s="11">
        <v>6795.92</v>
      </c>
      <c r="AK39" s="11">
        <v>13575.185</v>
      </c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 t="s">
        <v>271</v>
      </c>
      <c r="AZ39" s="11">
        <v>7271.07142</v>
      </c>
      <c r="BA39" s="11">
        <v>14107.94335</v>
      </c>
      <c r="BB39" s="11">
        <v>10130.75993</v>
      </c>
      <c r="BC39" s="11"/>
      <c r="BD39" s="11"/>
      <c r="BE39" s="11" t="s">
        <v>273</v>
      </c>
      <c r="BF39" s="11">
        <v>32906.83100000001</v>
      </c>
      <c r="BG39" s="11">
        <v>48798.301</v>
      </c>
      <c r="BH39" s="11">
        <v>44444.348</v>
      </c>
      <c r="BI39" s="11"/>
      <c r="BJ39" s="11"/>
      <c r="BK39" s="11" t="s">
        <v>294</v>
      </c>
      <c r="BL39" s="11">
        <v>359996.109</v>
      </c>
      <c r="BM39" s="11">
        <v>320778.114</v>
      </c>
      <c r="BN39" s="11">
        <v>274664.0</v>
      </c>
      <c r="BO39" s="11"/>
      <c r="BP39" s="11"/>
      <c r="BQ39" s="11" t="s">
        <v>267</v>
      </c>
      <c r="BR39" s="11">
        <v>1697.32256</v>
      </c>
      <c r="BS39" s="11">
        <v>7422.986039999996</v>
      </c>
      <c r="BT39" s="11">
        <v>19266.65542</v>
      </c>
      <c r="BU39" s="11">
        <v>22946.79519</v>
      </c>
      <c r="BV39" s="11"/>
      <c r="BW39" s="11"/>
      <c r="BX39" s="11" t="s">
        <v>284</v>
      </c>
      <c r="BY39" s="11">
        <v>7811.109</v>
      </c>
      <c r="BZ39" s="11">
        <v>1360.326</v>
      </c>
      <c r="CA39" s="11">
        <v>13129.518</v>
      </c>
      <c r="CB39" s="11">
        <v>9239.99534</v>
      </c>
      <c r="CC39" s="11"/>
      <c r="CD39" s="11"/>
      <c r="CE39" s="11" t="s">
        <v>276</v>
      </c>
      <c r="CF39" s="11">
        <v>460989.0</v>
      </c>
      <c r="CG39" s="11">
        <v>460989.0</v>
      </c>
      <c r="CH39" s="11">
        <v>92197.8</v>
      </c>
      <c r="CI39" s="11"/>
      <c r="CJ39" s="11"/>
      <c r="CK39" s="11" t="s">
        <v>283</v>
      </c>
      <c r="CL39" s="11">
        <v>796.52592</v>
      </c>
      <c r="CM39" s="11">
        <v>1083.26575</v>
      </c>
      <c r="CN39" s="11">
        <v>1291.86943</v>
      </c>
      <c r="CO39" s="11"/>
      <c r="CP39" s="43"/>
      <c r="CQ39" s="40" t="s">
        <v>266</v>
      </c>
      <c r="CR39" s="11"/>
      <c r="CS39" s="11"/>
      <c r="CT39" s="11"/>
      <c r="CU39" s="11">
        <v>59.0</v>
      </c>
      <c r="CV39" s="11" t="s">
        <v>276</v>
      </c>
      <c r="CW39" s="11">
        <v>6.0</v>
      </c>
      <c r="CX39" s="11">
        <v>6.0</v>
      </c>
      <c r="CY39" s="11">
        <v>6.0</v>
      </c>
      <c r="CZ39" s="11">
        <v>6.0</v>
      </c>
      <c r="DA39" s="11"/>
      <c r="DB39" s="11"/>
      <c r="DC39" s="11"/>
      <c r="DD39" s="11"/>
      <c r="DE39" s="11"/>
      <c r="DF39" s="11"/>
      <c r="DG39" s="11"/>
    </row>
    <row r="40" ht="15.75" customHeight="1">
      <c r="A40" s="41">
        <v>34.0</v>
      </c>
      <c r="B40" s="11" t="s">
        <v>305</v>
      </c>
      <c r="C40" s="11">
        <v>40909.739</v>
      </c>
      <c r="D40" s="11">
        <v>38454.37</v>
      </c>
      <c r="E40" s="11">
        <v>38454.37</v>
      </c>
      <c r="F40" s="11">
        <v>38454.37</v>
      </c>
      <c r="G40" s="11">
        <v>40223.788</v>
      </c>
      <c r="H40" s="11"/>
      <c r="I40" s="41">
        <v>33.0</v>
      </c>
      <c r="J40" s="11" t="s">
        <v>305</v>
      </c>
      <c r="K40" s="11">
        <v>0.0</v>
      </c>
      <c r="L40" s="11">
        <v>0.0</v>
      </c>
      <c r="M40" s="11">
        <v>134425.41</v>
      </c>
      <c r="N40" s="11">
        <v>134425.41</v>
      </c>
      <c r="O40" s="11">
        <v>134425.41</v>
      </c>
      <c r="P40" s="11"/>
      <c r="Q40" s="41"/>
      <c r="R40" s="11"/>
      <c r="S40" s="11"/>
      <c r="T40" s="11"/>
      <c r="U40" s="11"/>
      <c r="V40" s="11"/>
      <c r="W40" s="11"/>
      <c r="X40" s="11"/>
      <c r="Y40" s="41">
        <v>30.0</v>
      </c>
      <c r="Z40" s="11" t="s">
        <v>259</v>
      </c>
      <c r="AA40" s="11">
        <v>45079.636</v>
      </c>
      <c r="AB40" s="11">
        <v>2661.033</v>
      </c>
      <c r="AC40" s="11">
        <v>3208.322</v>
      </c>
      <c r="AD40" s="11">
        <v>5083.783</v>
      </c>
      <c r="AE40" s="11"/>
      <c r="AF40" s="11"/>
      <c r="AG40" s="11" t="s">
        <v>306</v>
      </c>
      <c r="AH40" s="11">
        <v>0.0</v>
      </c>
      <c r="AI40" s="11">
        <v>20186.765</v>
      </c>
      <c r="AJ40" s="11">
        <v>19842.093</v>
      </c>
      <c r="AK40" s="11">
        <v>24459.709</v>
      </c>
      <c r="AL40" s="11"/>
      <c r="AM40" s="11"/>
      <c r="AN40" s="11"/>
      <c r="AO40" s="11"/>
      <c r="AP40" s="11"/>
      <c r="AQ40" s="11"/>
      <c r="AR40" s="11"/>
      <c r="AS40" s="11"/>
      <c r="AT40" s="11"/>
      <c r="AU40" s="11">
        <v>0.0</v>
      </c>
      <c r="AV40" s="11">
        <v>0.0</v>
      </c>
      <c r="AW40" s="11"/>
      <c r="AX40" s="11"/>
      <c r="AY40" s="11" t="s">
        <v>273</v>
      </c>
      <c r="AZ40" s="11">
        <v>43957.52258999999</v>
      </c>
      <c r="BA40" s="11">
        <v>53441.96068</v>
      </c>
      <c r="BB40" s="11">
        <v>49563.59641999999</v>
      </c>
      <c r="BC40" s="11"/>
      <c r="BD40" s="11"/>
      <c r="BE40" s="11" t="s">
        <v>276</v>
      </c>
      <c r="BF40" s="11">
        <v>5005.0</v>
      </c>
      <c r="BG40" s="11">
        <v>5005.0</v>
      </c>
      <c r="BH40" s="11">
        <v>5005.0</v>
      </c>
      <c r="BI40" s="11"/>
      <c r="BJ40" s="11"/>
      <c r="BK40" s="11" t="s">
        <v>300</v>
      </c>
      <c r="BL40" s="11">
        <v>17120.621</v>
      </c>
      <c r="BM40" s="11">
        <v>38914.749</v>
      </c>
      <c r="BN40" s="11">
        <v>73704.47899999999</v>
      </c>
      <c r="BO40" s="11"/>
      <c r="BP40" s="11"/>
      <c r="BQ40" s="11" t="s">
        <v>294</v>
      </c>
      <c r="BR40" s="11">
        <v>8550.0</v>
      </c>
      <c r="BS40" s="11">
        <v>20819.71197</v>
      </c>
      <c r="BT40" s="11">
        <v>22472.022</v>
      </c>
      <c r="BU40" s="11">
        <v>22106.502</v>
      </c>
      <c r="BV40" s="11"/>
      <c r="BW40" s="11"/>
      <c r="BX40" s="11" t="s">
        <v>307</v>
      </c>
      <c r="BY40" s="11">
        <v>46133.693</v>
      </c>
      <c r="BZ40" s="11">
        <v>20422.764</v>
      </c>
      <c r="CA40" s="11">
        <v>13865.13369999938</v>
      </c>
      <c r="CB40" s="11">
        <v>4466.41392</v>
      </c>
      <c r="CC40" s="11"/>
      <c r="CD40" s="11"/>
      <c r="CE40" s="11" t="s">
        <v>280</v>
      </c>
      <c r="CF40" s="11">
        <v>3180.903</v>
      </c>
      <c r="CG40" s="11">
        <v>0.0</v>
      </c>
      <c r="CH40" s="11"/>
      <c r="CI40" s="11"/>
      <c r="CJ40" s="11"/>
      <c r="CK40" s="11" t="s">
        <v>286</v>
      </c>
      <c r="CL40" s="11">
        <v>6011.88501</v>
      </c>
      <c r="CM40" s="11">
        <v>7688.11014</v>
      </c>
      <c r="CN40" s="11">
        <v>9982.02881</v>
      </c>
      <c r="CO40" s="11"/>
      <c r="CP40" s="43"/>
      <c r="CQ40" s="40" t="s">
        <v>308</v>
      </c>
      <c r="CR40" s="11"/>
      <c r="CS40" s="11"/>
      <c r="CT40" s="11"/>
      <c r="CU40" s="11">
        <v>61.0</v>
      </c>
      <c r="CV40" s="11" t="s">
        <v>283</v>
      </c>
      <c r="CW40" s="11">
        <v>75.655</v>
      </c>
      <c r="CX40" s="11">
        <v>112.83228</v>
      </c>
      <c r="CY40" s="11">
        <v>140.05211</v>
      </c>
      <c r="CZ40" s="11">
        <v>302.23253</v>
      </c>
      <c r="DA40" s="11"/>
      <c r="DB40" s="11"/>
      <c r="DC40" s="11"/>
      <c r="DD40" s="11"/>
      <c r="DE40" s="11"/>
      <c r="DF40" s="11"/>
      <c r="DG40" s="11"/>
    </row>
    <row r="41" ht="15.75" customHeight="1">
      <c r="H41" s="11"/>
      <c r="I41" s="41">
        <v>34.0</v>
      </c>
      <c r="J41" s="11" t="s">
        <v>309</v>
      </c>
      <c r="K41" s="11">
        <v>0.0</v>
      </c>
      <c r="L41" s="11">
        <v>0.0</v>
      </c>
      <c r="M41" s="11">
        <v>88271.098</v>
      </c>
      <c r="N41" s="11">
        <v>81032.767</v>
      </c>
      <c r="O41" s="11">
        <v>0.0</v>
      </c>
      <c r="P41" s="11"/>
      <c r="Q41" s="41"/>
      <c r="R41" s="11"/>
      <c r="S41" s="11"/>
      <c r="T41" s="11"/>
      <c r="U41" s="11"/>
      <c r="V41" s="11"/>
      <c r="W41" s="11"/>
      <c r="X41" s="11"/>
      <c r="Y41" s="41">
        <v>31.0</v>
      </c>
      <c r="Z41" s="11" t="s">
        <v>275</v>
      </c>
      <c r="AA41" s="11">
        <v>0.0</v>
      </c>
      <c r="AB41" s="11">
        <v>0.0</v>
      </c>
      <c r="AC41" s="11">
        <v>0.0</v>
      </c>
      <c r="AD41" s="11">
        <v>0.0</v>
      </c>
      <c r="AE41" s="11"/>
      <c r="AF41" s="11"/>
      <c r="AG41" s="11" t="s">
        <v>273</v>
      </c>
      <c r="AH41" s="11">
        <v>0.0</v>
      </c>
      <c r="AI41" s="11">
        <v>42226.905</v>
      </c>
      <c r="AJ41" s="11">
        <v>40632.462</v>
      </c>
      <c r="AK41" s="11">
        <v>39114.122</v>
      </c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 t="s">
        <v>276</v>
      </c>
      <c r="AZ41" s="11">
        <v>15000.0</v>
      </c>
      <c r="BA41" s="11">
        <v>15000.0</v>
      </c>
      <c r="BB41" s="11">
        <v>15000.0</v>
      </c>
      <c r="BC41" s="11"/>
      <c r="BD41" s="11"/>
      <c r="BE41" s="11" t="s">
        <v>280</v>
      </c>
      <c r="BF41" s="11">
        <v>9995.0</v>
      </c>
      <c r="BG41" s="11">
        <v>9995.0</v>
      </c>
      <c r="BH41" s="11">
        <v>9995.0</v>
      </c>
      <c r="BI41" s="11"/>
      <c r="BJ41" s="11"/>
      <c r="BK41" s="11" t="s">
        <v>271</v>
      </c>
      <c r="BL41" s="11">
        <v>377116.73</v>
      </c>
      <c r="BM41" s="11">
        <v>359692.863</v>
      </c>
      <c r="BN41" s="11">
        <v>348368.479</v>
      </c>
      <c r="BO41" s="11"/>
      <c r="BP41" s="11"/>
      <c r="BQ41" s="11" t="s">
        <v>271</v>
      </c>
      <c r="BR41" s="11">
        <v>8550.0</v>
      </c>
      <c r="BS41" s="11">
        <v>20819.71197</v>
      </c>
      <c r="BT41" s="11">
        <v>22472.022</v>
      </c>
      <c r="BU41" s="11">
        <v>22106.502</v>
      </c>
      <c r="BV41" s="11"/>
      <c r="BW41" s="11"/>
      <c r="BX41" s="11" t="s">
        <v>281</v>
      </c>
      <c r="BY41" s="11">
        <v>151499.524</v>
      </c>
      <c r="BZ41" s="11">
        <v>198487.661</v>
      </c>
      <c r="CA41" s="11">
        <v>281677.784</v>
      </c>
      <c r="CB41" s="11">
        <v>457802.5132100001</v>
      </c>
      <c r="CC41" s="11"/>
      <c r="CD41" s="11"/>
      <c r="CE41" s="11" t="s">
        <v>286</v>
      </c>
      <c r="CF41" s="11">
        <v>-315220.599</v>
      </c>
      <c r="CG41" s="11">
        <v>-326043.41</v>
      </c>
      <c r="CH41" s="11">
        <v>5562.962</v>
      </c>
      <c r="CI41" s="11"/>
      <c r="CJ41" s="11"/>
      <c r="CK41" s="11" t="s">
        <v>288</v>
      </c>
      <c r="CL41" s="11">
        <v>1764.49745</v>
      </c>
      <c r="CM41" s="11">
        <v>2293.91867</v>
      </c>
      <c r="CN41" s="11">
        <v>3472.21997</v>
      </c>
      <c r="CO41" s="11"/>
      <c r="CP41" s="43"/>
      <c r="CQ41" s="40" t="s">
        <v>310</v>
      </c>
      <c r="CR41" s="11"/>
      <c r="CS41" s="11"/>
      <c r="CT41" s="11"/>
      <c r="CU41" s="11">
        <v>64.0</v>
      </c>
      <c r="CV41" s="11" t="s">
        <v>286</v>
      </c>
      <c r="CW41" s="11">
        <v>3653.092</v>
      </c>
      <c r="CX41" s="11">
        <v>371.76171</v>
      </c>
      <c r="CY41" s="11">
        <v>1977.73176</v>
      </c>
      <c r="CZ41" s="11">
        <v>3915.90162</v>
      </c>
      <c r="DA41" s="11"/>
      <c r="DB41" s="11"/>
      <c r="DC41" s="11"/>
      <c r="DD41" s="11"/>
      <c r="DE41" s="11"/>
      <c r="DF41" s="11"/>
      <c r="DG41" s="11"/>
    </row>
    <row r="42" ht="15.75" customHeight="1">
      <c r="A42" s="41">
        <v>38.0</v>
      </c>
      <c r="B42" s="11" t="s">
        <v>262</v>
      </c>
      <c r="C42" s="11">
        <v>43854.634</v>
      </c>
      <c r="D42" s="11">
        <v>47511.01</v>
      </c>
      <c r="E42" s="11">
        <v>43317.688</v>
      </c>
      <c r="F42" s="11">
        <v>51328.915</v>
      </c>
      <c r="G42" s="11">
        <v>73222.413</v>
      </c>
      <c r="H42" s="11"/>
      <c r="I42" s="41">
        <v>37.0</v>
      </c>
      <c r="J42" s="11" t="s">
        <v>262</v>
      </c>
      <c r="K42" s="11">
        <v>316380.0</v>
      </c>
      <c r="L42" s="11">
        <v>332106.0</v>
      </c>
      <c r="M42" s="11">
        <v>269491.189</v>
      </c>
      <c r="N42" s="11">
        <v>282184.366</v>
      </c>
      <c r="O42" s="11">
        <v>442297.1090000001</v>
      </c>
      <c r="P42" s="11"/>
      <c r="Q42" s="41"/>
      <c r="R42" s="11"/>
      <c r="S42" s="11"/>
      <c r="T42" s="11"/>
      <c r="U42" s="11"/>
      <c r="V42" s="11"/>
      <c r="W42" s="11"/>
      <c r="X42" s="11"/>
      <c r="Y42" s="41">
        <v>32.0</v>
      </c>
      <c r="Z42" s="11" t="s">
        <v>270</v>
      </c>
      <c r="AA42" s="11">
        <v>0.0</v>
      </c>
      <c r="AB42" s="11">
        <v>0.0</v>
      </c>
      <c r="AC42" s="11">
        <v>0.0</v>
      </c>
      <c r="AD42" s="11">
        <v>31265.551</v>
      </c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 t="s">
        <v>280</v>
      </c>
      <c r="AZ42" s="11">
        <v>0.0</v>
      </c>
      <c r="BA42" s="11"/>
      <c r="BB42" s="11"/>
      <c r="BC42" s="11"/>
      <c r="BD42" s="11"/>
      <c r="BE42" s="11" t="s">
        <v>283</v>
      </c>
      <c r="BF42" s="11">
        <v>1186.153</v>
      </c>
      <c r="BG42" s="11">
        <v>1404.133</v>
      </c>
      <c r="BH42" s="11">
        <v>1404.133</v>
      </c>
      <c r="BI42" s="11"/>
      <c r="BJ42" s="11"/>
      <c r="BK42" s="11" t="s">
        <v>273</v>
      </c>
      <c r="BL42" s="11">
        <v>420160.878</v>
      </c>
      <c r="BM42" s="11">
        <v>434882.814</v>
      </c>
      <c r="BN42" s="11">
        <v>418953.48</v>
      </c>
      <c r="BO42" s="11"/>
      <c r="BP42" s="11"/>
      <c r="BQ42" s="11" t="s">
        <v>273</v>
      </c>
      <c r="BR42" s="11">
        <v>10247.32256</v>
      </c>
      <c r="BS42" s="11">
        <v>28242.69801</v>
      </c>
      <c r="BT42" s="11">
        <v>41738.67742</v>
      </c>
      <c r="BU42" s="11">
        <v>45053.29719</v>
      </c>
      <c r="BV42" s="11"/>
      <c r="BW42" s="11"/>
      <c r="BX42" s="11" t="s">
        <v>267</v>
      </c>
      <c r="BY42" s="11">
        <v>351927.3</v>
      </c>
      <c r="BZ42" s="11">
        <v>368985.002</v>
      </c>
      <c r="CA42" s="11">
        <v>404572.4056999994</v>
      </c>
      <c r="CB42" s="11">
        <v>687122.8156000001</v>
      </c>
      <c r="CC42" s="11"/>
      <c r="CD42" s="11"/>
      <c r="CE42" s="11" t="s">
        <v>288</v>
      </c>
      <c r="CF42" s="11">
        <v>-10822.811</v>
      </c>
      <c r="CG42" s="11">
        <v>-37184.829</v>
      </c>
      <c r="CH42" s="11">
        <v>11939.54</v>
      </c>
      <c r="CI42" s="11"/>
      <c r="CJ42" s="11"/>
      <c r="CK42" s="11" t="s">
        <v>292</v>
      </c>
      <c r="CL42" s="11">
        <v>11680.76188</v>
      </c>
      <c r="CM42" s="11">
        <v>14173.14806</v>
      </c>
      <c r="CN42" s="11">
        <v>17853.97171</v>
      </c>
      <c r="CO42" s="11"/>
      <c r="CP42" s="43"/>
      <c r="CQ42" s="40" t="s">
        <v>262</v>
      </c>
      <c r="CR42" s="11">
        <v>0.0</v>
      </c>
      <c r="CS42" s="11">
        <v>0.0</v>
      </c>
      <c r="CT42" s="11"/>
      <c r="CU42" s="11">
        <v>65.0</v>
      </c>
      <c r="CV42" s="11" t="s">
        <v>288</v>
      </c>
      <c r="CW42" s="11">
        <v>371.761</v>
      </c>
      <c r="CX42" s="11">
        <v>2177.58651</v>
      </c>
      <c r="CY42" s="11">
        <v>2076.611659999999</v>
      </c>
      <c r="CZ42" s="11">
        <v>251.93963</v>
      </c>
      <c r="DA42" s="11"/>
      <c r="DB42" s="11"/>
      <c r="DC42" s="11"/>
      <c r="DD42" s="11"/>
      <c r="DE42" s="11"/>
      <c r="DF42" s="11"/>
      <c r="DG42" s="11"/>
    </row>
    <row r="43" ht="15.75" customHeight="1">
      <c r="A43" s="41">
        <v>39.0</v>
      </c>
      <c r="B43" s="11" t="s">
        <v>264</v>
      </c>
      <c r="C43" s="11">
        <v>65298.51</v>
      </c>
      <c r="D43" s="11">
        <v>63658.78</v>
      </c>
      <c r="E43" s="11">
        <v>70575.686</v>
      </c>
      <c r="F43" s="11">
        <v>81517.547</v>
      </c>
      <c r="G43" s="11">
        <v>102146.252</v>
      </c>
      <c r="H43" s="11"/>
      <c r="I43" s="41">
        <v>38.0</v>
      </c>
      <c r="J43" s="11" t="s">
        <v>264</v>
      </c>
      <c r="K43" s="11">
        <v>922829.282</v>
      </c>
      <c r="L43" s="11">
        <v>996616.0</v>
      </c>
      <c r="M43" s="11">
        <v>1111781.543</v>
      </c>
      <c r="N43" s="11">
        <v>1250950.559</v>
      </c>
      <c r="O43" s="11">
        <v>1269454.496</v>
      </c>
      <c r="P43" s="11"/>
      <c r="Q43" s="41"/>
      <c r="R43" s="11"/>
      <c r="S43" s="11"/>
      <c r="T43" s="11"/>
      <c r="U43" s="11"/>
      <c r="V43" s="11"/>
      <c r="W43" s="11"/>
      <c r="X43" s="11"/>
      <c r="Y43" s="41">
        <v>33.0</v>
      </c>
      <c r="Z43" s="11" t="s">
        <v>266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 t="s">
        <v>283</v>
      </c>
      <c r="AZ43" s="11">
        <v>271.946</v>
      </c>
      <c r="BA43" s="11">
        <v>490.97832</v>
      </c>
      <c r="BB43" s="11">
        <v>490.97832</v>
      </c>
      <c r="BC43" s="11"/>
      <c r="BD43" s="11"/>
      <c r="BE43" s="11" t="s">
        <v>286</v>
      </c>
      <c r="BF43" s="11">
        <v>12539.861</v>
      </c>
      <c r="BG43" s="11">
        <v>14181.481</v>
      </c>
      <c r="BH43" s="11">
        <v>15517.182</v>
      </c>
      <c r="BI43" s="11"/>
      <c r="BJ43" s="11"/>
      <c r="BK43" s="11" t="s">
        <v>276</v>
      </c>
      <c r="BL43" s="11">
        <v>111574.8</v>
      </c>
      <c r="BM43" s="11">
        <v>111574.8</v>
      </c>
      <c r="BN43" s="11">
        <v>111574.8</v>
      </c>
      <c r="BO43" s="11"/>
      <c r="BP43" s="11"/>
      <c r="BQ43" s="11" t="s">
        <v>276</v>
      </c>
      <c r="BR43" s="11">
        <v>7572.2</v>
      </c>
      <c r="BS43" s="11">
        <v>7572.2</v>
      </c>
      <c r="BT43" s="11">
        <v>7572.2</v>
      </c>
      <c r="BU43" s="11">
        <v>16105.6</v>
      </c>
      <c r="BV43" s="11"/>
      <c r="BW43" s="11"/>
      <c r="BX43" s="11" t="s">
        <v>294</v>
      </c>
      <c r="BY43" s="11">
        <v>1110126.439</v>
      </c>
      <c r="BZ43" s="11">
        <v>1094198.233</v>
      </c>
      <c r="CA43" s="11">
        <v>1103397.817</v>
      </c>
      <c r="CB43" s="11">
        <v>1097546.9678</v>
      </c>
      <c r="CC43" s="11"/>
      <c r="CD43" s="11"/>
      <c r="CE43" s="11" t="s">
        <v>292</v>
      </c>
      <c r="CF43" s="11">
        <v>138126.493</v>
      </c>
      <c r="CG43" s="11">
        <v>97760.76100000003</v>
      </c>
      <c r="CH43" s="11">
        <v>109700.302</v>
      </c>
      <c r="CI43" s="11"/>
      <c r="CJ43" s="11"/>
      <c r="CK43" s="11" t="s">
        <v>297</v>
      </c>
      <c r="CL43" s="11">
        <v>13789.077719</v>
      </c>
      <c r="CM43" s="11">
        <v>15858.15931</v>
      </c>
      <c r="CN43" s="11">
        <v>22550.46197</v>
      </c>
      <c r="CO43" s="11"/>
      <c r="CP43" s="43"/>
      <c r="CQ43" s="40" t="s">
        <v>264</v>
      </c>
      <c r="CR43" s="11">
        <v>411.00048</v>
      </c>
      <c r="CS43" s="11">
        <v>2582.42979</v>
      </c>
      <c r="CT43" s="11"/>
      <c r="CU43" s="11">
        <v>67.0</v>
      </c>
      <c r="CV43" s="11" t="s">
        <v>292</v>
      </c>
      <c r="CW43" s="11">
        <v>4106.508000000001</v>
      </c>
      <c r="CX43" s="11">
        <v>2668.1805</v>
      </c>
      <c r="CY43" s="11">
        <v>4200.395529999998</v>
      </c>
      <c r="CZ43" s="11">
        <v>4476.07378</v>
      </c>
      <c r="DA43" s="11"/>
      <c r="DB43" s="11"/>
      <c r="DC43" s="11"/>
      <c r="DD43" s="11"/>
      <c r="DE43" s="11"/>
      <c r="DF43" s="11"/>
      <c r="DG43" s="11"/>
    </row>
    <row r="44" ht="15.75" customHeight="1">
      <c r="A44" s="41"/>
      <c r="B44" s="11"/>
      <c r="C44" s="11"/>
      <c r="D44" s="11"/>
      <c r="E44" s="11"/>
      <c r="F44" s="11"/>
      <c r="G44" s="11"/>
      <c r="H44" s="11"/>
      <c r="I44" s="41"/>
      <c r="J44" s="11"/>
      <c r="K44" s="11"/>
      <c r="L44" s="11"/>
      <c r="M44" s="11"/>
      <c r="N44" s="11"/>
      <c r="O44" s="11"/>
      <c r="P44" s="11"/>
      <c r="Q44" s="41"/>
      <c r="R44" s="11"/>
      <c r="S44" s="11"/>
      <c r="T44" s="11"/>
      <c r="U44" s="11"/>
      <c r="V44" s="11"/>
      <c r="W44" s="11"/>
      <c r="X44" s="11"/>
      <c r="Y44" s="41">
        <v>36.0</v>
      </c>
      <c r="Z44" s="11" t="s">
        <v>303</v>
      </c>
      <c r="AA44" s="11">
        <v>0.0</v>
      </c>
      <c r="AB44" s="11">
        <v>0.0</v>
      </c>
      <c r="AC44" s="11">
        <v>0.0</v>
      </c>
      <c r="AD44" s="11">
        <v>0.0</v>
      </c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 t="s">
        <v>286</v>
      </c>
      <c r="AZ44" s="11">
        <v>6838.92046</v>
      </c>
      <c r="BA44" s="11">
        <v>10000.53461</v>
      </c>
      <c r="BB44" s="11">
        <v>12066.14381</v>
      </c>
      <c r="BC44" s="11"/>
      <c r="BD44" s="11"/>
      <c r="BE44" s="11" t="s">
        <v>292</v>
      </c>
      <c r="BF44" s="11">
        <v>28726.014</v>
      </c>
      <c r="BG44" s="11">
        <v>30585.614</v>
      </c>
      <c r="BH44" s="11">
        <v>31921.315</v>
      </c>
      <c r="BI44" s="11"/>
      <c r="BJ44" s="11"/>
      <c r="BK44" s="11" t="s">
        <v>283</v>
      </c>
      <c r="BL44" s="11">
        <v>2164.457</v>
      </c>
      <c r="BM44" s="11">
        <v>3357.874</v>
      </c>
      <c r="BN44" s="11">
        <v>5105.494</v>
      </c>
      <c r="BO44" s="11"/>
      <c r="BP44" s="11"/>
      <c r="BQ44" s="11" t="s">
        <v>280</v>
      </c>
      <c r="BR44" s="11">
        <v>4838.43896</v>
      </c>
      <c r="BS44" s="11">
        <v>2473.345</v>
      </c>
      <c r="BT44" s="11">
        <v>7207.98048</v>
      </c>
      <c r="BU44" s="11">
        <v>2655.20013</v>
      </c>
      <c r="BV44" s="11"/>
      <c r="BW44" s="11"/>
      <c r="BX44" s="11" t="s">
        <v>311</v>
      </c>
      <c r="BY44" s="11">
        <v>11947.88</v>
      </c>
      <c r="BZ44" s="11">
        <v>17729.954</v>
      </c>
      <c r="CA44" s="11">
        <v>22056.56</v>
      </c>
      <c r="CB44" s="11">
        <v>39101.46768</v>
      </c>
      <c r="CC44" s="11"/>
      <c r="CD44" s="11"/>
      <c r="CE44" s="11" t="s">
        <v>297</v>
      </c>
      <c r="CF44" s="11">
        <v>411387.426</v>
      </c>
      <c r="CG44" s="11">
        <v>549721.2170000001</v>
      </c>
      <c r="CH44" s="11">
        <v>736046.4880000001</v>
      </c>
      <c r="CI44" s="11"/>
      <c r="CJ44" s="11"/>
      <c r="CK44" s="11"/>
      <c r="CL44" s="11"/>
      <c r="CM44" s="11"/>
      <c r="CN44" s="11"/>
      <c r="CO44" s="11"/>
      <c r="CP44" s="43"/>
      <c r="CQ44" s="40" t="s">
        <v>312</v>
      </c>
      <c r="CR44" s="11">
        <v>0.0</v>
      </c>
      <c r="CS44" s="11"/>
      <c r="CT44" s="11"/>
      <c r="CU44" s="11">
        <v>68.0</v>
      </c>
      <c r="CV44" s="11" t="s">
        <v>297</v>
      </c>
      <c r="CW44" s="11">
        <v>6901.0075</v>
      </c>
      <c r="CX44" s="11">
        <v>11172.15092</v>
      </c>
      <c r="CY44" s="11">
        <v>15416.92208</v>
      </c>
      <c r="CZ44" s="11">
        <v>14821.271355</v>
      </c>
      <c r="DA44" s="11"/>
      <c r="DB44" s="11"/>
      <c r="DC44" s="11"/>
      <c r="DD44" s="11"/>
      <c r="DE44" s="11"/>
      <c r="DF44" s="11"/>
      <c r="DG44" s="11"/>
    </row>
    <row r="45" ht="15.75" customHeight="1">
      <c r="A45" s="41"/>
      <c r="B45" s="11"/>
      <c r="C45" s="11"/>
      <c r="D45" s="11"/>
      <c r="E45" s="11"/>
      <c r="F45" s="11"/>
      <c r="G45" s="11"/>
      <c r="H45" s="11"/>
      <c r="I45" s="41"/>
      <c r="J45" s="11"/>
      <c r="K45" s="11"/>
      <c r="L45" s="11"/>
      <c r="M45" s="11"/>
      <c r="N45" s="11"/>
      <c r="O45" s="11"/>
      <c r="P45" s="11"/>
      <c r="Q45" s="41"/>
      <c r="R45" s="11"/>
      <c r="S45" s="11"/>
      <c r="T45" s="11"/>
      <c r="U45" s="11"/>
      <c r="V45" s="11"/>
      <c r="W45" s="11"/>
      <c r="X45" s="11"/>
      <c r="Y45" s="41">
        <v>34.0</v>
      </c>
      <c r="Z45" s="11" t="s">
        <v>305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 t="s">
        <v>288</v>
      </c>
      <c r="AZ45" s="11">
        <v>4380.64647</v>
      </c>
      <c r="BA45" s="11">
        <v>4565.6092</v>
      </c>
      <c r="BB45" s="11">
        <v>2065.92903</v>
      </c>
      <c r="BC45" s="11"/>
      <c r="BD45" s="11"/>
      <c r="BE45" s="11" t="s">
        <v>297</v>
      </c>
      <c r="BF45" s="11">
        <v>61632.84500000001</v>
      </c>
      <c r="BG45" s="11">
        <v>79383.91500000001</v>
      </c>
      <c r="BH45" s="11">
        <v>76365.663</v>
      </c>
      <c r="BI45" s="11"/>
      <c r="BJ45" s="11"/>
      <c r="BK45" s="11" t="s">
        <v>313</v>
      </c>
      <c r="BL45" s="11">
        <v>8912.602</v>
      </c>
      <c r="BM45" s="11">
        <v>8912.602</v>
      </c>
      <c r="BN45" s="11">
        <v>13912.579</v>
      </c>
      <c r="BO45" s="11"/>
      <c r="BP45" s="11"/>
      <c r="BQ45" s="11" t="s">
        <v>283</v>
      </c>
      <c r="BR45" s="11">
        <v>46.49867</v>
      </c>
      <c r="BS45" s="11">
        <v>78.55701</v>
      </c>
      <c r="BT45" s="11">
        <v>46.49867</v>
      </c>
      <c r="BU45" s="11">
        <v>119.76161</v>
      </c>
      <c r="BV45" s="11"/>
      <c r="BW45" s="11"/>
      <c r="BX45" s="11" t="s">
        <v>271</v>
      </c>
      <c r="BY45" s="11">
        <v>1122074.319</v>
      </c>
      <c r="BZ45" s="11">
        <v>1111928.187</v>
      </c>
      <c r="CA45" s="11">
        <v>1125454.377</v>
      </c>
      <c r="CB45" s="11">
        <v>1141114.8494</v>
      </c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43"/>
      <c r="CQ45" s="40" t="s">
        <v>289</v>
      </c>
      <c r="CR45" s="11">
        <v>0.0</v>
      </c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</row>
    <row r="46" ht="15.75" customHeight="1">
      <c r="A46" s="41"/>
      <c r="B46" s="11"/>
      <c r="C46" s="11"/>
      <c r="D46" s="11"/>
      <c r="E46" s="11"/>
      <c r="F46" s="11"/>
      <c r="G46" s="11"/>
      <c r="H46" s="11"/>
      <c r="I46" s="41"/>
      <c r="J46" s="11"/>
      <c r="K46" s="11"/>
      <c r="L46" s="11"/>
      <c r="M46" s="11"/>
      <c r="N46" s="11"/>
      <c r="O46" s="11"/>
      <c r="P46" s="11"/>
      <c r="Q46" s="41"/>
      <c r="R46" s="11"/>
      <c r="S46" s="11"/>
      <c r="T46" s="11"/>
      <c r="U46" s="11"/>
      <c r="V46" s="11"/>
      <c r="W46" s="11"/>
      <c r="X46" s="11"/>
      <c r="Y46" s="41">
        <v>35.0</v>
      </c>
      <c r="Z46" s="11" t="s">
        <v>309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 t="s">
        <v>292</v>
      </c>
      <c r="AZ46" s="11">
        <v>26491.51293</v>
      </c>
      <c r="BA46" s="11">
        <v>30057.12213</v>
      </c>
      <c r="BB46" s="11">
        <v>29623.05116</v>
      </c>
      <c r="BC46" s="11"/>
      <c r="BD46" s="11"/>
      <c r="BE46" s="11"/>
      <c r="BF46" s="11"/>
      <c r="BG46" s="11"/>
      <c r="BH46" s="11"/>
      <c r="BI46" s="11"/>
      <c r="BJ46" s="11"/>
      <c r="BK46" s="11" t="s">
        <v>286</v>
      </c>
      <c r="BL46" s="11">
        <v>9066.109</v>
      </c>
      <c r="BM46" s="11">
        <v>21232.865</v>
      </c>
      <c r="BN46" s="11">
        <v>505.714</v>
      </c>
      <c r="BO46" s="11"/>
      <c r="BP46" s="11"/>
      <c r="BQ46" s="11" t="s">
        <v>286</v>
      </c>
      <c r="BR46" s="11">
        <v>746.05884</v>
      </c>
      <c r="BS46" s="11">
        <v>766.65075</v>
      </c>
      <c r="BT46" s="11">
        <v>1375.75921</v>
      </c>
      <c r="BU46" s="11">
        <v>4131.3488</v>
      </c>
      <c r="BV46" s="11"/>
      <c r="BW46" s="11"/>
      <c r="BX46" s="11" t="s">
        <v>273</v>
      </c>
      <c r="BY46" s="11">
        <v>1474001.619</v>
      </c>
      <c r="BZ46" s="11">
        <v>1480913.189</v>
      </c>
      <c r="CA46" s="11">
        <v>1530026.7827</v>
      </c>
      <c r="CB46" s="11">
        <v>1828237.665</v>
      </c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43"/>
      <c r="CQ46" s="40" t="s">
        <v>314</v>
      </c>
      <c r="CR46" s="11"/>
      <c r="CS46" s="11"/>
      <c r="CT46" s="11"/>
      <c r="CU46" s="11"/>
      <c r="CV46" s="11"/>
      <c r="CW46" s="11">
        <v>0.0</v>
      </c>
      <c r="CX46" s="11">
        <v>0.0</v>
      </c>
      <c r="CY46" s="11">
        <v>0.0</v>
      </c>
      <c r="CZ46" s="11">
        <v>0.0</v>
      </c>
      <c r="DA46" s="11"/>
      <c r="DB46" s="11"/>
      <c r="DC46" s="11"/>
      <c r="DD46" s="11"/>
      <c r="DE46" s="11"/>
      <c r="DF46" s="11"/>
      <c r="DG46" s="11"/>
    </row>
    <row r="47" ht="15.75" customHeight="1">
      <c r="A47" s="41"/>
      <c r="B47" s="11"/>
      <c r="C47" s="11"/>
      <c r="D47" s="11"/>
      <c r="E47" s="11"/>
      <c r="F47" s="11"/>
      <c r="G47" s="11"/>
      <c r="H47" s="11"/>
      <c r="I47" s="41"/>
      <c r="J47" s="11"/>
      <c r="K47" s="11"/>
      <c r="L47" s="11"/>
      <c r="M47" s="11"/>
      <c r="N47" s="11"/>
      <c r="O47" s="11"/>
      <c r="P47" s="11"/>
      <c r="Q47" s="41"/>
      <c r="R47" s="11"/>
      <c r="S47" s="11"/>
      <c r="T47" s="11"/>
      <c r="U47" s="11"/>
      <c r="V47" s="11"/>
      <c r="W47" s="11"/>
      <c r="X47" s="11"/>
      <c r="Y47" s="41">
        <v>37.0</v>
      </c>
      <c r="Z47" s="11" t="s">
        <v>310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 t="s">
        <v>297</v>
      </c>
      <c r="AZ47" s="11">
        <v>70449.03551999999</v>
      </c>
      <c r="BA47" s="11">
        <v>83499.08281</v>
      </c>
      <c r="BB47" s="11">
        <v>79186.64757999999</v>
      </c>
      <c r="BC47" s="11"/>
      <c r="BD47" s="11"/>
      <c r="BE47" s="11"/>
      <c r="BF47" s="11"/>
      <c r="BG47" s="11"/>
      <c r="BH47" s="11"/>
      <c r="BI47" s="11"/>
      <c r="BJ47" s="11"/>
      <c r="BK47" s="11" t="s">
        <v>288</v>
      </c>
      <c r="BL47" s="11">
        <v>12166.756</v>
      </c>
      <c r="BM47" s="11">
        <v>22419.683</v>
      </c>
      <c r="BN47" s="11">
        <v>32212.365</v>
      </c>
      <c r="BO47" s="11"/>
      <c r="BP47" s="11"/>
      <c r="BQ47" s="11" t="s">
        <v>288</v>
      </c>
      <c r="BR47" s="11">
        <v>20.59191</v>
      </c>
      <c r="BS47" s="11">
        <v>609.10846</v>
      </c>
      <c r="BT47" s="11">
        <v>2768.89096</v>
      </c>
      <c r="BU47" s="11">
        <v>5028.27473</v>
      </c>
      <c r="BV47" s="11"/>
      <c r="BW47" s="11"/>
      <c r="BX47" s="11" t="s">
        <v>276</v>
      </c>
      <c r="BY47" s="11">
        <v>134051.4</v>
      </c>
      <c r="BZ47" s="11">
        <v>134051.4</v>
      </c>
      <c r="CA47" s="11">
        <v>134051.4</v>
      </c>
      <c r="CB47" s="11">
        <v>134051.4</v>
      </c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43"/>
      <c r="CQ47" s="40" t="s">
        <v>284</v>
      </c>
      <c r="CR47" s="11">
        <v>336.44854</v>
      </c>
      <c r="CS47" s="11">
        <v>141.26857</v>
      </c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</row>
    <row r="48" ht="15.75" customHeight="1">
      <c r="A48" s="41"/>
      <c r="B48" s="11"/>
      <c r="C48" s="11"/>
      <c r="D48" s="11"/>
      <c r="E48" s="11"/>
      <c r="F48" s="11"/>
      <c r="G48" s="11"/>
      <c r="H48" s="11"/>
      <c r="I48" s="41"/>
      <c r="J48" s="11"/>
      <c r="K48" s="11"/>
      <c r="L48" s="11"/>
      <c r="M48" s="11"/>
      <c r="N48" s="11"/>
      <c r="O48" s="11"/>
      <c r="P48" s="11"/>
      <c r="Q48" s="41"/>
      <c r="R48" s="11"/>
      <c r="S48" s="11"/>
      <c r="T48" s="11"/>
      <c r="U48" s="11"/>
      <c r="V48" s="11"/>
      <c r="W48" s="11"/>
      <c r="X48" s="11"/>
      <c r="Y48" s="41">
        <v>38.0</v>
      </c>
      <c r="Z48" s="11" t="s">
        <v>262</v>
      </c>
      <c r="AA48" s="11">
        <v>0.0</v>
      </c>
      <c r="AB48" s="11">
        <v>0.0</v>
      </c>
      <c r="AC48" s="11">
        <v>0.0</v>
      </c>
      <c r="AD48" s="11">
        <v>31265.551</v>
      </c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 t="s">
        <v>292</v>
      </c>
      <c r="BL48" s="11">
        <v>143884.724</v>
      </c>
      <c r="BM48" s="11">
        <v>167497.824</v>
      </c>
      <c r="BN48" s="11">
        <v>163310.952</v>
      </c>
      <c r="BO48" s="11"/>
      <c r="BP48" s="11"/>
      <c r="BQ48" s="11" t="s">
        <v>292</v>
      </c>
      <c r="BR48" s="11">
        <v>13223.78838</v>
      </c>
      <c r="BS48" s="11">
        <v>11499.86122</v>
      </c>
      <c r="BT48" s="11">
        <v>18971.32932</v>
      </c>
      <c r="BU48" s="11">
        <v>28040.18527</v>
      </c>
      <c r="BV48" s="11"/>
      <c r="BW48" s="11"/>
      <c r="BX48" s="11" t="s">
        <v>283</v>
      </c>
      <c r="BY48" s="11">
        <v>21884.101</v>
      </c>
      <c r="BZ48" s="11">
        <v>22869.044</v>
      </c>
      <c r="CA48" s="11">
        <v>24625.769</v>
      </c>
      <c r="CB48" s="11">
        <v>27650.698</v>
      </c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43"/>
      <c r="CQ48" s="40" t="s">
        <v>315</v>
      </c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</row>
    <row r="49" ht="15.75" customHeight="1">
      <c r="A49" s="41"/>
      <c r="B49" s="11"/>
      <c r="C49" s="11"/>
      <c r="D49" s="11"/>
      <c r="E49" s="11"/>
      <c r="F49" s="11"/>
      <c r="G49" s="11"/>
      <c r="H49" s="11"/>
      <c r="I49" s="41"/>
      <c r="J49" s="11"/>
      <c r="K49" s="11"/>
      <c r="L49" s="11"/>
      <c r="M49" s="11"/>
      <c r="N49" s="11"/>
      <c r="O49" s="11"/>
      <c r="P49" s="11"/>
      <c r="Q49" s="41"/>
      <c r="R49" s="11"/>
      <c r="S49" s="11"/>
      <c r="T49" s="11"/>
      <c r="U49" s="11"/>
      <c r="V49" s="11"/>
      <c r="W49" s="11"/>
      <c r="X49" s="11"/>
      <c r="Y49" s="41">
        <v>39.0</v>
      </c>
      <c r="Z49" s="11" t="s">
        <v>264</v>
      </c>
      <c r="AA49" s="11">
        <v>62198.316</v>
      </c>
      <c r="AB49" s="11">
        <v>25264.363</v>
      </c>
      <c r="AC49" s="11">
        <v>45037.64</v>
      </c>
      <c r="AD49" s="11">
        <v>58357.649</v>
      </c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 t="s">
        <v>297</v>
      </c>
      <c r="BL49" s="11">
        <v>564045.602</v>
      </c>
      <c r="BM49" s="11">
        <v>602380.638</v>
      </c>
      <c r="BN49" s="11">
        <v>582264.432</v>
      </c>
      <c r="BO49" s="11"/>
      <c r="BP49" s="11"/>
      <c r="BQ49" s="11" t="s">
        <v>297</v>
      </c>
      <c r="BR49" s="11">
        <v>23471.11094</v>
      </c>
      <c r="BS49" s="11">
        <v>39742.55923</v>
      </c>
      <c r="BT49" s="11">
        <v>60710.00674</v>
      </c>
      <c r="BU49" s="11">
        <v>73093.48246</v>
      </c>
      <c r="BV49" s="11"/>
      <c r="BW49" s="11"/>
      <c r="BX49" s="11" t="s">
        <v>313</v>
      </c>
      <c r="BY49" s="11">
        <v>827460.032</v>
      </c>
      <c r="BZ49" s="11">
        <v>763600.524</v>
      </c>
      <c r="CA49" s="11">
        <v>641385.651</v>
      </c>
      <c r="CB49" s="11">
        <v>406960.009</v>
      </c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43"/>
      <c r="CQ49" s="40" t="s">
        <v>316</v>
      </c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</row>
    <row r="50" ht="15.75" customHeight="1">
      <c r="A50" s="41"/>
      <c r="B50" s="11"/>
      <c r="C50" s="11"/>
      <c r="D50" s="11"/>
      <c r="E50" s="11"/>
      <c r="F50" s="11"/>
      <c r="G50" s="11"/>
      <c r="H50" s="11"/>
      <c r="I50" s="41"/>
      <c r="J50" s="11"/>
      <c r="K50" s="11"/>
      <c r="L50" s="11"/>
      <c r="M50" s="11"/>
      <c r="N50" s="11"/>
      <c r="O50" s="11"/>
      <c r="P50" s="11"/>
      <c r="Q50" s="41"/>
      <c r="R50" s="11"/>
      <c r="S50" s="11"/>
      <c r="T50" s="11"/>
      <c r="U50" s="11"/>
      <c r="V50" s="11"/>
      <c r="W50" s="11"/>
      <c r="X50" s="11"/>
      <c r="Y50" s="4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 t="s">
        <v>286</v>
      </c>
      <c r="BY50" s="11">
        <v>-61184.992</v>
      </c>
      <c r="BZ50" s="11">
        <v>-58628.118</v>
      </c>
      <c r="CA50" s="11">
        <v>-23559.0997</v>
      </c>
      <c r="CB50" s="11">
        <v>16100.362</v>
      </c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43"/>
      <c r="CQ50" s="40" t="s">
        <v>307</v>
      </c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</row>
    <row r="51" ht="15.75" customHeight="1">
      <c r="A51" s="41" t="s">
        <v>267</v>
      </c>
      <c r="B51" s="11"/>
      <c r="C51" s="11"/>
      <c r="D51" s="11"/>
      <c r="E51" s="11"/>
      <c r="F51" s="11"/>
      <c r="G51" s="11"/>
      <c r="H51" s="11"/>
      <c r="I51" s="41" t="s">
        <v>267</v>
      </c>
      <c r="J51" s="11"/>
      <c r="K51" s="11"/>
      <c r="L51" s="11"/>
      <c r="M51" s="11"/>
      <c r="N51" s="11"/>
      <c r="O51" s="11"/>
      <c r="P51" s="11"/>
      <c r="Q51" s="41" t="s">
        <v>267</v>
      </c>
      <c r="R51" s="11"/>
      <c r="S51" s="11"/>
      <c r="T51" s="11"/>
      <c r="U51" s="11"/>
      <c r="V51" s="11"/>
      <c r="W51" s="11"/>
      <c r="X51" s="11"/>
      <c r="Y51" s="41" t="s">
        <v>267</v>
      </c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 t="s">
        <v>288</v>
      </c>
      <c r="BY51" s="11">
        <v>17644.689</v>
      </c>
      <c r="BZ51" s="11">
        <v>28887.971</v>
      </c>
      <c r="CA51" s="11">
        <v>56780.545</v>
      </c>
      <c r="CB51" s="11">
        <v>15202.981</v>
      </c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43"/>
      <c r="CQ51" s="40" t="s">
        <v>317</v>
      </c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</row>
    <row r="52" ht="15.75" customHeight="1">
      <c r="H52" s="11"/>
      <c r="I52" s="41">
        <v>39.0</v>
      </c>
      <c r="J52" s="11" t="s">
        <v>318</v>
      </c>
      <c r="K52" s="11">
        <v>2640.0</v>
      </c>
      <c r="L52" s="11">
        <v>38448.0</v>
      </c>
      <c r="M52" s="11">
        <v>31408.88</v>
      </c>
      <c r="N52" s="11">
        <v>126630.604</v>
      </c>
      <c r="O52" s="11">
        <v>201022.874</v>
      </c>
      <c r="P52" s="11"/>
      <c r="Q52" s="41">
        <v>39.0</v>
      </c>
      <c r="R52" s="11" t="s">
        <v>318</v>
      </c>
      <c r="S52" s="11">
        <v>338.0</v>
      </c>
      <c r="T52" s="11">
        <v>7277.919</v>
      </c>
      <c r="U52" s="11">
        <v>6342.868</v>
      </c>
      <c r="V52" s="11">
        <v>16625.629</v>
      </c>
      <c r="W52" s="11">
        <v>25894.625</v>
      </c>
      <c r="X52" s="11"/>
      <c r="Y52" s="41">
        <v>40.0</v>
      </c>
      <c r="Z52" s="11" t="s">
        <v>318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 t="s">
        <v>292</v>
      </c>
      <c r="BY52" s="11">
        <v>939855.2300000001</v>
      </c>
      <c r="BZ52" s="11">
        <v>890780.821</v>
      </c>
      <c r="CA52" s="11">
        <v>833284.2653</v>
      </c>
      <c r="CB52" s="11">
        <v>599965.4500000001</v>
      </c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43"/>
      <c r="CQ52" s="40" t="s">
        <v>293</v>
      </c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</row>
    <row r="53" ht="15.75" customHeight="1">
      <c r="H53" s="11"/>
      <c r="I53" s="41">
        <v>41.0</v>
      </c>
      <c r="J53" s="11" t="s">
        <v>289</v>
      </c>
      <c r="K53" s="11">
        <v>17064.0</v>
      </c>
      <c r="L53" s="11">
        <v>17731.0</v>
      </c>
      <c r="M53" s="11">
        <v>0.0</v>
      </c>
      <c r="N53" s="11">
        <v>0.0</v>
      </c>
      <c r="O53" s="11">
        <v>0.0</v>
      </c>
      <c r="P53" s="11"/>
      <c r="X53" s="11"/>
      <c r="Y53" s="41">
        <v>41.0</v>
      </c>
      <c r="Z53" s="11" t="s">
        <v>319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 t="s">
        <v>297</v>
      </c>
      <c r="BY53" s="11">
        <v>2413856.849</v>
      </c>
      <c r="BZ53" s="11">
        <v>2371694.01</v>
      </c>
      <c r="CA53" s="11">
        <v>2363311.047999999</v>
      </c>
      <c r="CB53" s="11">
        <v>2428203.115</v>
      </c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43"/>
      <c r="CQ53" s="40" t="s">
        <v>277</v>
      </c>
      <c r="CR53" s="11">
        <v>5.53007000000005</v>
      </c>
      <c r="CS53" s="11">
        <v>176.4925</v>
      </c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</row>
    <row r="54" ht="15.75" customHeight="1">
      <c r="H54" s="11"/>
      <c r="I54" s="41">
        <v>42.0</v>
      </c>
      <c r="J54" s="11" t="s">
        <v>314</v>
      </c>
      <c r="K54" s="11">
        <v>59943.0</v>
      </c>
      <c r="L54" s="11">
        <v>103822.0</v>
      </c>
      <c r="M54" s="11">
        <v>0.0</v>
      </c>
      <c r="N54" s="11">
        <v>0.0</v>
      </c>
      <c r="O54" s="11">
        <v>98928.078</v>
      </c>
      <c r="P54" s="11"/>
      <c r="Q54" s="41">
        <v>42.0</v>
      </c>
      <c r="R54" s="11" t="s">
        <v>314</v>
      </c>
      <c r="S54" s="11">
        <v>0.0</v>
      </c>
      <c r="T54" s="11">
        <v>0.0</v>
      </c>
      <c r="U54" s="11">
        <v>0.0</v>
      </c>
      <c r="V54" s="11">
        <v>0.0</v>
      </c>
      <c r="W54" s="11">
        <v>23052.958</v>
      </c>
      <c r="X54" s="11"/>
      <c r="Y54" s="41">
        <v>42.0</v>
      </c>
      <c r="Z54" s="11" t="s">
        <v>289</v>
      </c>
      <c r="AA54" s="11">
        <v>0.0</v>
      </c>
      <c r="AB54" s="11">
        <v>0.0</v>
      </c>
      <c r="AC54" s="11">
        <v>0.0</v>
      </c>
      <c r="AD54" s="11">
        <v>0.0</v>
      </c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43"/>
      <c r="CQ54" s="40" t="s">
        <v>281</v>
      </c>
      <c r="CR54" s="11">
        <v>0.0</v>
      </c>
      <c r="CS54" s="11">
        <v>146.67468</v>
      </c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</row>
    <row r="55" ht="15.75" customHeight="1">
      <c r="A55" s="41">
        <v>44.0</v>
      </c>
      <c r="B55" s="11" t="s">
        <v>284</v>
      </c>
      <c r="C55" s="11">
        <v>0.0</v>
      </c>
      <c r="D55" s="11">
        <v>0.0</v>
      </c>
      <c r="E55" s="11">
        <v>0.0</v>
      </c>
      <c r="F55" s="11">
        <v>0.0</v>
      </c>
      <c r="G55" s="11">
        <v>352.171</v>
      </c>
      <c r="H55" s="11"/>
      <c r="I55" s="41">
        <v>43.0</v>
      </c>
      <c r="J55" s="11" t="s">
        <v>284</v>
      </c>
      <c r="K55" s="11">
        <v>47505.0</v>
      </c>
      <c r="L55" s="11">
        <v>54537.0</v>
      </c>
      <c r="M55" s="11">
        <v>48400.023</v>
      </c>
      <c r="N55" s="11">
        <v>57465.915</v>
      </c>
      <c r="O55" s="11">
        <v>88200.035</v>
      </c>
      <c r="P55" s="11"/>
      <c r="Q55" s="41">
        <v>43.0</v>
      </c>
      <c r="R55" s="11" t="s">
        <v>284</v>
      </c>
      <c r="S55" s="11">
        <v>7409.0</v>
      </c>
      <c r="T55" s="11">
        <v>8841.711</v>
      </c>
      <c r="U55" s="11">
        <v>10580.451</v>
      </c>
      <c r="V55" s="11">
        <v>14254.249</v>
      </c>
      <c r="W55" s="11">
        <v>18722.91</v>
      </c>
      <c r="X55" s="11"/>
      <c r="Y55" s="41">
        <v>43.0</v>
      </c>
      <c r="Z55" s="11" t="s">
        <v>314</v>
      </c>
      <c r="AA55" s="11">
        <v>0.0</v>
      </c>
      <c r="AB55" s="11">
        <v>0.0</v>
      </c>
      <c r="AC55" s="11">
        <v>0.0</v>
      </c>
      <c r="AD55" s="11">
        <v>0.0</v>
      </c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>
        <v>0.0</v>
      </c>
      <c r="BZ55" s="11">
        <v>0.0</v>
      </c>
      <c r="CA55" s="11">
        <v>0.0</v>
      </c>
      <c r="CB55" s="11">
        <v>0.0</v>
      </c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43"/>
      <c r="CQ55" s="40" t="s">
        <v>320</v>
      </c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</row>
    <row r="56" ht="15.75" customHeight="1">
      <c r="A56" s="41">
        <v>47.0</v>
      </c>
      <c r="B56" s="11" t="s">
        <v>307</v>
      </c>
      <c r="C56" s="11">
        <v>40675.406</v>
      </c>
      <c r="D56" s="11">
        <v>29714.975</v>
      </c>
      <c r="E56" s="11">
        <v>33648.575</v>
      </c>
      <c r="F56" s="11">
        <v>21083.726</v>
      </c>
      <c r="G56" s="11">
        <v>0.0</v>
      </c>
      <c r="H56" s="11"/>
      <c r="I56" s="41">
        <v>46.0</v>
      </c>
      <c r="J56" s="11" t="s">
        <v>307</v>
      </c>
      <c r="K56" s="11">
        <v>17283.0</v>
      </c>
      <c r="L56" s="11">
        <v>27993.0</v>
      </c>
      <c r="M56" s="11">
        <v>35284.999</v>
      </c>
      <c r="N56" s="11">
        <v>27734.63</v>
      </c>
      <c r="O56" s="11">
        <v>30522.469</v>
      </c>
      <c r="P56" s="11"/>
      <c r="Q56" s="41">
        <v>46.0</v>
      </c>
      <c r="R56" s="11" t="s">
        <v>307</v>
      </c>
      <c r="S56" s="11">
        <v>0.0</v>
      </c>
      <c r="T56" s="11">
        <v>1885.574</v>
      </c>
      <c r="U56" s="11">
        <v>1350.257</v>
      </c>
      <c r="V56" s="11">
        <v>1506.6</v>
      </c>
      <c r="W56" s="11">
        <v>2543.829000000001</v>
      </c>
      <c r="X56" s="11"/>
      <c r="Y56" s="41">
        <v>44.0</v>
      </c>
      <c r="Z56" s="11" t="s">
        <v>284</v>
      </c>
      <c r="AA56" s="11">
        <v>0.0</v>
      </c>
      <c r="AB56" s="11">
        <v>0.0</v>
      </c>
      <c r="AC56" s="11">
        <v>0.0</v>
      </c>
      <c r="AD56" s="11">
        <v>2448.012</v>
      </c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43"/>
      <c r="CQ56" s="40" t="s">
        <v>321</v>
      </c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</row>
    <row r="57" ht="15.75" customHeight="1">
      <c r="A57" s="41">
        <v>49.0</v>
      </c>
      <c r="B57" s="11" t="s">
        <v>293</v>
      </c>
      <c r="C57" s="11">
        <v>0.0</v>
      </c>
      <c r="D57" s="11">
        <v>167.652</v>
      </c>
      <c r="E57" s="11">
        <v>0.0</v>
      </c>
      <c r="F57" s="11">
        <v>0.0</v>
      </c>
      <c r="G57" s="11">
        <v>29828.915</v>
      </c>
      <c r="H57" s="11"/>
      <c r="I57" s="41">
        <v>49.0</v>
      </c>
      <c r="J57" s="11" t="s">
        <v>277</v>
      </c>
      <c r="K57" s="11">
        <v>5775.0</v>
      </c>
      <c r="L57" s="11">
        <v>1008.0</v>
      </c>
      <c r="M57" s="11">
        <v>6424.899</v>
      </c>
      <c r="N57" s="11">
        <v>3068.276</v>
      </c>
      <c r="O57" s="11">
        <v>0.0</v>
      </c>
      <c r="P57" s="11"/>
      <c r="Q57" s="41">
        <v>49.0</v>
      </c>
      <c r="R57" s="11" t="s">
        <v>277</v>
      </c>
      <c r="S57" s="11">
        <v>1033.0</v>
      </c>
      <c r="T57" s="11">
        <v>428.733</v>
      </c>
      <c r="U57" s="11">
        <v>1763.227</v>
      </c>
      <c r="V57" s="11">
        <v>1185.71</v>
      </c>
      <c r="W57" s="11">
        <v>459.902</v>
      </c>
      <c r="X57" s="11"/>
      <c r="Y57" s="41">
        <v>45.0</v>
      </c>
      <c r="Z57" s="11" t="s">
        <v>315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43"/>
      <c r="CQ57" s="40" t="s">
        <v>267</v>
      </c>
      <c r="CR57" s="11">
        <v>341.97861</v>
      </c>
      <c r="CS57" s="11">
        <v>464.43575</v>
      </c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</row>
    <row r="58" ht="15.75" customHeight="1">
      <c r="A58" s="41">
        <v>51.0</v>
      </c>
      <c r="B58" s="11" t="s">
        <v>281</v>
      </c>
      <c r="C58" s="11">
        <v>117.53</v>
      </c>
      <c r="D58" s="11">
        <v>426.734</v>
      </c>
      <c r="E58" s="11">
        <v>4423.784</v>
      </c>
      <c r="F58" s="11">
        <v>9448.722</v>
      </c>
      <c r="G58" s="11">
        <v>11321.268</v>
      </c>
      <c r="H58" s="11"/>
      <c r="I58" s="41">
        <v>50.0</v>
      </c>
      <c r="J58" s="11" t="s">
        <v>281</v>
      </c>
      <c r="K58" s="11">
        <v>12205.0</v>
      </c>
      <c r="L58" s="11">
        <v>24916.0</v>
      </c>
      <c r="M58" s="11">
        <v>113276.368</v>
      </c>
      <c r="N58" s="11">
        <v>62471.406</v>
      </c>
      <c r="O58" s="11">
        <v>24002.99</v>
      </c>
      <c r="P58" s="11"/>
      <c r="Q58" s="41">
        <v>50.0</v>
      </c>
      <c r="R58" s="11" t="s">
        <v>281</v>
      </c>
      <c r="S58" s="11">
        <v>24226.0</v>
      </c>
      <c r="T58" s="11">
        <v>24159.699</v>
      </c>
      <c r="U58" s="11">
        <v>33562.051</v>
      </c>
      <c r="V58" s="11">
        <v>28355.10800000001</v>
      </c>
      <c r="W58" s="11">
        <v>15362.339</v>
      </c>
      <c r="X58" s="11"/>
      <c r="Y58" s="41">
        <v>46.0</v>
      </c>
      <c r="Z58" s="11" t="s">
        <v>316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43"/>
      <c r="CQ58" s="40" t="s">
        <v>294</v>
      </c>
      <c r="CR58" s="11"/>
      <c r="CS58" s="11">
        <v>1761.42825</v>
      </c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</row>
    <row r="59" ht="15.75" customHeight="1">
      <c r="A59" s="41">
        <v>54.0</v>
      </c>
      <c r="B59" s="11" t="s">
        <v>296</v>
      </c>
      <c r="C59" s="11">
        <v>40792.936</v>
      </c>
      <c r="D59" s="11">
        <v>30309.361</v>
      </c>
      <c r="E59" s="11">
        <v>38072.359</v>
      </c>
      <c r="F59" s="11">
        <v>30532.448</v>
      </c>
      <c r="G59" s="11">
        <v>41502.354</v>
      </c>
      <c r="H59" s="11"/>
      <c r="I59" s="41">
        <v>53.0</v>
      </c>
      <c r="J59" s="11" t="s">
        <v>296</v>
      </c>
      <c r="K59" s="11">
        <v>162415.0</v>
      </c>
      <c r="L59" s="11">
        <v>268455.0</v>
      </c>
      <c r="M59" s="11">
        <v>234795.169</v>
      </c>
      <c r="N59" s="11">
        <v>277370.831</v>
      </c>
      <c r="O59" s="11">
        <v>442676.4459999999</v>
      </c>
      <c r="P59" s="11"/>
      <c r="Q59" s="41">
        <v>53.0</v>
      </c>
      <c r="R59" s="11" t="s">
        <v>296</v>
      </c>
      <c r="S59" s="11">
        <v>35006.0</v>
      </c>
      <c r="T59" s="11">
        <v>42593.636</v>
      </c>
      <c r="U59" s="11">
        <v>53598.854</v>
      </c>
      <c r="V59" s="11">
        <v>61927.29600000002</v>
      </c>
      <c r="W59" s="11">
        <v>86036.563</v>
      </c>
      <c r="X59" s="11"/>
      <c r="Y59" s="41">
        <v>47.0</v>
      </c>
      <c r="Z59" s="11" t="s">
        <v>307</v>
      </c>
      <c r="AA59" s="11">
        <v>38811.518</v>
      </c>
      <c r="AB59" s="11">
        <v>3411.621</v>
      </c>
      <c r="AC59" s="11">
        <v>22482.224</v>
      </c>
      <c r="AD59" s="11">
        <v>1198.654</v>
      </c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43"/>
      <c r="CQ59" s="40" t="s">
        <v>322</v>
      </c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</row>
    <row r="60" ht="15.75" customHeight="1">
      <c r="A60" s="41"/>
      <c r="B60" s="11"/>
      <c r="C60" s="11"/>
      <c r="D60" s="11"/>
      <c r="E60" s="11"/>
      <c r="F60" s="11"/>
      <c r="G60" s="11"/>
      <c r="H60" s="11"/>
      <c r="I60" s="41"/>
      <c r="J60" s="11"/>
      <c r="K60" s="11"/>
      <c r="L60" s="11"/>
      <c r="M60" s="11"/>
      <c r="N60" s="11"/>
      <c r="O60" s="11"/>
      <c r="P60" s="11"/>
      <c r="Q60" s="41"/>
      <c r="R60" s="11"/>
      <c r="S60" s="11"/>
      <c r="T60" s="11"/>
      <c r="U60" s="11"/>
      <c r="V60" s="11"/>
      <c r="W60" s="11"/>
      <c r="X60" s="11"/>
      <c r="Y60" s="41">
        <v>48.0</v>
      </c>
      <c r="Z60" s="11" t="s">
        <v>317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43"/>
      <c r="CQ60" s="40" t="s">
        <v>300</v>
      </c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</row>
    <row r="61" ht="15.75" customHeight="1">
      <c r="A61" s="41"/>
      <c r="B61" s="11"/>
      <c r="C61" s="11"/>
      <c r="D61" s="11"/>
      <c r="E61" s="11"/>
      <c r="F61" s="11"/>
      <c r="G61" s="11"/>
      <c r="H61" s="11"/>
      <c r="I61" s="41"/>
      <c r="J61" s="11"/>
      <c r="K61" s="11"/>
      <c r="L61" s="11"/>
      <c r="M61" s="11"/>
      <c r="N61" s="11"/>
      <c r="O61" s="11"/>
      <c r="P61" s="11"/>
      <c r="Q61" s="41"/>
      <c r="R61" s="11"/>
      <c r="S61" s="11"/>
      <c r="T61" s="11"/>
      <c r="U61" s="11"/>
      <c r="V61" s="11"/>
      <c r="W61" s="11"/>
      <c r="X61" s="11"/>
      <c r="Y61" s="41">
        <v>49.0</v>
      </c>
      <c r="Z61" s="11" t="s">
        <v>293</v>
      </c>
      <c r="AA61" s="11">
        <v>1385.148</v>
      </c>
      <c r="AB61" s="11">
        <v>2086.333</v>
      </c>
      <c r="AC61" s="11">
        <v>1685.257</v>
      </c>
      <c r="AD61" s="11">
        <v>13982.314</v>
      </c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43"/>
      <c r="CQ61" s="40" t="s">
        <v>268</v>
      </c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</row>
    <row r="62" ht="15.75" customHeight="1">
      <c r="A62" s="41"/>
      <c r="B62" s="11"/>
      <c r="C62" s="11"/>
      <c r="D62" s="11"/>
      <c r="E62" s="11"/>
      <c r="F62" s="11"/>
      <c r="G62" s="11"/>
      <c r="H62" s="11"/>
      <c r="I62" s="41"/>
      <c r="J62" s="11"/>
      <c r="K62" s="11"/>
      <c r="L62" s="11"/>
      <c r="M62" s="11"/>
      <c r="N62" s="11"/>
      <c r="O62" s="11"/>
      <c r="P62" s="11"/>
      <c r="Q62" s="41"/>
      <c r="R62" s="11"/>
      <c r="S62" s="11"/>
      <c r="T62" s="11"/>
      <c r="U62" s="11"/>
      <c r="V62" s="11"/>
      <c r="W62" s="11"/>
      <c r="X62" s="11"/>
      <c r="Y62" s="41">
        <v>50.0</v>
      </c>
      <c r="Z62" s="11" t="s">
        <v>277</v>
      </c>
      <c r="AA62" s="11">
        <v>0.0</v>
      </c>
      <c r="AB62" s="11">
        <v>0.0</v>
      </c>
      <c r="AC62" s="11">
        <v>0.0</v>
      </c>
      <c r="AD62" s="11">
        <v>0.0</v>
      </c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43"/>
      <c r="CQ62" s="40" t="s">
        <v>323</v>
      </c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</row>
    <row r="63" ht="15.75" customHeight="1">
      <c r="A63" s="41"/>
      <c r="B63" s="11"/>
      <c r="C63" s="11"/>
      <c r="D63" s="11"/>
      <c r="E63" s="11"/>
      <c r="F63" s="11"/>
      <c r="G63" s="11"/>
      <c r="H63" s="11"/>
      <c r="I63" s="41"/>
      <c r="J63" s="11"/>
      <c r="K63" s="11"/>
      <c r="L63" s="11"/>
      <c r="M63" s="11"/>
      <c r="N63" s="11"/>
      <c r="O63" s="11"/>
      <c r="P63" s="11"/>
      <c r="Q63" s="41"/>
      <c r="R63" s="11"/>
      <c r="S63" s="11"/>
      <c r="T63" s="11"/>
      <c r="U63" s="11"/>
      <c r="V63" s="11"/>
      <c r="W63" s="11"/>
      <c r="X63" s="11"/>
      <c r="Y63" s="41">
        <v>51.0</v>
      </c>
      <c r="Z63" s="11" t="s">
        <v>281</v>
      </c>
      <c r="AA63" s="11">
        <v>376.263</v>
      </c>
      <c r="AB63" s="11">
        <v>594.344</v>
      </c>
      <c r="AC63" s="11">
        <v>1120.129</v>
      </c>
      <c r="AD63" s="11">
        <v>4314.751</v>
      </c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43"/>
      <c r="CQ63" s="40" t="s">
        <v>324</v>
      </c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</row>
    <row r="64" ht="15.75" customHeight="1">
      <c r="A64" s="41"/>
      <c r="B64" s="11"/>
      <c r="C64" s="11"/>
      <c r="D64" s="11"/>
      <c r="E64" s="11"/>
      <c r="F64" s="11"/>
      <c r="G64" s="11"/>
      <c r="H64" s="11"/>
      <c r="I64" s="41"/>
      <c r="J64" s="11"/>
      <c r="K64" s="11"/>
      <c r="L64" s="11"/>
      <c r="M64" s="11"/>
      <c r="N64" s="11"/>
      <c r="O64" s="11"/>
      <c r="P64" s="11"/>
      <c r="Q64" s="41"/>
      <c r="R64" s="11"/>
      <c r="S64" s="11"/>
      <c r="T64" s="11"/>
      <c r="U64" s="11"/>
      <c r="V64" s="11"/>
      <c r="W64" s="11"/>
      <c r="X64" s="11"/>
      <c r="Y64" s="41">
        <v>52.0</v>
      </c>
      <c r="Z64" s="11" t="s">
        <v>320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43"/>
      <c r="CQ64" s="40" t="s">
        <v>325</v>
      </c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</row>
    <row r="65" ht="15.75" customHeight="1">
      <c r="A65" s="41"/>
      <c r="B65" s="11"/>
      <c r="C65" s="11"/>
      <c r="D65" s="11"/>
      <c r="E65" s="11"/>
      <c r="F65" s="11"/>
      <c r="G65" s="11"/>
      <c r="H65" s="11"/>
      <c r="I65" s="41"/>
      <c r="J65" s="11"/>
      <c r="K65" s="11"/>
      <c r="L65" s="11"/>
      <c r="M65" s="11"/>
      <c r="N65" s="11"/>
      <c r="O65" s="11"/>
      <c r="P65" s="11"/>
      <c r="Q65" s="41"/>
      <c r="R65" s="11"/>
      <c r="S65" s="11"/>
      <c r="T65" s="11"/>
      <c r="U65" s="11"/>
      <c r="V65" s="11"/>
      <c r="W65" s="11"/>
      <c r="X65" s="11"/>
      <c r="Y65" s="41">
        <v>53.0</v>
      </c>
      <c r="Z65" s="11" t="s">
        <v>321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43"/>
      <c r="CQ65" s="40" t="s">
        <v>271</v>
      </c>
      <c r="CR65" s="11">
        <v>0.0</v>
      </c>
      <c r="CS65" s="11">
        <v>1761.42825</v>
      </c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</row>
    <row r="66" ht="15.75" customHeight="1">
      <c r="A66" s="41"/>
      <c r="B66" s="11"/>
      <c r="C66" s="11"/>
      <c r="D66" s="11"/>
      <c r="E66" s="11"/>
      <c r="F66" s="11"/>
      <c r="G66" s="11"/>
      <c r="H66" s="11"/>
      <c r="I66" s="41"/>
      <c r="J66" s="11"/>
      <c r="K66" s="11"/>
      <c r="L66" s="11"/>
      <c r="M66" s="11"/>
      <c r="N66" s="11"/>
      <c r="O66" s="11"/>
      <c r="P66" s="11"/>
      <c r="Q66" s="41"/>
      <c r="R66" s="11"/>
      <c r="S66" s="11"/>
      <c r="T66" s="11"/>
      <c r="U66" s="11"/>
      <c r="V66" s="11"/>
      <c r="W66" s="11"/>
      <c r="X66" s="11"/>
      <c r="Y66" s="41">
        <v>54.0</v>
      </c>
      <c r="Z66" s="11" t="s">
        <v>296</v>
      </c>
      <c r="AA66" s="11">
        <v>40572.929</v>
      </c>
      <c r="AB66" s="11">
        <v>6092.298</v>
      </c>
      <c r="AC66" s="11">
        <v>25287.61</v>
      </c>
      <c r="AD66" s="11">
        <v>21943.731</v>
      </c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43"/>
      <c r="CQ66" s="40" t="s">
        <v>273</v>
      </c>
      <c r="CR66" s="11">
        <v>341.97861</v>
      </c>
      <c r="CS66" s="11">
        <v>2225.864</v>
      </c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</row>
    <row r="67" ht="15.75" customHeight="1">
      <c r="A67" s="41" t="s">
        <v>271</v>
      </c>
      <c r="B67" s="11"/>
      <c r="C67" s="11"/>
      <c r="D67" s="11"/>
      <c r="E67" s="11"/>
      <c r="F67" s="11"/>
      <c r="G67" s="11"/>
      <c r="H67" s="11"/>
      <c r="I67" s="41" t="s">
        <v>271</v>
      </c>
      <c r="J67" s="11"/>
      <c r="K67" s="11"/>
      <c r="L67" s="11"/>
      <c r="M67" s="11"/>
      <c r="N67" s="11"/>
      <c r="O67" s="11"/>
      <c r="P67" s="11"/>
      <c r="Q67" s="41" t="s">
        <v>271</v>
      </c>
      <c r="R67" s="11"/>
      <c r="S67" s="11"/>
      <c r="T67" s="11"/>
      <c r="U67" s="11"/>
      <c r="V67" s="11"/>
      <c r="W67" s="11"/>
      <c r="X67" s="11"/>
      <c r="Y67" s="41" t="s">
        <v>271</v>
      </c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43"/>
      <c r="CQ67" s="40" t="s">
        <v>276</v>
      </c>
      <c r="CR67" s="11">
        <v>5.0</v>
      </c>
      <c r="CS67" s="11">
        <v>5.0</v>
      </c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</row>
    <row r="68" ht="15.75" customHeight="1">
      <c r="A68" s="41">
        <v>57.0</v>
      </c>
      <c r="B68" s="11" t="s">
        <v>268</v>
      </c>
      <c r="C68" s="11">
        <v>0.0</v>
      </c>
      <c r="D68" s="11">
        <v>0.0</v>
      </c>
      <c r="E68" s="11">
        <v>3227.955</v>
      </c>
      <c r="F68" s="11">
        <v>3844.663</v>
      </c>
      <c r="G68" s="11">
        <v>0.0</v>
      </c>
      <c r="H68" s="11"/>
      <c r="I68" s="41">
        <v>54.0</v>
      </c>
      <c r="J68" s="11" t="s">
        <v>294</v>
      </c>
      <c r="K68" s="11">
        <v>302099.0</v>
      </c>
      <c r="L68" s="11">
        <v>254174.0</v>
      </c>
      <c r="M68" s="11">
        <v>241821.898</v>
      </c>
      <c r="N68" s="11">
        <v>273945.7</v>
      </c>
      <c r="O68" s="11">
        <v>274261.801</v>
      </c>
      <c r="P68" s="11"/>
      <c r="Q68" s="41">
        <v>54.0</v>
      </c>
      <c r="R68" s="11" t="s">
        <v>294</v>
      </c>
      <c r="S68" s="11">
        <v>38890.0</v>
      </c>
      <c r="T68" s="11">
        <v>32930.86</v>
      </c>
      <c r="U68" s="11">
        <v>28453.76</v>
      </c>
      <c r="V68" s="11">
        <v>34553.019</v>
      </c>
      <c r="W68" s="11">
        <v>35000.0</v>
      </c>
      <c r="X68" s="11"/>
      <c r="Y68" s="41">
        <v>55.0</v>
      </c>
      <c r="Z68" s="11" t="s">
        <v>294</v>
      </c>
      <c r="AA68" s="11">
        <v>0.0</v>
      </c>
      <c r="AB68" s="11">
        <v>0.0</v>
      </c>
      <c r="AC68" s="11">
        <v>0.0</v>
      </c>
      <c r="AD68" s="11">
        <v>0.0</v>
      </c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43"/>
      <c r="CQ68" s="40" t="s">
        <v>280</v>
      </c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</row>
    <row r="69" ht="15.75" customHeight="1">
      <c r="A69" s="41">
        <v>58.0</v>
      </c>
      <c r="B69" s="11" t="s">
        <v>300</v>
      </c>
      <c r="C69" s="11">
        <v>10181.019</v>
      </c>
      <c r="D69" s="11">
        <v>16090.981</v>
      </c>
      <c r="E69" s="11">
        <v>6822.458</v>
      </c>
      <c r="F69" s="11">
        <v>18468.018</v>
      </c>
      <c r="G69" s="11">
        <v>21738.022</v>
      </c>
      <c r="H69" s="11"/>
      <c r="I69" s="41">
        <v>55.0</v>
      </c>
      <c r="J69" s="11" t="s">
        <v>322</v>
      </c>
      <c r="K69" s="11">
        <v>0.0</v>
      </c>
      <c r="L69" s="11">
        <v>0.0</v>
      </c>
      <c r="M69" s="11">
        <v>8929.365</v>
      </c>
      <c r="N69" s="11">
        <v>17493.707</v>
      </c>
      <c r="O69" s="11">
        <v>0.0</v>
      </c>
      <c r="P69" s="11"/>
      <c r="Q69" s="41">
        <v>55.0</v>
      </c>
      <c r="R69" s="11" t="s">
        <v>322</v>
      </c>
      <c r="S69" s="11">
        <v>0.0</v>
      </c>
      <c r="T69" s="11">
        <v>7242.997</v>
      </c>
      <c r="U69" s="11">
        <v>1151.796</v>
      </c>
      <c r="V69" s="11">
        <v>2794.944</v>
      </c>
      <c r="W69" s="11">
        <v>2096.878</v>
      </c>
      <c r="X69" s="11"/>
      <c r="Y69" s="41">
        <v>56.0</v>
      </c>
      <c r="Z69" s="11" t="s">
        <v>322</v>
      </c>
      <c r="AA69" s="11">
        <v>0.0</v>
      </c>
      <c r="AB69" s="11">
        <v>0.0</v>
      </c>
      <c r="AC69" s="11">
        <v>0.0</v>
      </c>
      <c r="AD69" s="11">
        <v>0.0</v>
      </c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43"/>
      <c r="CQ69" s="40" t="s">
        <v>283</v>
      </c>
      <c r="CR69" s="11">
        <v>0.0</v>
      </c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</row>
    <row r="70" ht="15.75" customHeight="1">
      <c r="A70" s="41">
        <v>61.0</v>
      </c>
      <c r="B70" s="11" t="s">
        <v>326</v>
      </c>
      <c r="C70" s="11">
        <v>0.0</v>
      </c>
      <c r="D70" s="11">
        <v>40.0</v>
      </c>
      <c r="E70" s="11">
        <v>0.0</v>
      </c>
      <c r="F70" s="11">
        <v>0.0</v>
      </c>
      <c r="G70" s="11">
        <v>0.0</v>
      </c>
      <c r="H70" s="11"/>
      <c r="I70" s="41">
        <v>56.0</v>
      </c>
      <c r="J70" s="11" t="s">
        <v>268</v>
      </c>
      <c r="K70" s="11">
        <v>2698.0</v>
      </c>
      <c r="L70" s="11">
        <v>2006.0</v>
      </c>
      <c r="M70" s="11">
        <v>17662.693</v>
      </c>
      <c r="N70" s="11">
        <v>18017.129</v>
      </c>
      <c r="O70" s="11">
        <v>5366.486</v>
      </c>
      <c r="P70" s="11"/>
      <c r="Q70" s="41">
        <v>56.0</v>
      </c>
      <c r="R70" s="11" t="s">
        <v>268</v>
      </c>
      <c r="S70" s="11">
        <v>0.0</v>
      </c>
      <c r="T70" s="11">
        <v>4467.323</v>
      </c>
      <c r="U70" s="11">
        <v>5211.23</v>
      </c>
      <c r="V70" s="11">
        <v>5461.158</v>
      </c>
      <c r="W70" s="11">
        <v>5502.549</v>
      </c>
      <c r="X70" s="11"/>
      <c r="Y70" s="41">
        <v>57.0</v>
      </c>
      <c r="Z70" s="11" t="s">
        <v>268</v>
      </c>
      <c r="AA70" s="11">
        <v>77.481</v>
      </c>
      <c r="AB70" s="11">
        <v>331.962</v>
      </c>
      <c r="AC70" s="11">
        <v>198.82</v>
      </c>
      <c r="AD70" s="11">
        <v>167.502</v>
      </c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43"/>
      <c r="CQ70" s="40" t="s">
        <v>327</v>
      </c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</row>
    <row r="71" ht="15.75" customHeight="1">
      <c r="A71" s="41">
        <v>62.0</v>
      </c>
      <c r="B71" s="11" t="s">
        <v>306</v>
      </c>
      <c r="C71" s="11">
        <v>10181.019</v>
      </c>
      <c r="D71" s="11">
        <v>16130.981</v>
      </c>
      <c r="E71" s="11">
        <v>10050.413</v>
      </c>
      <c r="F71" s="11">
        <v>22312.681</v>
      </c>
      <c r="G71" s="11">
        <v>21738.022</v>
      </c>
      <c r="H71" s="11"/>
      <c r="I71" s="41">
        <v>57.0</v>
      </c>
      <c r="J71" s="11" t="s">
        <v>300</v>
      </c>
      <c r="K71" s="11">
        <v>6166.0</v>
      </c>
      <c r="L71" s="11">
        <v>992.0</v>
      </c>
      <c r="M71" s="11">
        <v>1006.26</v>
      </c>
      <c r="N71" s="11">
        <v>23346.268</v>
      </c>
      <c r="O71" s="11">
        <v>35461.92</v>
      </c>
      <c r="P71" s="11"/>
      <c r="Q71" s="41">
        <v>57.0</v>
      </c>
      <c r="R71" s="11" t="s">
        <v>300</v>
      </c>
      <c r="S71" s="11">
        <v>7047.0</v>
      </c>
      <c r="T71" s="11">
        <v>961.825</v>
      </c>
      <c r="U71" s="11">
        <v>2942.064</v>
      </c>
      <c r="V71" s="11">
        <v>724.746</v>
      </c>
      <c r="W71" s="11">
        <v>952.399</v>
      </c>
      <c r="X71" s="11"/>
      <c r="Y71" s="41">
        <v>58.0</v>
      </c>
      <c r="Z71" s="11" t="s">
        <v>300</v>
      </c>
      <c r="AA71" s="11">
        <v>0.0</v>
      </c>
      <c r="AB71" s="11">
        <v>0.0</v>
      </c>
      <c r="AC71" s="11">
        <v>0.0</v>
      </c>
      <c r="AD71" s="11">
        <v>15583.591</v>
      </c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43"/>
      <c r="CQ71" s="40" t="s">
        <v>328</v>
      </c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</row>
    <row r="72" ht="15.75" customHeight="1">
      <c r="A72" s="41">
        <v>63.0</v>
      </c>
      <c r="B72" s="11" t="s">
        <v>273</v>
      </c>
      <c r="C72" s="11">
        <v>50973.955</v>
      </c>
      <c r="D72" s="11">
        <v>46440.342</v>
      </c>
      <c r="E72" s="11">
        <v>48122.772</v>
      </c>
      <c r="F72" s="11">
        <v>52845.129</v>
      </c>
      <c r="G72" s="11">
        <v>63240.376</v>
      </c>
      <c r="H72" s="11"/>
      <c r="I72" s="41">
        <v>58.0</v>
      </c>
      <c r="J72" s="11" t="s">
        <v>329</v>
      </c>
      <c r="K72" s="11">
        <v>0.0</v>
      </c>
      <c r="L72" s="11">
        <v>0.0</v>
      </c>
      <c r="M72" s="11">
        <v>82034.735</v>
      </c>
      <c r="N72" s="11">
        <v>78759.92</v>
      </c>
      <c r="O72" s="11">
        <v>0.0</v>
      </c>
      <c r="P72" s="11"/>
      <c r="Q72" s="41">
        <v>60.0</v>
      </c>
      <c r="R72" s="11" t="s">
        <v>329</v>
      </c>
      <c r="S72" s="11">
        <v>0.0</v>
      </c>
      <c r="T72" s="11">
        <v>13340.809</v>
      </c>
      <c r="U72" s="11">
        <v>10988.769</v>
      </c>
      <c r="V72" s="11">
        <v>10370.768</v>
      </c>
      <c r="W72" s="11">
        <v>11777.515</v>
      </c>
      <c r="X72" s="11"/>
      <c r="Y72" s="41">
        <v>59.0</v>
      </c>
      <c r="Z72" s="11" t="s">
        <v>329</v>
      </c>
      <c r="AA72" s="11">
        <v>0.0</v>
      </c>
      <c r="AB72" s="11">
        <v>0.0</v>
      </c>
      <c r="AC72" s="11">
        <v>0.0</v>
      </c>
      <c r="AD72" s="11">
        <v>0.0</v>
      </c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43"/>
      <c r="CQ72" s="40" t="s">
        <v>286</v>
      </c>
      <c r="CR72" s="11">
        <v>0.0</v>
      </c>
      <c r="CS72" s="11">
        <v>82.55144</v>
      </c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</row>
    <row r="73" ht="15.75" customHeight="1">
      <c r="A73" s="41"/>
      <c r="B73" s="11"/>
      <c r="C73" s="11"/>
      <c r="D73" s="11"/>
      <c r="E73" s="11"/>
      <c r="F73" s="11"/>
      <c r="G73" s="11"/>
      <c r="H73" s="11"/>
      <c r="I73" s="41">
        <v>61.0</v>
      </c>
      <c r="J73" s="11" t="s">
        <v>306</v>
      </c>
      <c r="K73" s="11">
        <v>310963.0</v>
      </c>
      <c r="L73" s="11">
        <v>257172.0</v>
      </c>
      <c r="M73" s="11">
        <v>351454.951</v>
      </c>
      <c r="N73" s="11">
        <v>411562.724</v>
      </c>
      <c r="O73" s="11">
        <v>315090.2069999999</v>
      </c>
      <c r="P73" s="11"/>
      <c r="Q73" s="41">
        <v>62.0</v>
      </c>
      <c r="R73" s="11" t="s">
        <v>306</v>
      </c>
      <c r="S73" s="11">
        <v>45937.0</v>
      </c>
      <c r="T73" s="11">
        <v>58943.81400000001</v>
      </c>
      <c r="U73" s="11">
        <v>48747.61899999999</v>
      </c>
      <c r="V73" s="11">
        <v>53904.63500000001</v>
      </c>
      <c r="W73" s="11">
        <v>55329.34099999999</v>
      </c>
      <c r="X73" s="11"/>
      <c r="Y73" s="41">
        <v>60.0</v>
      </c>
      <c r="Z73" s="11" t="s">
        <v>304</v>
      </c>
      <c r="AA73" s="11">
        <v>0.0</v>
      </c>
      <c r="AB73" s="11">
        <v>0.0</v>
      </c>
      <c r="AC73" s="11">
        <v>0.0</v>
      </c>
      <c r="AD73" s="11">
        <v>0.0</v>
      </c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43"/>
      <c r="CQ73" s="40" t="s">
        <v>288</v>
      </c>
      <c r="CR73" s="11">
        <v>64.02187</v>
      </c>
      <c r="CS73" s="11">
        <v>269.01435</v>
      </c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</row>
    <row r="74" ht="15.75" customHeight="1">
      <c r="A74" s="41"/>
      <c r="B74" s="11"/>
      <c r="C74" s="11"/>
      <c r="D74" s="11"/>
      <c r="E74" s="11"/>
      <c r="F74" s="11"/>
      <c r="G74" s="11"/>
      <c r="H74" s="11"/>
      <c r="I74" s="41">
        <v>62.0</v>
      </c>
      <c r="J74" s="11" t="s">
        <v>273</v>
      </c>
      <c r="K74" s="11">
        <v>473378.0</v>
      </c>
      <c r="L74" s="11">
        <v>525627.0</v>
      </c>
      <c r="M74" s="11">
        <v>586250.12</v>
      </c>
      <c r="N74" s="11">
        <v>688933.5549999999</v>
      </c>
      <c r="O74" s="11">
        <v>757766.6529999999</v>
      </c>
      <c r="P74" s="11"/>
      <c r="Q74" s="41">
        <v>63.0</v>
      </c>
      <c r="R74" s="11" t="s">
        <v>273</v>
      </c>
      <c r="S74" s="11">
        <v>80943.0</v>
      </c>
      <c r="T74" s="11">
        <v>101537.45</v>
      </c>
      <c r="U74" s="11">
        <v>102346.473</v>
      </c>
      <c r="V74" s="11">
        <v>115831.931</v>
      </c>
      <c r="W74" s="11">
        <v>141365.904</v>
      </c>
      <c r="X74" s="11"/>
      <c r="Y74" s="41">
        <v>61.0</v>
      </c>
      <c r="Z74" s="11" t="s">
        <v>325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43"/>
      <c r="CQ74" s="40" t="s">
        <v>330</v>
      </c>
      <c r="CR74" s="11">
        <v>0.0</v>
      </c>
      <c r="CS74" s="11">
        <v>0.0</v>
      </c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</row>
    <row r="75" ht="15.75" customHeight="1">
      <c r="A75" s="41"/>
      <c r="B75" s="11"/>
      <c r="C75" s="11"/>
      <c r="D75" s="11"/>
      <c r="E75" s="11"/>
      <c r="F75" s="11"/>
      <c r="G75" s="11"/>
      <c r="H75" s="11"/>
      <c r="I75" s="41"/>
      <c r="J75" s="11"/>
      <c r="K75" s="11"/>
      <c r="L75" s="11"/>
      <c r="M75" s="11"/>
      <c r="N75" s="11"/>
      <c r="O75" s="11"/>
      <c r="P75" s="11"/>
      <c r="Q75" s="41"/>
      <c r="R75" s="11"/>
      <c r="S75" s="11"/>
      <c r="T75" s="11"/>
      <c r="U75" s="11"/>
      <c r="V75" s="11"/>
      <c r="W75" s="11"/>
      <c r="X75" s="11"/>
      <c r="Y75" s="41">
        <v>62.0</v>
      </c>
      <c r="Z75" s="11" t="s">
        <v>306</v>
      </c>
      <c r="AA75" s="11">
        <v>77.481</v>
      </c>
      <c r="AB75" s="11">
        <v>331.962</v>
      </c>
      <c r="AC75" s="11">
        <v>198.82</v>
      </c>
      <c r="AD75" s="11">
        <v>15751.093</v>
      </c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43"/>
      <c r="CQ75" s="40" t="s">
        <v>292</v>
      </c>
      <c r="CR75" s="11">
        <v>69.02187</v>
      </c>
      <c r="CS75" s="11">
        <v>356.56579</v>
      </c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</row>
    <row r="76" ht="15.75" customHeight="1">
      <c r="A76" s="41"/>
      <c r="B76" s="11"/>
      <c r="C76" s="11"/>
      <c r="D76" s="11"/>
      <c r="E76" s="11"/>
      <c r="F76" s="11"/>
      <c r="G76" s="11"/>
      <c r="H76" s="11"/>
      <c r="I76" s="41"/>
      <c r="J76" s="11"/>
      <c r="K76" s="11"/>
      <c r="L76" s="11"/>
      <c r="M76" s="11"/>
      <c r="N76" s="11"/>
      <c r="O76" s="11"/>
      <c r="P76" s="11"/>
      <c r="Q76" s="41"/>
      <c r="R76" s="11"/>
      <c r="S76" s="11"/>
      <c r="T76" s="11"/>
      <c r="U76" s="11"/>
      <c r="V76" s="11"/>
      <c r="W76" s="11"/>
      <c r="X76" s="11"/>
      <c r="Y76" s="41">
        <v>63.0</v>
      </c>
      <c r="Z76" s="11" t="s">
        <v>273</v>
      </c>
      <c r="AA76" s="11">
        <v>40650.41</v>
      </c>
      <c r="AB76" s="11">
        <v>6424.26</v>
      </c>
      <c r="AC76" s="11">
        <v>25486.43</v>
      </c>
      <c r="AD76" s="11">
        <v>37694.824</v>
      </c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43"/>
      <c r="CQ76" s="40" t="s">
        <v>297</v>
      </c>
      <c r="CR76" s="11">
        <v>411.00048</v>
      </c>
      <c r="CS76" s="11">
        <v>2582.42979</v>
      </c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</row>
    <row r="77" ht="15.75" customHeight="1">
      <c r="A77" s="41"/>
      <c r="B77" s="11"/>
      <c r="C77" s="11"/>
      <c r="D77" s="11"/>
      <c r="E77" s="11"/>
      <c r="F77" s="11"/>
      <c r="G77" s="11"/>
      <c r="H77" s="11"/>
      <c r="I77" s="41"/>
      <c r="J77" s="11"/>
      <c r="K77" s="11"/>
      <c r="L77" s="11"/>
      <c r="M77" s="11"/>
      <c r="N77" s="11"/>
      <c r="O77" s="11"/>
      <c r="P77" s="11"/>
      <c r="Q77" s="41"/>
      <c r="R77" s="11"/>
      <c r="S77" s="11"/>
      <c r="T77" s="11"/>
      <c r="U77" s="11"/>
      <c r="V77" s="11"/>
      <c r="W77" s="11"/>
      <c r="X77" s="11"/>
      <c r="Y77" s="4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U77" s="40"/>
      <c r="CV77" s="40"/>
      <c r="CW77" s="40"/>
      <c r="CX77" s="40"/>
      <c r="CY77" s="40"/>
      <c r="CZ77" s="40"/>
      <c r="DA77" s="11"/>
      <c r="DB77" s="11"/>
      <c r="DC77" s="11"/>
      <c r="DD77" s="11"/>
      <c r="DE77" s="11"/>
      <c r="DF77" s="11"/>
      <c r="DG77" s="11"/>
    </row>
    <row r="78" ht="15.75" customHeight="1">
      <c r="A78" s="41" t="s">
        <v>331</v>
      </c>
      <c r="B78" s="11"/>
      <c r="C78" s="11"/>
      <c r="D78" s="11"/>
      <c r="E78" s="11"/>
      <c r="F78" s="11"/>
      <c r="G78" s="11"/>
      <c r="H78" s="11"/>
      <c r="I78" s="41" t="s">
        <v>331</v>
      </c>
      <c r="J78" s="11"/>
      <c r="K78" s="11"/>
      <c r="L78" s="11"/>
      <c r="M78" s="11"/>
      <c r="N78" s="11"/>
      <c r="O78" s="11"/>
      <c r="P78" s="11"/>
      <c r="Q78" s="41" t="s">
        <v>331</v>
      </c>
      <c r="R78" s="11"/>
      <c r="S78" s="11"/>
      <c r="T78" s="11"/>
      <c r="U78" s="11"/>
      <c r="V78" s="11"/>
      <c r="W78" s="11"/>
      <c r="X78" s="11"/>
      <c r="Y78" s="41" t="s">
        <v>331</v>
      </c>
      <c r="Z78" s="11"/>
      <c r="AA78" s="11"/>
      <c r="AB78" s="11"/>
      <c r="AC78" s="11"/>
      <c r="AD78" s="11"/>
      <c r="AE78" s="11"/>
      <c r="AF78" s="11" t="s">
        <v>331</v>
      </c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U78" s="40"/>
      <c r="CV78" s="40"/>
      <c r="CW78" s="40"/>
      <c r="CX78" s="40"/>
      <c r="CY78" s="40"/>
      <c r="CZ78" s="40"/>
      <c r="DA78" s="11"/>
      <c r="DB78" s="11"/>
      <c r="DC78" s="11"/>
      <c r="DD78" s="11"/>
      <c r="DE78" s="11"/>
      <c r="DF78" s="11"/>
      <c r="DG78" s="11"/>
    </row>
    <row r="79" ht="15.75" customHeight="1">
      <c r="A79" s="41">
        <v>64.0</v>
      </c>
      <c r="B79" s="11" t="s">
        <v>332</v>
      </c>
      <c r="C79" s="11">
        <v>0.2</v>
      </c>
      <c r="D79" s="11">
        <v>0.2</v>
      </c>
      <c r="E79" s="11">
        <v>0.2</v>
      </c>
      <c r="F79" s="11">
        <v>0.2</v>
      </c>
      <c r="G79" s="11">
        <v>0.2</v>
      </c>
      <c r="H79" s="11"/>
      <c r="I79" s="41">
        <v>63.0</v>
      </c>
      <c r="J79" s="11" t="s">
        <v>332</v>
      </c>
      <c r="K79" s="11">
        <v>114975.0</v>
      </c>
      <c r="L79" s="11">
        <v>114995.0</v>
      </c>
      <c r="M79" s="11">
        <v>114995.0</v>
      </c>
      <c r="N79" s="11">
        <v>114995.0</v>
      </c>
      <c r="O79" s="11">
        <v>114995.0</v>
      </c>
      <c r="P79" s="11"/>
      <c r="Q79" s="41">
        <v>64.0</v>
      </c>
      <c r="R79" s="11" t="s">
        <v>332</v>
      </c>
      <c r="S79" s="11">
        <v>128348.0</v>
      </c>
      <c r="T79" s="11">
        <v>128370.973</v>
      </c>
      <c r="U79" s="11">
        <v>128397.925</v>
      </c>
      <c r="V79" s="11">
        <v>128397.925</v>
      </c>
      <c r="W79" s="11">
        <v>128414.005</v>
      </c>
      <c r="X79" s="11"/>
      <c r="Y79" s="41">
        <v>64.0</v>
      </c>
      <c r="Z79" s="11" t="s">
        <v>332</v>
      </c>
      <c r="AA79" s="11">
        <v>21388.0</v>
      </c>
      <c r="AB79" s="11">
        <v>21388.0</v>
      </c>
      <c r="AC79" s="11">
        <v>21388.0</v>
      </c>
      <c r="AD79" s="11">
        <v>21388.0</v>
      </c>
      <c r="AE79" s="11"/>
      <c r="AF79" s="11"/>
      <c r="AG79" s="11" t="s">
        <v>332</v>
      </c>
      <c r="AH79" s="11">
        <v>0.0</v>
      </c>
      <c r="AI79" s="11">
        <v>20598.0</v>
      </c>
      <c r="AJ79" s="11">
        <v>20598.0</v>
      </c>
      <c r="AK79" s="11">
        <v>20598.0</v>
      </c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U79" s="40"/>
      <c r="CV79" s="40"/>
      <c r="CW79" s="40"/>
      <c r="CX79" s="40"/>
      <c r="CY79" s="40"/>
      <c r="CZ79" s="40"/>
      <c r="DA79" s="11"/>
      <c r="DB79" s="11"/>
      <c r="DC79" s="11"/>
      <c r="DD79" s="11"/>
      <c r="DE79" s="11"/>
      <c r="DF79" s="11"/>
      <c r="DG79" s="11"/>
    </row>
    <row r="80" ht="15.75" customHeight="1">
      <c r="A80" s="41">
        <v>69.0</v>
      </c>
      <c r="B80" s="11" t="s">
        <v>286</v>
      </c>
      <c r="C80" s="11">
        <v>14324.555</v>
      </c>
      <c r="D80" s="11">
        <v>17218.238</v>
      </c>
      <c r="E80" s="11">
        <v>22452.714</v>
      </c>
      <c r="F80" s="11">
        <v>28672.218</v>
      </c>
      <c r="G80" s="11">
        <v>35115.24</v>
      </c>
      <c r="H80" s="11"/>
      <c r="I80" s="41">
        <v>65.0</v>
      </c>
      <c r="J80" s="11" t="s">
        <v>283</v>
      </c>
      <c r="K80" s="11">
        <v>28309.0</v>
      </c>
      <c r="L80" s="11">
        <v>29652.0</v>
      </c>
      <c r="M80" s="11">
        <v>31064.837</v>
      </c>
      <c r="N80" s="11">
        <v>31778.92</v>
      </c>
      <c r="O80" s="11">
        <v>31778.92</v>
      </c>
      <c r="P80" s="11"/>
      <c r="Q80" s="41">
        <v>65.0</v>
      </c>
      <c r="R80" s="11" t="s">
        <v>333</v>
      </c>
      <c r="S80" s="11">
        <v>17.0</v>
      </c>
      <c r="T80" s="11">
        <v>17.0</v>
      </c>
      <c r="U80" s="11">
        <v>17.0</v>
      </c>
      <c r="V80" s="11">
        <v>17.0</v>
      </c>
      <c r="W80" s="11">
        <v>0.0</v>
      </c>
      <c r="X80" s="11"/>
      <c r="Y80" s="41">
        <v>65.0</v>
      </c>
      <c r="Z80" s="11" t="s">
        <v>280</v>
      </c>
      <c r="AA80" s="11"/>
      <c r="AB80" s="11"/>
      <c r="AC80" s="11"/>
      <c r="AD80" s="11"/>
      <c r="AE80" s="11"/>
      <c r="AF80" s="11"/>
      <c r="AG80" s="11" t="s">
        <v>283</v>
      </c>
      <c r="AH80" s="11">
        <v>0.0</v>
      </c>
      <c r="AI80" s="11">
        <v>0.0</v>
      </c>
      <c r="AJ80" s="11">
        <v>0.0</v>
      </c>
      <c r="AK80" s="11">
        <v>694.589</v>
      </c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U80" s="40"/>
      <c r="CV80" s="40"/>
      <c r="CW80" s="40"/>
      <c r="CX80" s="40"/>
      <c r="CY80" s="40"/>
      <c r="CZ80" s="40"/>
      <c r="DA80" s="11"/>
      <c r="DB80" s="11"/>
      <c r="DC80" s="11"/>
      <c r="DD80" s="11"/>
      <c r="DE80" s="11"/>
      <c r="DF80" s="11"/>
      <c r="DG80" s="11"/>
    </row>
    <row r="81" ht="15.75" customHeight="1">
      <c r="A81" s="41">
        <v>70.0</v>
      </c>
      <c r="B81" s="11" t="s">
        <v>288</v>
      </c>
      <c r="C81" s="11"/>
      <c r="D81" s="11"/>
      <c r="E81" s="11"/>
      <c r="F81" s="11"/>
      <c r="G81" s="11">
        <v>3790.436</v>
      </c>
      <c r="H81" s="11"/>
      <c r="I81" s="41">
        <v>66.0</v>
      </c>
      <c r="J81" s="11" t="s">
        <v>313</v>
      </c>
      <c r="K81" s="11">
        <v>0.0</v>
      </c>
      <c r="L81" s="11">
        <v>0.0</v>
      </c>
      <c r="M81" s="11">
        <v>-6800.427</v>
      </c>
      <c r="N81" s="11">
        <v>22470.203</v>
      </c>
      <c r="O81" s="11">
        <v>0.0</v>
      </c>
      <c r="P81" s="11"/>
      <c r="Q81" s="41">
        <v>66.0</v>
      </c>
      <c r="R81" s="11" t="s">
        <v>334</v>
      </c>
      <c r="S81" s="11">
        <v>3668.0</v>
      </c>
      <c r="T81" s="11">
        <v>3835.227</v>
      </c>
      <c r="U81" s="11">
        <v>4086.595</v>
      </c>
      <c r="V81" s="11">
        <v>4175.852</v>
      </c>
      <c r="W81" s="11">
        <v>4541.229</v>
      </c>
      <c r="X81" s="11"/>
      <c r="Y81" s="41">
        <v>66.0</v>
      </c>
      <c r="Z81" s="11" t="s">
        <v>283</v>
      </c>
      <c r="AA81" s="11">
        <v>71.441</v>
      </c>
      <c r="AB81" s="11">
        <v>71.441</v>
      </c>
      <c r="AC81" s="11">
        <v>119.549</v>
      </c>
      <c r="AD81" s="11">
        <v>119.549</v>
      </c>
      <c r="AE81" s="11"/>
      <c r="AF81" s="11"/>
      <c r="AG81" s="11" t="s">
        <v>328</v>
      </c>
      <c r="AH81" s="11">
        <v>0.0</v>
      </c>
      <c r="AI81" s="11">
        <v>0.0</v>
      </c>
      <c r="AJ81" s="11">
        <v>0.0</v>
      </c>
      <c r="AK81" s="11">
        <v>5439.5</v>
      </c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U81" s="40"/>
      <c r="CV81" s="40"/>
      <c r="CW81" s="40"/>
      <c r="CX81" s="40"/>
      <c r="CY81" s="40"/>
      <c r="CZ81" s="40"/>
      <c r="DA81" s="11"/>
      <c r="DB81" s="11"/>
      <c r="DC81" s="11"/>
      <c r="DD81" s="11"/>
      <c r="DE81" s="11"/>
      <c r="DF81" s="11"/>
      <c r="DG81" s="11"/>
    </row>
    <row r="82" ht="15.75" customHeight="1">
      <c r="A82" s="41">
        <v>72.0</v>
      </c>
      <c r="B82" s="11" t="s">
        <v>292</v>
      </c>
      <c r="C82" s="11">
        <v>14324.755</v>
      </c>
      <c r="D82" s="11">
        <v>17218.438</v>
      </c>
      <c r="E82" s="11">
        <v>22452.914</v>
      </c>
      <c r="F82" s="11">
        <v>28672.418</v>
      </c>
      <c r="G82" s="11">
        <v>38905.876</v>
      </c>
      <c r="H82" s="11"/>
      <c r="I82" s="41">
        <v>68.0</v>
      </c>
      <c r="J82" s="11" t="s">
        <v>286</v>
      </c>
      <c r="K82" s="11">
        <v>306165.0</v>
      </c>
      <c r="L82" s="11">
        <v>326342.0</v>
      </c>
      <c r="M82" s="11">
        <v>386272.013</v>
      </c>
      <c r="N82" s="11">
        <v>392772.881</v>
      </c>
      <c r="O82" s="11">
        <v>362761.969</v>
      </c>
      <c r="P82" s="11"/>
      <c r="Q82" s="41">
        <v>67.0</v>
      </c>
      <c r="R82" s="11" t="s">
        <v>335</v>
      </c>
      <c r="S82" s="11">
        <v>5917.0</v>
      </c>
      <c r="T82" s="11">
        <v>6351.685</v>
      </c>
      <c r="U82" s="11">
        <v>0.0</v>
      </c>
      <c r="V82" s="11">
        <v>0.0</v>
      </c>
      <c r="W82" s="11">
        <v>0.0</v>
      </c>
      <c r="X82" s="11"/>
      <c r="Y82" s="41">
        <v>67.0</v>
      </c>
      <c r="Z82" s="11" t="s">
        <v>313</v>
      </c>
      <c r="AA82" s="11"/>
      <c r="AB82" s="11"/>
      <c r="AC82" s="11"/>
      <c r="AD82" s="11"/>
      <c r="AE82" s="11"/>
      <c r="AF82" s="11"/>
      <c r="AG82" s="11" t="s">
        <v>286</v>
      </c>
      <c r="AH82" s="11">
        <v>0.0</v>
      </c>
      <c r="AI82" s="11">
        <v>16308.73</v>
      </c>
      <c r="AJ82" s="11">
        <v>17210.48</v>
      </c>
      <c r="AK82" s="11">
        <v>10923.642</v>
      </c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U82" s="40"/>
      <c r="CV82" s="40"/>
      <c r="CW82" s="40"/>
      <c r="CX82" s="40"/>
      <c r="CY82" s="40"/>
      <c r="CZ82" s="40"/>
      <c r="DA82" s="11"/>
      <c r="DB82" s="11"/>
      <c r="DC82" s="11"/>
      <c r="DD82" s="11"/>
      <c r="DE82" s="11"/>
      <c r="DF82" s="11"/>
      <c r="DG82" s="11"/>
    </row>
    <row r="83" ht="15.75" customHeight="1">
      <c r="A83" s="41"/>
      <c r="B83" s="11"/>
      <c r="C83" s="11"/>
      <c r="D83" s="11"/>
      <c r="E83" s="11"/>
      <c r="F83" s="11"/>
      <c r="G83" s="11"/>
      <c r="H83" s="11"/>
      <c r="I83" s="41">
        <v>69.0</v>
      </c>
      <c r="J83" s="11" t="s">
        <v>288</v>
      </c>
      <c r="K83" s="11">
        <v>0.0</v>
      </c>
      <c r="L83" s="11">
        <v>0.0</v>
      </c>
      <c r="M83" s="11">
        <v>0.0</v>
      </c>
      <c r="N83" s="11">
        <v>0.0</v>
      </c>
      <c r="O83" s="11">
        <v>2151.954</v>
      </c>
      <c r="P83" s="11"/>
      <c r="Q83" s="41">
        <v>68.0</v>
      </c>
      <c r="R83" s="11"/>
      <c r="S83" s="11">
        <v>0.0</v>
      </c>
      <c r="T83" s="11">
        <v>0.0</v>
      </c>
      <c r="U83" s="11">
        <v>5242.18</v>
      </c>
      <c r="V83" s="11">
        <v>5636.34</v>
      </c>
      <c r="W83" s="11">
        <v>0.0</v>
      </c>
      <c r="X83" s="11"/>
      <c r="Y83" s="41">
        <v>68.0</v>
      </c>
      <c r="Z83" s="11" t="s">
        <v>328</v>
      </c>
      <c r="AA83" s="11"/>
      <c r="AB83" s="11"/>
      <c r="AC83" s="11"/>
      <c r="AD83" s="11"/>
      <c r="AE83" s="11"/>
      <c r="AF83" s="11"/>
      <c r="AG83" s="11" t="s">
        <v>288</v>
      </c>
      <c r="AH83" s="11">
        <v>0.0</v>
      </c>
      <c r="AI83" s="11">
        <v>0.0</v>
      </c>
      <c r="AJ83" s="11">
        <v>0.0</v>
      </c>
      <c r="AK83" s="11">
        <v>2968.523</v>
      </c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11"/>
      <c r="DB83" s="11"/>
      <c r="DC83" s="11"/>
      <c r="DD83" s="11"/>
      <c r="DE83" s="11"/>
      <c r="DF83" s="11"/>
      <c r="DG83" s="11"/>
    </row>
    <row r="84" ht="15.75" customHeight="1">
      <c r="A84" s="41">
        <v>73.0</v>
      </c>
      <c r="B84" s="11" t="s">
        <v>297</v>
      </c>
      <c r="C84" s="11">
        <v>65298.71</v>
      </c>
      <c r="D84" s="11">
        <v>63658.78</v>
      </c>
      <c r="E84" s="11">
        <v>70575.686</v>
      </c>
      <c r="F84" s="11">
        <v>81517.547</v>
      </c>
      <c r="G84" s="11">
        <v>102146.252</v>
      </c>
      <c r="H84" s="11"/>
      <c r="I84" s="41">
        <v>71.0</v>
      </c>
      <c r="J84" s="11" t="s">
        <v>292</v>
      </c>
      <c r="K84" s="11">
        <v>449449.0</v>
      </c>
      <c r="L84" s="11">
        <v>470989.0</v>
      </c>
      <c r="M84" s="11">
        <v>525531.423</v>
      </c>
      <c r="N84" s="11">
        <v>562017.004</v>
      </c>
      <c r="O84" s="11">
        <v>511687.843</v>
      </c>
      <c r="P84" s="11"/>
      <c r="Q84" s="41">
        <v>69.0</v>
      </c>
      <c r="R84" s="11" t="s">
        <v>336</v>
      </c>
      <c r="S84" s="11">
        <v>1050.0</v>
      </c>
      <c r="T84" s="11">
        <v>1146.926</v>
      </c>
      <c r="U84" s="11">
        <v>1237.59</v>
      </c>
      <c r="V84" s="11">
        <v>932.485</v>
      </c>
      <c r="W84" s="11">
        <v>0.0</v>
      </c>
      <c r="X84" s="11"/>
      <c r="Y84" s="41">
        <v>69.0</v>
      </c>
      <c r="Z84" s="11" t="s">
        <v>286</v>
      </c>
      <c r="AA84" s="11">
        <v>88.465</v>
      </c>
      <c r="AB84" s="11">
        <v>-2619.893</v>
      </c>
      <c r="AC84" s="11">
        <v>-1956.339</v>
      </c>
      <c r="AD84" s="11">
        <v>-1956.339</v>
      </c>
      <c r="AE84" s="11"/>
      <c r="AF84" s="11"/>
      <c r="AG84" s="11" t="s">
        <v>292</v>
      </c>
      <c r="AH84" s="11">
        <v>0.0</v>
      </c>
      <c r="AI84" s="11">
        <v>36906.73</v>
      </c>
      <c r="AJ84" s="11">
        <v>37808.48</v>
      </c>
      <c r="AK84" s="11">
        <v>40624.254</v>
      </c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40"/>
      <c r="CQ84" s="40"/>
      <c r="CR84" s="43"/>
      <c r="CS84" s="43"/>
      <c r="CT84" s="40"/>
      <c r="CU84" s="40"/>
      <c r="CV84" s="40"/>
      <c r="CW84" s="40"/>
      <c r="CX84" s="40"/>
      <c r="CY84" s="40"/>
      <c r="CZ84" s="40"/>
      <c r="DA84" s="11"/>
      <c r="DB84" s="11"/>
      <c r="DC84" s="11"/>
      <c r="DD84" s="11"/>
      <c r="DE84" s="11"/>
      <c r="DF84" s="11"/>
      <c r="DG84" s="11"/>
    </row>
    <row r="85" ht="15.75" customHeight="1">
      <c r="A85" s="41"/>
      <c r="B85" s="11"/>
      <c r="C85" s="11"/>
      <c r="D85" s="11"/>
      <c r="E85" s="11"/>
      <c r="F85" s="11"/>
      <c r="G85" s="11"/>
      <c r="H85" s="11"/>
      <c r="I85" s="41"/>
      <c r="J85" s="11"/>
      <c r="K85" s="11"/>
      <c r="L85" s="11"/>
      <c r="M85" s="11"/>
      <c r="N85" s="11"/>
      <c r="O85" s="11"/>
      <c r="P85" s="11"/>
      <c r="Q85" s="41">
        <v>70.0</v>
      </c>
      <c r="R85" s="11" t="s">
        <v>337</v>
      </c>
      <c r="S85" s="11">
        <v>-2843.0</v>
      </c>
      <c r="T85" s="11">
        <v>-1836.117</v>
      </c>
      <c r="U85" s="11">
        <v>360.338</v>
      </c>
      <c r="V85" s="11">
        <v>8745.705</v>
      </c>
      <c r="W85" s="11">
        <v>-4538.771</v>
      </c>
      <c r="X85" s="11"/>
      <c r="Y85" s="41">
        <v>70.0</v>
      </c>
      <c r="Z85" s="11" t="s">
        <v>288</v>
      </c>
      <c r="AA85" s="11"/>
      <c r="AB85" s="11"/>
      <c r="AC85" s="11"/>
      <c r="AD85" s="11">
        <v>1111.626</v>
      </c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11"/>
      <c r="DB85" s="11"/>
      <c r="DC85" s="11"/>
      <c r="DD85" s="11"/>
      <c r="DE85" s="11"/>
      <c r="DF85" s="11"/>
      <c r="DG85" s="11"/>
    </row>
    <row r="86" ht="15.75" customHeight="1">
      <c r="A86" s="41"/>
      <c r="B86" s="11"/>
      <c r="C86" s="11">
        <v>0.2</v>
      </c>
      <c r="D86" s="11">
        <v>0.0</v>
      </c>
      <c r="E86" s="11">
        <v>0.0</v>
      </c>
      <c r="F86" s="11">
        <v>0.0</v>
      </c>
      <c r="G86" s="11">
        <v>0.0</v>
      </c>
      <c r="H86" s="11"/>
      <c r="I86" s="41">
        <v>72.0</v>
      </c>
      <c r="J86" s="11" t="s">
        <v>297</v>
      </c>
      <c r="K86" s="11">
        <v>922827.0</v>
      </c>
      <c r="L86" s="11">
        <v>996616.0</v>
      </c>
      <c r="M86" s="11">
        <v>1111781.543</v>
      </c>
      <c r="N86" s="11">
        <v>1250950.559</v>
      </c>
      <c r="O86" s="11">
        <v>1269454.496</v>
      </c>
      <c r="P86" s="11"/>
      <c r="Q86" s="41">
        <v>72.0</v>
      </c>
      <c r="R86" s="11" t="s">
        <v>338</v>
      </c>
      <c r="S86" s="11">
        <v>0.0</v>
      </c>
      <c r="T86" s="11">
        <v>0.0</v>
      </c>
      <c r="U86" s="11">
        <v>0.0</v>
      </c>
      <c r="V86" s="11">
        <v>0.0</v>
      </c>
      <c r="W86" s="11">
        <v>13986.382</v>
      </c>
      <c r="X86" s="11"/>
      <c r="Y86" s="41">
        <v>71.0</v>
      </c>
      <c r="Z86" s="11" t="s">
        <v>73</v>
      </c>
      <c r="AA86" s="11"/>
      <c r="AB86" s="11"/>
      <c r="AC86" s="11"/>
      <c r="AD86" s="11"/>
      <c r="AE86" s="11"/>
      <c r="AF86" s="11"/>
      <c r="AG86" s="11" t="s">
        <v>297</v>
      </c>
      <c r="AH86" s="11">
        <v>0.0</v>
      </c>
      <c r="AI86" s="11">
        <v>79133.635</v>
      </c>
      <c r="AJ86" s="11">
        <v>78440.942</v>
      </c>
      <c r="AK86" s="11">
        <v>79738.376</v>
      </c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11"/>
      <c r="DB86" s="11"/>
      <c r="DC86" s="11"/>
      <c r="DD86" s="11"/>
      <c r="DE86" s="11"/>
      <c r="DF86" s="11"/>
      <c r="DG86" s="11"/>
    </row>
    <row r="87" ht="15.75" customHeight="1">
      <c r="A87" s="41"/>
      <c r="B87" s="11"/>
      <c r="C87" s="11"/>
      <c r="D87" s="11"/>
      <c r="E87" s="11"/>
      <c r="F87" s="11"/>
      <c r="G87" s="11"/>
      <c r="H87" s="11"/>
      <c r="I87" s="41"/>
      <c r="J87" s="11"/>
      <c r="K87" s="11"/>
      <c r="L87" s="11"/>
      <c r="M87" s="11"/>
      <c r="N87" s="11"/>
      <c r="O87" s="11"/>
      <c r="P87" s="11"/>
      <c r="Q87" s="41">
        <v>73.0</v>
      </c>
      <c r="R87" s="11" t="s">
        <v>339</v>
      </c>
      <c r="S87" s="11">
        <v>0.0</v>
      </c>
      <c r="T87" s="11">
        <v>0.0</v>
      </c>
      <c r="U87" s="11">
        <v>0.0</v>
      </c>
      <c r="V87" s="11">
        <v>0.0</v>
      </c>
      <c r="W87" s="11">
        <v>3094.496</v>
      </c>
      <c r="X87" s="11"/>
      <c r="Y87" s="41">
        <v>72.0</v>
      </c>
      <c r="Z87" s="11" t="s">
        <v>292</v>
      </c>
      <c r="AA87" s="11">
        <v>21547.906</v>
      </c>
      <c r="AB87" s="11">
        <v>18839.548</v>
      </c>
      <c r="AC87" s="11">
        <v>19551.21</v>
      </c>
      <c r="AD87" s="11">
        <v>20662.836</v>
      </c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11"/>
      <c r="DB87" s="11"/>
      <c r="DC87" s="11"/>
      <c r="DD87" s="11"/>
      <c r="DE87" s="11"/>
      <c r="DF87" s="11"/>
      <c r="DG87" s="11"/>
    </row>
    <row r="88" ht="15.75" customHeight="1">
      <c r="A88" s="41"/>
      <c r="B88" s="11"/>
      <c r="C88" s="11"/>
      <c r="D88" s="11"/>
      <c r="E88" s="11"/>
      <c r="F88" s="11"/>
      <c r="G88" s="11"/>
      <c r="H88" s="11"/>
      <c r="I88" s="41"/>
      <c r="J88" s="11"/>
      <c r="K88" s="11">
        <v>-2.282000000006519</v>
      </c>
      <c r="L88" s="11">
        <v>0.0</v>
      </c>
      <c r="M88" s="11">
        <v>0.0</v>
      </c>
      <c r="N88" s="11">
        <v>0.0</v>
      </c>
      <c r="O88" s="11">
        <v>0.0</v>
      </c>
      <c r="P88" s="11"/>
      <c r="Q88" s="41">
        <v>74.0</v>
      </c>
      <c r="R88" s="11" t="s">
        <v>292</v>
      </c>
      <c r="S88" s="11">
        <v>136157.0</v>
      </c>
      <c r="T88" s="11">
        <v>137885.694</v>
      </c>
      <c r="U88" s="11">
        <v>139341.628</v>
      </c>
      <c r="V88" s="11">
        <v>147905.307</v>
      </c>
      <c r="W88" s="11">
        <v>145497.341</v>
      </c>
      <c r="X88" s="11"/>
      <c r="Y88" s="41"/>
      <c r="Z88" s="11"/>
      <c r="AA88" s="11"/>
      <c r="AB88" s="11"/>
      <c r="AC88" s="11"/>
      <c r="AD88" s="11"/>
      <c r="AE88" s="11"/>
      <c r="AF88" s="11"/>
      <c r="AG88" s="11"/>
      <c r="AH88" s="11">
        <v>-4149.0</v>
      </c>
      <c r="AI88" s="11">
        <v>0.0</v>
      </c>
      <c r="AJ88" s="11">
        <v>0.0</v>
      </c>
      <c r="AK88" s="11">
        <v>0.0</v>
      </c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11"/>
      <c r="DB88" s="11"/>
      <c r="DC88" s="11"/>
      <c r="DD88" s="11"/>
      <c r="DE88" s="11"/>
      <c r="DF88" s="11"/>
      <c r="DG88" s="11"/>
    </row>
    <row r="89" ht="15.75" customHeight="1">
      <c r="A89" s="41"/>
      <c r="B89" s="11"/>
      <c r="C89" s="11"/>
      <c r="D89" s="11"/>
      <c r="E89" s="11"/>
      <c r="F89" s="11"/>
      <c r="G89" s="11"/>
      <c r="H89" s="11"/>
      <c r="I89" s="41"/>
      <c r="J89" s="11"/>
      <c r="K89" s="11"/>
      <c r="L89" s="11"/>
      <c r="M89" s="11"/>
      <c r="N89" s="11"/>
      <c r="O89" s="11"/>
      <c r="P89" s="11"/>
      <c r="Q89" s="41"/>
      <c r="R89" s="11"/>
      <c r="S89" s="11"/>
      <c r="T89" s="11"/>
      <c r="U89" s="11"/>
      <c r="V89" s="11"/>
      <c r="W89" s="11"/>
      <c r="X89" s="11"/>
      <c r="Y89" s="41">
        <v>73.0</v>
      </c>
      <c r="Z89" s="11" t="s">
        <v>297</v>
      </c>
      <c r="AA89" s="11">
        <v>62198.316</v>
      </c>
      <c r="AB89" s="11">
        <v>25263.808</v>
      </c>
      <c r="AC89" s="11">
        <v>45037.64</v>
      </c>
      <c r="AD89" s="11">
        <v>58357.66</v>
      </c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11"/>
      <c r="DB89" s="11"/>
      <c r="DC89" s="11"/>
      <c r="DD89" s="11"/>
      <c r="DE89" s="11"/>
      <c r="DF89" s="11"/>
      <c r="DG89" s="11"/>
    </row>
    <row r="90" ht="15.75" customHeight="1">
      <c r="A90" s="41"/>
      <c r="B90" s="11"/>
      <c r="C90" s="11"/>
      <c r="D90" s="11"/>
      <c r="E90" s="11"/>
      <c r="F90" s="11"/>
      <c r="G90" s="11"/>
      <c r="H90" s="11"/>
      <c r="I90" s="41"/>
      <c r="J90" s="11"/>
      <c r="K90" s="11"/>
      <c r="L90" s="11"/>
      <c r="M90" s="11"/>
      <c r="N90" s="11"/>
      <c r="O90" s="11"/>
      <c r="P90" s="11"/>
      <c r="Q90" s="41">
        <v>75.0</v>
      </c>
      <c r="R90" s="11" t="s">
        <v>297</v>
      </c>
      <c r="S90" s="11">
        <v>217100.0</v>
      </c>
      <c r="T90" s="11">
        <v>239423.144</v>
      </c>
      <c r="U90" s="11">
        <v>241688.101</v>
      </c>
      <c r="V90" s="11">
        <v>263737.238</v>
      </c>
      <c r="W90" s="11">
        <v>286863.245</v>
      </c>
      <c r="X90" s="11"/>
      <c r="Y90" s="4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11"/>
      <c r="DB90" s="11"/>
      <c r="DC90" s="11"/>
      <c r="DD90" s="11"/>
      <c r="DE90" s="11"/>
      <c r="DF90" s="11"/>
      <c r="DG90" s="11"/>
    </row>
    <row r="91" ht="15.75" customHeight="1">
      <c r="A91" s="41"/>
      <c r="B91" s="11"/>
      <c r="C91" s="11"/>
      <c r="D91" s="11"/>
      <c r="E91" s="11"/>
      <c r="F91" s="11"/>
      <c r="G91" s="11"/>
      <c r="H91" s="11"/>
      <c r="I91" s="41"/>
      <c r="J91" s="11"/>
      <c r="K91" s="11"/>
      <c r="L91" s="11"/>
      <c r="M91" s="11"/>
      <c r="N91" s="11"/>
      <c r="O91" s="11"/>
      <c r="P91" s="11"/>
      <c r="Q91" s="41"/>
      <c r="R91" s="11"/>
      <c r="S91" s="11"/>
      <c r="T91" s="11"/>
      <c r="U91" s="11"/>
      <c r="V91" s="11"/>
      <c r="W91" s="11"/>
      <c r="X91" s="11"/>
      <c r="Y91" s="41"/>
      <c r="Z91" s="11"/>
      <c r="AA91" s="11">
        <v>0.0</v>
      </c>
      <c r="AB91" s="11">
        <v>-0.555</v>
      </c>
      <c r="AC91" s="11">
        <v>0.0</v>
      </c>
      <c r="AD91" s="11">
        <v>0.011</v>
      </c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11"/>
      <c r="DB91" s="11"/>
      <c r="DC91" s="11"/>
      <c r="DD91" s="11"/>
      <c r="DE91" s="11"/>
      <c r="DF91" s="11"/>
      <c r="DG91" s="11"/>
    </row>
    <row r="92" ht="15.75" customHeight="1">
      <c r="A92" s="41"/>
      <c r="B92" s="11"/>
      <c r="C92" s="11"/>
      <c r="D92" s="11"/>
      <c r="E92" s="11"/>
      <c r="F92" s="11"/>
      <c r="G92" s="11"/>
      <c r="H92" s="11"/>
      <c r="I92" s="41"/>
      <c r="J92" s="11"/>
      <c r="K92" s="11"/>
      <c r="L92" s="11"/>
      <c r="M92" s="11"/>
      <c r="N92" s="11"/>
      <c r="O92" s="11"/>
      <c r="P92" s="11"/>
      <c r="Q92" s="41"/>
      <c r="R92" s="11"/>
      <c r="S92" s="11">
        <v>-0.9799999999813735</v>
      </c>
      <c r="T92" s="11">
        <v>0.0</v>
      </c>
      <c r="U92" s="11">
        <v>0.0</v>
      </c>
      <c r="V92" s="11">
        <v>0.0</v>
      </c>
      <c r="W92" s="11">
        <v>0.0</v>
      </c>
      <c r="X92" s="11"/>
      <c r="Y92" s="4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11"/>
      <c r="DB92" s="11"/>
      <c r="DC92" s="11"/>
      <c r="DD92" s="11"/>
      <c r="DE92" s="11"/>
      <c r="DF92" s="11"/>
      <c r="DG92" s="11"/>
    </row>
    <row r="93" ht="15.75" customHeight="1">
      <c r="A93" s="41"/>
      <c r="B93" s="11"/>
      <c r="C93" s="11"/>
      <c r="D93" s="11"/>
      <c r="E93" s="11"/>
      <c r="F93" s="11"/>
      <c r="G93" s="11"/>
      <c r="H93" s="11"/>
      <c r="I93" s="41"/>
      <c r="J93" s="11"/>
      <c r="K93" s="11"/>
      <c r="L93" s="11"/>
      <c r="M93" s="11"/>
      <c r="N93" s="11"/>
      <c r="O93" s="11"/>
      <c r="P93" s="11"/>
      <c r="Q93" s="41"/>
      <c r="R93" s="11"/>
      <c r="S93" s="11"/>
      <c r="T93" s="11"/>
      <c r="U93" s="11"/>
      <c r="V93" s="11"/>
      <c r="W93" s="11"/>
      <c r="X93" s="11"/>
      <c r="Y93" s="4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11"/>
      <c r="DB93" s="11"/>
      <c r="DC93" s="11"/>
      <c r="DD93" s="11"/>
      <c r="DE93" s="11"/>
      <c r="DF93" s="11"/>
      <c r="DG93" s="11"/>
    </row>
    <row r="94" ht="15.75" customHeight="1">
      <c r="A94" s="41"/>
      <c r="B94" s="11"/>
      <c r="C94" s="11"/>
      <c r="D94" s="11"/>
      <c r="E94" s="11"/>
      <c r="F94" s="11"/>
      <c r="G94" s="11"/>
      <c r="H94" s="11"/>
      <c r="I94" s="41"/>
      <c r="J94" s="11"/>
      <c r="K94" s="11"/>
      <c r="L94" s="11"/>
      <c r="M94" s="11"/>
      <c r="N94" s="11"/>
      <c r="O94" s="11"/>
      <c r="P94" s="11"/>
      <c r="Q94" s="41"/>
      <c r="R94" s="11"/>
      <c r="S94" s="11"/>
      <c r="T94" s="11"/>
      <c r="U94" s="11"/>
      <c r="V94" s="11"/>
      <c r="W94" s="11"/>
      <c r="X94" s="11"/>
      <c r="Y94" s="4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11"/>
      <c r="DB94" s="11"/>
      <c r="DC94" s="11"/>
      <c r="DD94" s="11"/>
      <c r="DE94" s="11"/>
      <c r="DF94" s="11"/>
      <c r="DG94" s="11"/>
    </row>
    <row r="95" ht="15.75" customHeight="1">
      <c r="A95" s="41"/>
      <c r="B95" s="11"/>
      <c r="C95" s="11"/>
      <c r="D95" s="11"/>
      <c r="E95" s="11"/>
      <c r="F95" s="11"/>
      <c r="G95" s="11"/>
      <c r="H95" s="11"/>
      <c r="I95" s="41"/>
      <c r="J95" s="11"/>
      <c r="K95" s="11"/>
      <c r="L95" s="11"/>
      <c r="M95" s="11"/>
      <c r="N95" s="11"/>
      <c r="O95" s="11"/>
      <c r="P95" s="11"/>
      <c r="Q95" s="41"/>
      <c r="R95" s="11"/>
      <c r="S95" s="11"/>
      <c r="T95" s="11"/>
      <c r="U95" s="11"/>
      <c r="V95" s="11"/>
      <c r="W95" s="11"/>
      <c r="X95" s="11"/>
      <c r="Y95" s="4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11"/>
      <c r="DB95" s="11"/>
      <c r="DC95" s="11"/>
      <c r="DD95" s="11"/>
      <c r="DE95" s="11"/>
      <c r="DF95" s="11"/>
      <c r="DG95" s="11"/>
    </row>
    <row r="96" ht="15.75" customHeight="1">
      <c r="A96" s="41"/>
      <c r="B96" s="11"/>
      <c r="C96" s="11"/>
      <c r="D96" s="11"/>
      <c r="E96" s="11"/>
      <c r="F96" s="11"/>
      <c r="G96" s="11"/>
      <c r="H96" s="11"/>
      <c r="I96" s="41"/>
      <c r="J96" s="11"/>
      <c r="K96" s="11"/>
      <c r="L96" s="11"/>
      <c r="M96" s="11"/>
      <c r="N96" s="11"/>
      <c r="O96" s="11"/>
      <c r="P96" s="11"/>
      <c r="Q96" s="41"/>
      <c r="R96" s="11"/>
      <c r="S96" s="11"/>
      <c r="T96" s="11"/>
      <c r="U96" s="11"/>
      <c r="V96" s="11"/>
      <c r="W96" s="11"/>
      <c r="X96" s="11"/>
      <c r="Y96" s="4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11"/>
      <c r="DB96" s="11"/>
      <c r="DC96" s="11"/>
      <c r="DD96" s="11"/>
      <c r="DE96" s="11"/>
      <c r="DF96" s="11"/>
      <c r="DG96" s="11"/>
    </row>
    <row r="97" ht="15.75" customHeight="1">
      <c r="A97" s="41"/>
      <c r="B97" s="11"/>
      <c r="C97" s="11"/>
      <c r="D97" s="11"/>
      <c r="E97" s="11"/>
      <c r="F97" s="11"/>
      <c r="G97" s="11"/>
      <c r="H97" s="11"/>
      <c r="I97" s="41"/>
      <c r="J97" s="11"/>
      <c r="K97" s="11"/>
      <c r="L97" s="11"/>
      <c r="M97" s="11"/>
      <c r="N97" s="11"/>
      <c r="O97" s="11"/>
      <c r="P97" s="11"/>
      <c r="Q97" s="41"/>
      <c r="R97" s="11"/>
      <c r="S97" s="11"/>
      <c r="T97" s="11"/>
      <c r="U97" s="11"/>
      <c r="V97" s="11"/>
      <c r="W97" s="11"/>
      <c r="X97" s="11"/>
      <c r="Y97" s="4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40"/>
      <c r="CQ97" s="40"/>
      <c r="CR97" s="40"/>
      <c r="CS97" s="40"/>
      <c r="CT97" s="40"/>
      <c r="CU97" s="40"/>
      <c r="CV97" s="40"/>
      <c r="CW97" s="40"/>
      <c r="CX97" s="40"/>
      <c r="CY97" s="40"/>
      <c r="CZ97" s="40"/>
      <c r="DA97" s="11"/>
      <c r="DB97" s="11"/>
      <c r="DC97" s="11"/>
      <c r="DD97" s="11"/>
      <c r="DE97" s="11"/>
      <c r="DF97" s="11"/>
      <c r="DG97" s="11"/>
    </row>
    <row r="98" ht="15.75" customHeight="1">
      <c r="A98" s="41"/>
      <c r="B98" s="11"/>
      <c r="C98" s="11"/>
      <c r="D98" s="11"/>
      <c r="E98" s="11"/>
      <c r="F98" s="11"/>
      <c r="G98" s="11"/>
      <c r="H98" s="11"/>
      <c r="I98" s="41"/>
      <c r="J98" s="11"/>
      <c r="K98" s="11"/>
      <c r="L98" s="11"/>
      <c r="M98" s="11"/>
      <c r="N98" s="11"/>
      <c r="O98" s="11"/>
      <c r="P98" s="11"/>
      <c r="Q98" s="41"/>
      <c r="R98" s="11"/>
      <c r="S98" s="11"/>
      <c r="T98" s="11"/>
      <c r="U98" s="11"/>
      <c r="V98" s="11"/>
      <c r="W98" s="11"/>
      <c r="X98" s="11"/>
      <c r="Y98" s="4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11"/>
      <c r="DB98" s="11"/>
      <c r="DC98" s="11"/>
      <c r="DD98" s="11"/>
      <c r="DE98" s="11"/>
      <c r="DF98" s="11"/>
      <c r="DG98" s="11"/>
    </row>
    <row r="99" ht="15.75" customHeight="1">
      <c r="A99" s="41"/>
      <c r="B99" s="11"/>
      <c r="C99" s="11"/>
      <c r="D99" s="11"/>
      <c r="E99" s="11"/>
      <c r="F99" s="11"/>
      <c r="G99" s="11"/>
      <c r="H99" s="11"/>
      <c r="I99" s="41"/>
      <c r="J99" s="11"/>
      <c r="K99" s="11"/>
      <c r="L99" s="11"/>
      <c r="M99" s="11"/>
      <c r="N99" s="11"/>
      <c r="O99" s="11"/>
      <c r="P99" s="11"/>
      <c r="Q99" s="41"/>
      <c r="R99" s="11"/>
      <c r="S99" s="11"/>
      <c r="T99" s="11"/>
      <c r="U99" s="11"/>
      <c r="V99" s="11"/>
      <c r="W99" s="11"/>
      <c r="X99" s="11"/>
      <c r="Y99" s="4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11"/>
      <c r="DB99" s="11"/>
      <c r="DC99" s="11"/>
      <c r="DD99" s="11"/>
      <c r="DE99" s="11"/>
      <c r="DF99" s="11"/>
      <c r="DG99" s="11"/>
    </row>
    <row r="100" ht="15.75" customHeight="1">
      <c r="A100" s="41"/>
      <c r="B100" s="11"/>
      <c r="C100" s="11"/>
      <c r="D100" s="11"/>
      <c r="E100" s="11"/>
      <c r="F100" s="11"/>
      <c r="G100" s="11"/>
      <c r="H100" s="11"/>
      <c r="I100" s="41"/>
      <c r="J100" s="11"/>
      <c r="K100" s="11"/>
      <c r="L100" s="11"/>
      <c r="M100" s="11"/>
      <c r="N100" s="11"/>
      <c r="O100" s="11"/>
      <c r="P100" s="11"/>
      <c r="Q100" s="41"/>
      <c r="R100" s="11"/>
      <c r="S100" s="11"/>
      <c r="T100" s="11"/>
      <c r="U100" s="11"/>
      <c r="V100" s="11"/>
      <c r="W100" s="11"/>
      <c r="X100" s="11"/>
      <c r="Y100" s="4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40"/>
      <c r="DA100" s="11"/>
      <c r="DB100" s="11"/>
      <c r="DC100" s="11"/>
      <c r="DD100" s="11"/>
      <c r="DE100" s="11"/>
      <c r="DF100" s="11"/>
      <c r="DG100" s="11"/>
    </row>
    <row r="101" ht="15.75" customHeight="1">
      <c r="A101" s="41"/>
      <c r="B101" s="11"/>
      <c r="C101" s="11"/>
      <c r="D101" s="11"/>
      <c r="E101" s="11"/>
      <c r="F101" s="11"/>
      <c r="G101" s="11"/>
      <c r="H101" s="11"/>
      <c r="I101" s="41"/>
      <c r="J101" s="11"/>
      <c r="K101" s="11"/>
      <c r="L101" s="11"/>
      <c r="M101" s="11"/>
      <c r="N101" s="11"/>
      <c r="O101" s="11"/>
      <c r="P101" s="11"/>
      <c r="Q101" s="41"/>
      <c r="R101" s="11"/>
      <c r="S101" s="11"/>
      <c r="T101" s="11"/>
      <c r="U101" s="11"/>
      <c r="V101" s="11"/>
      <c r="W101" s="11"/>
      <c r="X101" s="11"/>
      <c r="Y101" s="4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11"/>
      <c r="DB101" s="11"/>
      <c r="DC101" s="11"/>
      <c r="DD101" s="11"/>
      <c r="DE101" s="11"/>
      <c r="DF101" s="11"/>
      <c r="DG101" s="11"/>
    </row>
    <row r="102" ht="15.75" customHeight="1">
      <c r="A102" s="41"/>
      <c r="B102" s="11"/>
      <c r="C102" s="11"/>
      <c r="D102" s="11"/>
      <c r="E102" s="11"/>
      <c r="F102" s="11"/>
      <c r="G102" s="11"/>
      <c r="H102" s="11"/>
      <c r="I102" s="41"/>
      <c r="J102" s="11"/>
      <c r="K102" s="11"/>
      <c r="L102" s="11"/>
      <c r="M102" s="11"/>
      <c r="N102" s="11"/>
      <c r="O102" s="11"/>
      <c r="P102" s="11"/>
      <c r="Q102" s="41"/>
      <c r="R102" s="11"/>
      <c r="S102" s="11"/>
      <c r="T102" s="11"/>
      <c r="U102" s="11"/>
      <c r="V102" s="11"/>
      <c r="W102" s="11"/>
      <c r="X102" s="11"/>
      <c r="Y102" s="4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11"/>
      <c r="DB102" s="11"/>
      <c r="DC102" s="11"/>
      <c r="DD102" s="11"/>
      <c r="DE102" s="11"/>
      <c r="DF102" s="11"/>
      <c r="DG102" s="11"/>
    </row>
    <row r="103" ht="15.75" customHeight="1">
      <c r="A103" s="41"/>
      <c r="B103" s="11"/>
      <c r="C103" s="11"/>
      <c r="D103" s="11"/>
      <c r="E103" s="11"/>
      <c r="F103" s="11"/>
      <c r="G103" s="11"/>
      <c r="H103" s="11"/>
      <c r="I103" s="41"/>
      <c r="J103" s="11"/>
      <c r="K103" s="11"/>
      <c r="L103" s="11"/>
      <c r="M103" s="11"/>
      <c r="N103" s="11"/>
      <c r="O103" s="11"/>
      <c r="P103" s="11"/>
      <c r="Q103" s="41"/>
      <c r="R103" s="11"/>
      <c r="S103" s="11"/>
      <c r="T103" s="11"/>
      <c r="U103" s="11"/>
      <c r="V103" s="11"/>
      <c r="W103" s="11"/>
      <c r="X103" s="11"/>
      <c r="Y103" s="4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11"/>
      <c r="DB103" s="11"/>
      <c r="DC103" s="11"/>
      <c r="DD103" s="11"/>
      <c r="DE103" s="11"/>
      <c r="DF103" s="11"/>
      <c r="DG103" s="11"/>
    </row>
    <row r="104" ht="15.75" customHeight="1">
      <c r="A104" s="41"/>
      <c r="B104" s="11"/>
      <c r="C104" s="11"/>
      <c r="D104" s="11"/>
      <c r="E104" s="11"/>
      <c r="F104" s="11"/>
      <c r="G104" s="11"/>
      <c r="H104" s="11"/>
      <c r="I104" s="41"/>
      <c r="J104" s="11"/>
      <c r="K104" s="11"/>
      <c r="L104" s="11"/>
      <c r="M104" s="11"/>
      <c r="N104" s="11"/>
      <c r="O104" s="11"/>
      <c r="P104" s="11"/>
      <c r="Q104" s="41"/>
      <c r="R104" s="11"/>
      <c r="S104" s="11"/>
      <c r="T104" s="11"/>
      <c r="U104" s="11"/>
      <c r="V104" s="11"/>
      <c r="W104" s="11"/>
      <c r="X104" s="11"/>
      <c r="Y104" s="4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40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11"/>
      <c r="DB104" s="11"/>
      <c r="DC104" s="11"/>
      <c r="DD104" s="11"/>
      <c r="DE104" s="11"/>
      <c r="DF104" s="11"/>
      <c r="DG104" s="11"/>
    </row>
    <row r="105" ht="15.75" customHeight="1">
      <c r="A105" s="41"/>
      <c r="B105" s="11"/>
      <c r="C105" s="11"/>
      <c r="D105" s="11"/>
      <c r="E105" s="11"/>
      <c r="F105" s="11"/>
      <c r="G105" s="11"/>
      <c r="H105" s="11"/>
      <c r="I105" s="41"/>
      <c r="J105" s="11"/>
      <c r="K105" s="11"/>
      <c r="L105" s="11"/>
      <c r="M105" s="11"/>
      <c r="N105" s="11"/>
      <c r="O105" s="11"/>
      <c r="P105" s="11"/>
      <c r="Q105" s="41"/>
      <c r="R105" s="11"/>
      <c r="S105" s="11"/>
      <c r="T105" s="11"/>
      <c r="U105" s="11"/>
      <c r="V105" s="11"/>
      <c r="W105" s="11"/>
      <c r="X105" s="11"/>
      <c r="Y105" s="4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40"/>
      <c r="CQ105" s="40"/>
      <c r="CR105" s="40"/>
      <c r="CS105" s="40"/>
      <c r="CT105" s="40"/>
      <c r="CU105" s="40"/>
      <c r="CV105" s="40"/>
      <c r="CW105" s="40"/>
      <c r="CX105" s="40"/>
      <c r="CY105" s="40"/>
      <c r="CZ105" s="40"/>
      <c r="DA105" s="11"/>
      <c r="DB105" s="11"/>
      <c r="DC105" s="11"/>
      <c r="DD105" s="11"/>
      <c r="DE105" s="11"/>
      <c r="DF105" s="11"/>
      <c r="DG105" s="11"/>
    </row>
    <row r="106" ht="15.75" customHeight="1">
      <c r="A106" s="41"/>
      <c r="B106" s="11"/>
      <c r="C106" s="11"/>
      <c r="D106" s="11"/>
      <c r="E106" s="11"/>
      <c r="F106" s="11"/>
      <c r="G106" s="11"/>
      <c r="H106" s="11"/>
      <c r="I106" s="41"/>
      <c r="J106" s="11"/>
      <c r="K106" s="11"/>
      <c r="L106" s="11"/>
      <c r="M106" s="11"/>
      <c r="N106" s="11"/>
      <c r="O106" s="11"/>
      <c r="P106" s="11"/>
      <c r="Q106" s="41"/>
      <c r="R106" s="11"/>
      <c r="S106" s="11"/>
      <c r="T106" s="11"/>
      <c r="U106" s="11"/>
      <c r="V106" s="11"/>
      <c r="W106" s="11"/>
      <c r="X106" s="11"/>
      <c r="Y106" s="4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40"/>
      <c r="CQ106" s="40"/>
      <c r="CR106" s="40"/>
      <c r="CS106" s="40"/>
      <c r="CT106" s="40"/>
      <c r="CU106" s="40"/>
      <c r="CV106" s="40"/>
      <c r="CW106" s="40"/>
      <c r="CX106" s="40"/>
      <c r="CY106" s="40"/>
      <c r="CZ106" s="40"/>
      <c r="DA106" s="11"/>
      <c r="DB106" s="11"/>
      <c r="DC106" s="11"/>
      <c r="DD106" s="11"/>
      <c r="DE106" s="11"/>
      <c r="DF106" s="11"/>
      <c r="DG106" s="11"/>
    </row>
    <row r="107" ht="15.75" customHeight="1">
      <c r="A107" s="41"/>
      <c r="B107" s="11"/>
      <c r="C107" s="11"/>
      <c r="D107" s="11"/>
      <c r="E107" s="11"/>
      <c r="F107" s="11"/>
      <c r="G107" s="11"/>
      <c r="H107" s="11"/>
      <c r="I107" s="41"/>
      <c r="J107" s="11"/>
      <c r="K107" s="11"/>
      <c r="L107" s="11"/>
      <c r="M107" s="11"/>
      <c r="N107" s="11"/>
      <c r="O107" s="11"/>
      <c r="P107" s="11"/>
      <c r="Q107" s="41"/>
      <c r="R107" s="11"/>
      <c r="S107" s="11"/>
      <c r="T107" s="11"/>
      <c r="U107" s="11"/>
      <c r="V107" s="11"/>
      <c r="W107" s="11"/>
      <c r="X107" s="11"/>
      <c r="Y107" s="4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40"/>
      <c r="CQ107" s="40"/>
      <c r="CR107" s="40"/>
      <c r="CS107" s="40"/>
      <c r="CT107" s="40"/>
      <c r="CU107" s="40"/>
      <c r="CV107" s="40"/>
      <c r="CW107" s="40"/>
      <c r="CX107" s="40"/>
      <c r="CY107" s="40"/>
      <c r="CZ107" s="40"/>
      <c r="DA107" s="11"/>
      <c r="DB107" s="11"/>
      <c r="DC107" s="11"/>
      <c r="DD107" s="11"/>
      <c r="DE107" s="11"/>
      <c r="DF107" s="11"/>
      <c r="DG107" s="11"/>
    </row>
    <row r="108" ht="15.75" customHeight="1">
      <c r="A108" s="41"/>
      <c r="B108" s="11"/>
      <c r="C108" s="11"/>
      <c r="D108" s="11"/>
      <c r="E108" s="11"/>
      <c r="F108" s="11"/>
      <c r="G108" s="11"/>
      <c r="H108" s="11"/>
      <c r="I108" s="41"/>
      <c r="J108" s="11"/>
      <c r="K108" s="11"/>
      <c r="L108" s="11"/>
      <c r="M108" s="11"/>
      <c r="N108" s="11"/>
      <c r="O108" s="11"/>
      <c r="P108" s="11"/>
      <c r="Q108" s="41"/>
      <c r="R108" s="11"/>
      <c r="S108" s="11"/>
      <c r="T108" s="11"/>
      <c r="U108" s="11"/>
      <c r="V108" s="11"/>
      <c r="W108" s="11"/>
      <c r="X108" s="11"/>
      <c r="Y108" s="4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40"/>
      <c r="CQ108" s="40"/>
      <c r="CR108" s="40"/>
      <c r="CS108" s="40"/>
      <c r="CT108" s="40"/>
      <c r="CU108" s="40"/>
      <c r="CV108" s="40"/>
      <c r="CW108" s="40"/>
      <c r="CX108" s="40"/>
      <c r="CY108" s="40"/>
      <c r="CZ108" s="40"/>
      <c r="DA108" s="11"/>
      <c r="DB108" s="11"/>
      <c r="DC108" s="11"/>
      <c r="DD108" s="11"/>
      <c r="DE108" s="11"/>
      <c r="DF108" s="11"/>
      <c r="DG108" s="11"/>
    </row>
    <row r="109" ht="15.75" customHeight="1">
      <c r="A109" s="41"/>
      <c r="B109" s="11"/>
      <c r="C109" s="11"/>
      <c r="D109" s="11"/>
      <c r="E109" s="11"/>
      <c r="F109" s="11"/>
      <c r="G109" s="11"/>
      <c r="H109" s="11"/>
      <c r="I109" s="41"/>
      <c r="J109" s="11"/>
      <c r="K109" s="11"/>
      <c r="L109" s="11"/>
      <c r="M109" s="11"/>
      <c r="N109" s="11"/>
      <c r="O109" s="11"/>
      <c r="P109" s="11"/>
      <c r="Q109" s="41"/>
      <c r="R109" s="11"/>
      <c r="S109" s="11"/>
      <c r="T109" s="11"/>
      <c r="U109" s="11"/>
      <c r="V109" s="11"/>
      <c r="W109" s="11"/>
      <c r="X109" s="11"/>
      <c r="Y109" s="4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40"/>
      <c r="CQ109" s="40"/>
      <c r="CR109" s="40"/>
      <c r="CS109" s="40"/>
      <c r="CT109" s="40"/>
      <c r="CU109" s="40"/>
      <c r="CV109" s="40"/>
      <c r="CW109" s="40"/>
      <c r="CX109" s="40"/>
      <c r="CY109" s="40"/>
      <c r="CZ109" s="40"/>
      <c r="DA109" s="11"/>
      <c r="DB109" s="11"/>
      <c r="DC109" s="11"/>
      <c r="DD109" s="11"/>
      <c r="DE109" s="11"/>
      <c r="DF109" s="11"/>
      <c r="DG109" s="11"/>
    </row>
    <row r="110" ht="15.75" customHeight="1">
      <c r="A110" s="41"/>
      <c r="B110" s="11"/>
      <c r="C110" s="11"/>
      <c r="D110" s="11"/>
      <c r="E110" s="11"/>
      <c r="F110" s="11"/>
      <c r="G110" s="11"/>
      <c r="H110" s="11"/>
      <c r="I110" s="41"/>
      <c r="J110" s="11"/>
      <c r="K110" s="11"/>
      <c r="L110" s="11"/>
      <c r="M110" s="11"/>
      <c r="N110" s="11"/>
      <c r="O110" s="11"/>
      <c r="P110" s="11"/>
      <c r="Q110" s="41"/>
      <c r="R110" s="11"/>
      <c r="S110" s="11"/>
      <c r="T110" s="11"/>
      <c r="U110" s="11"/>
      <c r="V110" s="11"/>
      <c r="W110" s="11"/>
      <c r="X110" s="11"/>
      <c r="Y110" s="4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40"/>
      <c r="CQ110" s="40"/>
      <c r="CR110" s="40"/>
      <c r="CS110" s="40"/>
      <c r="CT110" s="40"/>
      <c r="CU110" s="40"/>
      <c r="CV110" s="40"/>
      <c r="CW110" s="40"/>
      <c r="CX110" s="40"/>
      <c r="CY110" s="40"/>
      <c r="CZ110" s="40"/>
      <c r="DA110" s="11"/>
      <c r="DB110" s="11"/>
      <c r="DC110" s="11"/>
      <c r="DD110" s="11"/>
      <c r="DE110" s="11"/>
      <c r="DF110" s="11"/>
      <c r="DG110" s="11"/>
    </row>
    <row r="111" ht="15.75" customHeight="1">
      <c r="A111" s="41"/>
      <c r="B111" s="11"/>
      <c r="C111" s="11"/>
      <c r="D111" s="11"/>
      <c r="E111" s="11"/>
      <c r="F111" s="11"/>
      <c r="G111" s="11"/>
      <c r="H111" s="11"/>
      <c r="I111" s="41"/>
      <c r="J111" s="11"/>
      <c r="K111" s="11"/>
      <c r="L111" s="11"/>
      <c r="M111" s="11"/>
      <c r="N111" s="11"/>
      <c r="O111" s="11"/>
      <c r="P111" s="11"/>
      <c r="Q111" s="41"/>
      <c r="R111" s="11"/>
      <c r="S111" s="11"/>
      <c r="T111" s="11"/>
      <c r="U111" s="11"/>
      <c r="V111" s="11"/>
      <c r="W111" s="11"/>
      <c r="X111" s="11"/>
      <c r="Y111" s="4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40"/>
      <c r="CQ111" s="40"/>
      <c r="CR111" s="40"/>
      <c r="CS111" s="40"/>
      <c r="CT111" s="40"/>
      <c r="CU111" s="40"/>
      <c r="CV111" s="40"/>
      <c r="CW111" s="40"/>
      <c r="CX111" s="40"/>
      <c r="CY111" s="40"/>
      <c r="CZ111" s="40"/>
      <c r="DA111" s="11"/>
      <c r="DB111" s="11"/>
      <c r="DC111" s="11"/>
      <c r="DD111" s="11"/>
      <c r="DE111" s="11"/>
      <c r="DF111" s="11"/>
      <c r="DG111" s="11"/>
    </row>
    <row r="112" ht="15.75" customHeight="1">
      <c r="A112" s="41"/>
      <c r="B112" s="11"/>
      <c r="C112" s="11"/>
      <c r="D112" s="11"/>
      <c r="E112" s="11"/>
      <c r="F112" s="11"/>
      <c r="G112" s="11"/>
      <c r="H112" s="11"/>
      <c r="I112" s="41"/>
      <c r="J112" s="11"/>
      <c r="K112" s="11"/>
      <c r="L112" s="11"/>
      <c r="M112" s="11"/>
      <c r="N112" s="11"/>
      <c r="O112" s="11"/>
      <c r="P112" s="11"/>
      <c r="Q112" s="41"/>
      <c r="R112" s="11"/>
      <c r="S112" s="11"/>
      <c r="T112" s="11"/>
      <c r="U112" s="11"/>
      <c r="V112" s="11"/>
      <c r="W112" s="11"/>
      <c r="X112" s="11"/>
      <c r="Y112" s="4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40"/>
      <c r="CQ112" s="40"/>
      <c r="CR112" s="40"/>
      <c r="CS112" s="40"/>
      <c r="CT112" s="40"/>
      <c r="CU112" s="40"/>
      <c r="CV112" s="40"/>
      <c r="CW112" s="40"/>
      <c r="CX112" s="40"/>
      <c r="CY112" s="40"/>
      <c r="CZ112" s="40"/>
      <c r="DA112" s="11"/>
      <c r="DB112" s="11"/>
      <c r="DC112" s="11"/>
      <c r="DD112" s="11"/>
      <c r="DE112" s="11"/>
      <c r="DF112" s="11"/>
      <c r="DG112" s="11"/>
    </row>
    <row r="113" ht="15.75" customHeight="1">
      <c r="A113" s="41"/>
      <c r="B113" s="11"/>
      <c r="C113" s="11"/>
      <c r="D113" s="11"/>
      <c r="E113" s="11"/>
      <c r="F113" s="11"/>
      <c r="G113" s="11"/>
      <c r="H113" s="11"/>
      <c r="I113" s="41"/>
      <c r="J113" s="11"/>
      <c r="K113" s="11"/>
      <c r="L113" s="11"/>
      <c r="M113" s="11"/>
      <c r="N113" s="11"/>
      <c r="O113" s="11"/>
      <c r="P113" s="11"/>
      <c r="Q113" s="41"/>
      <c r="R113" s="11"/>
      <c r="S113" s="11"/>
      <c r="T113" s="11"/>
      <c r="U113" s="11"/>
      <c r="V113" s="11"/>
      <c r="W113" s="11"/>
      <c r="X113" s="11"/>
      <c r="Y113" s="4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40"/>
      <c r="CQ113" s="40"/>
      <c r="CR113" s="40"/>
      <c r="CS113" s="40"/>
      <c r="CT113" s="40"/>
      <c r="CU113" s="40"/>
      <c r="CV113" s="40"/>
      <c r="CW113" s="40"/>
      <c r="CX113" s="40"/>
      <c r="CY113" s="40"/>
      <c r="CZ113" s="40"/>
      <c r="DA113" s="11"/>
      <c r="DB113" s="11"/>
      <c r="DC113" s="11"/>
      <c r="DD113" s="11"/>
      <c r="DE113" s="11"/>
      <c r="DF113" s="11"/>
      <c r="DG113" s="11"/>
    </row>
    <row r="114" ht="15.75" customHeight="1">
      <c r="A114" s="41"/>
      <c r="B114" s="11"/>
      <c r="C114" s="11"/>
      <c r="D114" s="11"/>
      <c r="E114" s="11"/>
      <c r="F114" s="11"/>
      <c r="G114" s="11"/>
      <c r="H114" s="11"/>
      <c r="I114" s="41"/>
      <c r="J114" s="11"/>
      <c r="K114" s="11"/>
      <c r="L114" s="11"/>
      <c r="M114" s="11"/>
      <c r="N114" s="11"/>
      <c r="O114" s="11"/>
      <c r="P114" s="11"/>
      <c r="Q114" s="41"/>
      <c r="R114" s="11"/>
      <c r="S114" s="11"/>
      <c r="T114" s="11"/>
      <c r="U114" s="11"/>
      <c r="V114" s="11"/>
      <c r="W114" s="11"/>
      <c r="X114" s="11"/>
      <c r="Y114" s="4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40"/>
      <c r="DA114" s="11"/>
      <c r="DB114" s="11"/>
      <c r="DC114" s="11"/>
      <c r="DD114" s="11"/>
      <c r="DE114" s="11"/>
      <c r="DF114" s="11"/>
      <c r="DG114" s="11"/>
    </row>
    <row r="115" ht="15.75" customHeight="1">
      <c r="A115" s="41"/>
      <c r="B115" s="11"/>
      <c r="C115" s="11"/>
      <c r="D115" s="11"/>
      <c r="E115" s="11"/>
      <c r="F115" s="11"/>
      <c r="G115" s="11"/>
      <c r="H115" s="11"/>
      <c r="I115" s="41"/>
      <c r="J115" s="11"/>
      <c r="K115" s="11"/>
      <c r="L115" s="11"/>
      <c r="M115" s="11"/>
      <c r="N115" s="11"/>
      <c r="O115" s="11"/>
      <c r="P115" s="11"/>
      <c r="Q115" s="41"/>
      <c r="R115" s="11"/>
      <c r="S115" s="11"/>
      <c r="T115" s="11"/>
      <c r="U115" s="11"/>
      <c r="V115" s="11"/>
      <c r="W115" s="11"/>
      <c r="X115" s="11"/>
      <c r="Y115" s="4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11"/>
      <c r="DB115" s="11"/>
      <c r="DC115" s="11"/>
      <c r="DD115" s="11"/>
      <c r="DE115" s="11"/>
      <c r="DF115" s="11"/>
      <c r="DG115" s="11"/>
    </row>
    <row r="116" ht="15.75" customHeight="1">
      <c r="A116" s="41"/>
      <c r="B116" s="11"/>
      <c r="C116" s="11"/>
      <c r="D116" s="11"/>
      <c r="E116" s="11"/>
      <c r="F116" s="11"/>
      <c r="G116" s="11"/>
      <c r="H116" s="11"/>
      <c r="I116" s="41"/>
      <c r="J116" s="11"/>
      <c r="K116" s="11"/>
      <c r="L116" s="11"/>
      <c r="M116" s="11"/>
      <c r="N116" s="11"/>
      <c r="O116" s="11"/>
      <c r="P116" s="11"/>
      <c r="Q116" s="41"/>
      <c r="R116" s="11"/>
      <c r="S116" s="11"/>
      <c r="T116" s="11"/>
      <c r="U116" s="11"/>
      <c r="V116" s="11"/>
      <c r="W116" s="11"/>
      <c r="X116" s="11"/>
      <c r="Y116" s="4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11"/>
      <c r="DB116" s="11"/>
      <c r="DC116" s="11"/>
      <c r="DD116" s="11"/>
      <c r="DE116" s="11"/>
      <c r="DF116" s="11"/>
      <c r="DG116" s="11"/>
    </row>
    <row r="117" ht="15.75" customHeight="1">
      <c r="A117" s="41"/>
      <c r="B117" s="11"/>
      <c r="C117" s="11"/>
      <c r="D117" s="11"/>
      <c r="E117" s="11"/>
      <c r="F117" s="11"/>
      <c r="G117" s="11"/>
      <c r="H117" s="11"/>
      <c r="I117" s="41"/>
      <c r="J117" s="11"/>
      <c r="K117" s="11"/>
      <c r="L117" s="11"/>
      <c r="M117" s="11"/>
      <c r="N117" s="11"/>
      <c r="O117" s="11"/>
      <c r="P117" s="11"/>
      <c r="Q117" s="41"/>
      <c r="R117" s="11"/>
      <c r="S117" s="11"/>
      <c r="T117" s="11"/>
      <c r="U117" s="11"/>
      <c r="V117" s="11"/>
      <c r="W117" s="11"/>
      <c r="X117" s="11"/>
      <c r="Y117" s="4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11"/>
      <c r="DB117" s="11"/>
      <c r="DC117" s="11"/>
      <c r="DD117" s="11"/>
      <c r="DE117" s="11"/>
      <c r="DF117" s="11"/>
      <c r="DG117" s="11"/>
    </row>
    <row r="118" ht="15.75" customHeight="1">
      <c r="A118" s="41"/>
      <c r="B118" s="11"/>
      <c r="C118" s="11"/>
      <c r="D118" s="11"/>
      <c r="E118" s="11"/>
      <c r="F118" s="11"/>
      <c r="G118" s="11"/>
      <c r="H118" s="11"/>
      <c r="I118" s="41"/>
      <c r="J118" s="11"/>
      <c r="K118" s="11"/>
      <c r="L118" s="11"/>
      <c r="M118" s="11"/>
      <c r="N118" s="11"/>
      <c r="O118" s="11"/>
      <c r="P118" s="11"/>
      <c r="Q118" s="41"/>
      <c r="R118" s="11"/>
      <c r="S118" s="11"/>
      <c r="T118" s="11"/>
      <c r="U118" s="11"/>
      <c r="V118" s="11"/>
      <c r="W118" s="11"/>
      <c r="X118" s="11"/>
      <c r="Y118" s="4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11"/>
      <c r="DB118" s="11"/>
      <c r="DC118" s="11"/>
      <c r="DD118" s="11"/>
      <c r="DE118" s="11"/>
      <c r="DF118" s="11"/>
      <c r="DG118" s="11"/>
    </row>
    <row r="119" ht="15.75" customHeight="1">
      <c r="A119" s="41"/>
      <c r="B119" s="11"/>
      <c r="C119" s="11"/>
      <c r="D119" s="11"/>
      <c r="E119" s="11"/>
      <c r="F119" s="11"/>
      <c r="G119" s="11"/>
      <c r="H119" s="11"/>
      <c r="I119" s="41"/>
      <c r="J119" s="11"/>
      <c r="K119" s="11"/>
      <c r="L119" s="11"/>
      <c r="M119" s="11"/>
      <c r="N119" s="11"/>
      <c r="O119" s="11"/>
      <c r="P119" s="11"/>
      <c r="Q119" s="41"/>
      <c r="R119" s="11"/>
      <c r="S119" s="11"/>
      <c r="T119" s="11"/>
      <c r="U119" s="11"/>
      <c r="V119" s="11"/>
      <c r="W119" s="11"/>
      <c r="X119" s="11"/>
      <c r="Y119" s="4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11"/>
      <c r="DB119" s="11"/>
      <c r="DC119" s="11"/>
      <c r="DD119" s="11"/>
      <c r="DE119" s="11"/>
      <c r="DF119" s="11"/>
      <c r="DG119" s="11"/>
    </row>
    <row r="120" ht="15.75" customHeight="1">
      <c r="A120" s="41"/>
      <c r="B120" s="11"/>
      <c r="C120" s="11"/>
      <c r="D120" s="11"/>
      <c r="E120" s="11"/>
      <c r="F120" s="11"/>
      <c r="G120" s="11"/>
      <c r="H120" s="11"/>
      <c r="I120" s="41"/>
      <c r="J120" s="11"/>
      <c r="K120" s="11"/>
      <c r="L120" s="11"/>
      <c r="M120" s="11"/>
      <c r="N120" s="11"/>
      <c r="O120" s="11"/>
      <c r="P120" s="11"/>
      <c r="Q120" s="41"/>
      <c r="R120" s="11"/>
      <c r="S120" s="11"/>
      <c r="T120" s="11"/>
      <c r="U120" s="11"/>
      <c r="V120" s="11"/>
      <c r="W120" s="11"/>
      <c r="X120" s="11"/>
      <c r="Y120" s="4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11"/>
      <c r="DB120" s="11"/>
      <c r="DC120" s="11"/>
      <c r="DD120" s="11"/>
      <c r="DE120" s="11"/>
      <c r="DF120" s="11"/>
      <c r="DG120" s="11"/>
    </row>
    <row r="121" ht="15.75" customHeight="1">
      <c r="A121" s="41"/>
      <c r="B121" s="11"/>
      <c r="C121" s="11"/>
      <c r="D121" s="11"/>
      <c r="E121" s="11"/>
      <c r="F121" s="11"/>
      <c r="G121" s="11"/>
      <c r="H121" s="11"/>
      <c r="I121" s="41"/>
      <c r="J121" s="11"/>
      <c r="K121" s="11"/>
      <c r="L121" s="11"/>
      <c r="M121" s="11"/>
      <c r="N121" s="11"/>
      <c r="O121" s="11"/>
      <c r="P121" s="11"/>
      <c r="Q121" s="41"/>
      <c r="R121" s="11"/>
      <c r="S121" s="11"/>
      <c r="T121" s="11"/>
      <c r="U121" s="11"/>
      <c r="V121" s="11"/>
      <c r="W121" s="11"/>
      <c r="X121" s="11"/>
      <c r="Y121" s="4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11"/>
      <c r="DB121" s="11"/>
      <c r="DC121" s="11"/>
      <c r="DD121" s="11"/>
      <c r="DE121" s="11"/>
      <c r="DF121" s="11"/>
      <c r="DG121" s="11"/>
    </row>
    <row r="122" ht="15.75" customHeight="1">
      <c r="A122" s="41"/>
      <c r="B122" s="11"/>
      <c r="C122" s="11"/>
      <c r="D122" s="11"/>
      <c r="E122" s="11"/>
      <c r="F122" s="11"/>
      <c r="G122" s="11"/>
      <c r="H122" s="11"/>
      <c r="I122" s="41"/>
      <c r="J122" s="11"/>
      <c r="K122" s="11"/>
      <c r="L122" s="11"/>
      <c r="M122" s="11"/>
      <c r="N122" s="11"/>
      <c r="O122" s="11"/>
      <c r="P122" s="11"/>
      <c r="Q122" s="41"/>
      <c r="R122" s="11"/>
      <c r="S122" s="11"/>
      <c r="T122" s="11"/>
      <c r="U122" s="11"/>
      <c r="V122" s="11"/>
      <c r="W122" s="11"/>
      <c r="X122" s="11"/>
      <c r="Y122" s="4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11"/>
      <c r="DB122" s="11"/>
      <c r="DC122" s="11"/>
      <c r="DD122" s="11"/>
      <c r="DE122" s="11"/>
      <c r="DF122" s="11"/>
      <c r="DG122" s="11"/>
    </row>
    <row r="123" ht="15.75" customHeight="1">
      <c r="A123" s="41"/>
      <c r="B123" s="11"/>
      <c r="C123" s="11"/>
      <c r="D123" s="11"/>
      <c r="E123" s="11"/>
      <c r="F123" s="11"/>
      <c r="G123" s="11"/>
      <c r="H123" s="11"/>
      <c r="I123" s="41"/>
      <c r="J123" s="11"/>
      <c r="K123" s="11"/>
      <c r="L123" s="11"/>
      <c r="M123" s="11"/>
      <c r="N123" s="11"/>
      <c r="O123" s="11"/>
      <c r="P123" s="11"/>
      <c r="Q123" s="41"/>
      <c r="R123" s="11"/>
      <c r="S123" s="11"/>
      <c r="T123" s="11"/>
      <c r="U123" s="11"/>
      <c r="V123" s="11"/>
      <c r="W123" s="11"/>
      <c r="X123" s="11"/>
      <c r="Y123" s="4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11"/>
      <c r="DB123" s="11"/>
      <c r="DC123" s="11"/>
      <c r="DD123" s="11"/>
      <c r="DE123" s="11"/>
      <c r="DF123" s="11"/>
      <c r="DG123" s="11"/>
    </row>
    <row r="124" ht="15.75" customHeight="1">
      <c r="A124" s="41"/>
      <c r="B124" s="11"/>
      <c r="C124" s="11"/>
      <c r="D124" s="11"/>
      <c r="E124" s="11"/>
      <c r="F124" s="11"/>
      <c r="G124" s="11"/>
      <c r="H124" s="11"/>
      <c r="I124" s="41"/>
      <c r="J124" s="11"/>
      <c r="K124" s="11"/>
      <c r="L124" s="11"/>
      <c r="M124" s="11"/>
      <c r="N124" s="11"/>
      <c r="O124" s="11"/>
      <c r="P124" s="11"/>
      <c r="Q124" s="41"/>
      <c r="R124" s="11"/>
      <c r="S124" s="11"/>
      <c r="T124" s="11"/>
      <c r="U124" s="11"/>
      <c r="V124" s="11"/>
      <c r="W124" s="11"/>
      <c r="X124" s="11"/>
      <c r="Y124" s="4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11"/>
      <c r="DB124" s="11"/>
      <c r="DC124" s="11"/>
      <c r="DD124" s="11"/>
      <c r="DE124" s="11"/>
      <c r="DF124" s="11"/>
      <c r="DG124" s="11"/>
    </row>
    <row r="125" ht="15.75" customHeight="1">
      <c r="A125" s="41"/>
      <c r="B125" s="11"/>
      <c r="C125" s="11"/>
      <c r="D125" s="11"/>
      <c r="E125" s="11"/>
      <c r="F125" s="11"/>
      <c r="G125" s="11"/>
      <c r="H125" s="11"/>
      <c r="I125" s="41"/>
      <c r="J125" s="11"/>
      <c r="K125" s="11"/>
      <c r="L125" s="11"/>
      <c r="M125" s="11"/>
      <c r="N125" s="11"/>
      <c r="O125" s="11"/>
      <c r="P125" s="11"/>
      <c r="Q125" s="41"/>
      <c r="R125" s="11"/>
      <c r="S125" s="11"/>
      <c r="T125" s="11"/>
      <c r="U125" s="11"/>
      <c r="V125" s="11"/>
      <c r="W125" s="11"/>
      <c r="X125" s="11"/>
      <c r="Y125" s="4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11"/>
      <c r="DB125" s="11"/>
      <c r="DC125" s="11"/>
      <c r="DD125" s="11"/>
      <c r="DE125" s="11"/>
      <c r="DF125" s="11"/>
      <c r="DG125" s="11"/>
    </row>
    <row r="126" ht="15.75" customHeight="1">
      <c r="A126" s="41"/>
      <c r="B126" s="11"/>
      <c r="C126" s="11"/>
      <c r="D126" s="11"/>
      <c r="E126" s="11"/>
      <c r="F126" s="11"/>
      <c r="G126" s="11"/>
      <c r="H126" s="11"/>
      <c r="I126" s="41"/>
      <c r="J126" s="11"/>
      <c r="K126" s="11"/>
      <c r="L126" s="11"/>
      <c r="M126" s="11"/>
      <c r="N126" s="11"/>
      <c r="O126" s="11"/>
      <c r="P126" s="11"/>
      <c r="Q126" s="41"/>
      <c r="R126" s="11"/>
      <c r="S126" s="11"/>
      <c r="T126" s="11"/>
      <c r="U126" s="11"/>
      <c r="V126" s="11"/>
      <c r="W126" s="11"/>
      <c r="X126" s="11"/>
      <c r="Y126" s="4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11"/>
      <c r="DB126" s="11"/>
      <c r="DC126" s="11"/>
      <c r="DD126" s="11"/>
      <c r="DE126" s="11"/>
      <c r="DF126" s="11"/>
      <c r="DG126" s="11"/>
    </row>
    <row r="127" ht="15.75" customHeight="1">
      <c r="A127" s="41"/>
      <c r="B127" s="11"/>
      <c r="C127" s="11"/>
      <c r="D127" s="11"/>
      <c r="E127" s="11"/>
      <c r="F127" s="11"/>
      <c r="G127" s="11"/>
      <c r="H127" s="11"/>
      <c r="I127" s="41"/>
      <c r="J127" s="11"/>
      <c r="K127" s="11"/>
      <c r="L127" s="11"/>
      <c r="M127" s="11"/>
      <c r="N127" s="11"/>
      <c r="O127" s="11"/>
      <c r="P127" s="11"/>
      <c r="Q127" s="41"/>
      <c r="R127" s="11"/>
      <c r="S127" s="11"/>
      <c r="T127" s="11"/>
      <c r="U127" s="11"/>
      <c r="V127" s="11"/>
      <c r="W127" s="11"/>
      <c r="X127" s="11"/>
      <c r="Y127" s="4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11"/>
      <c r="DB127" s="11"/>
      <c r="DC127" s="11"/>
      <c r="DD127" s="11"/>
      <c r="DE127" s="11"/>
      <c r="DF127" s="11"/>
      <c r="DG127" s="11"/>
    </row>
    <row r="128" ht="15.75" customHeight="1">
      <c r="A128" s="41"/>
      <c r="B128" s="11"/>
      <c r="C128" s="11"/>
      <c r="D128" s="11"/>
      <c r="E128" s="11"/>
      <c r="F128" s="11"/>
      <c r="G128" s="11"/>
      <c r="H128" s="11"/>
      <c r="I128" s="41"/>
      <c r="J128" s="11"/>
      <c r="K128" s="11"/>
      <c r="L128" s="11"/>
      <c r="M128" s="11"/>
      <c r="N128" s="11"/>
      <c r="O128" s="11"/>
      <c r="P128" s="11"/>
      <c r="Q128" s="41"/>
      <c r="R128" s="11"/>
      <c r="S128" s="11"/>
      <c r="T128" s="11"/>
      <c r="U128" s="11"/>
      <c r="V128" s="11"/>
      <c r="W128" s="11"/>
      <c r="X128" s="11"/>
      <c r="Y128" s="4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11"/>
      <c r="DB128" s="11"/>
      <c r="DC128" s="11"/>
      <c r="DD128" s="11"/>
      <c r="DE128" s="11"/>
      <c r="DF128" s="11"/>
      <c r="DG128" s="11"/>
    </row>
    <row r="129" ht="15.75" customHeight="1">
      <c r="A129" s="41"/>
      <c r="B129" s="11"/>
      <c r="C129" s="11"/>
      <c r="D129" s="11"/>
      <c r="E129" s="11"/>
      <c r="F129" s="11"/>
      <c r="G129" s="11"/>
      <c r="H129" s="11"/>
      <c r="I129" s="41"/>
      <c r="J129" s="11"/>
      <c r="K129" s="11"/>
      <c r="L129" s="11"/>
      <c r="M129" s="11"/>
      <c r="N129" s="11"/>
      <c r="O129" s="11"/>
      <c r="P129" s="11"/>
      <c r="Q129" s="41"/>
      <c r="R129" s="11"/>
      <c r="S129" s="11"/>
      <c r="T129" s="11"/>
      <c r="U129" s="11"/>
      <c r="V129" s="11"/>
      <c r="W129" s="11"/>
      <c r="X129" s="11"/>
      <c r="Y129" s="4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11"/>
      <c r="DB129" s="11"/>
      <c r="DC129" s="11"/>
      <c r="DD129" s="11"/>
      <c r="DE129" s="11"/>
      <c r="DF129" s="11"/>
      <c r="DG129" s="11"/>
    </row>
    <row r="130" ht="15.75" customHeight="1">
      <c r="A130" s="41"/>
      <c r="B130" s="11"/>
      <c r="C130" s="11"/>
      <c r="D130" s="11"/>
      <c r="E130" s="11"/>
      <c r="F130" s="11"/>
      <c r="G130" s="11"/>
      <c r="H130" s="11"/>
      <c r="I130" s="41"/>
      <c r="J130" s="11"/>
      <c r="K130" s="11"/>
      <c r="L130" s="11"/>
      <c r="M130" s="11"/>
      <c r="N130" s="11"/>
      <c r="O130" s="11"/>
      <c r="P130" s="11"/>
      <c r="Q130" s="41"/>
      <c r="R130" s="11"/>
      <c r="S130" s="11"/>
      <c r="T130" s="11"/>
      <c r="U130" s="11"/>
      <c r="V130" s="11"/>
      <c r="W130" s="11"/>
      <c r="X130" s="11"/>
      <c r="Y130" s="4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11"/>
      <c r="DB130" s="11"/>
      <c r="DC130" s="11"/>
      <c r="DD130" s="11"/>
      <c r="DE130" s="11"/>
      <c r="DF130" s="11"/>
      <c r="DG130" s="11"/>
    </row>
    <row r="131" ht="15.75" customHeight="1">
      <c r="A131" s="41"/>
      <c r="B131" s="11"/>
      <c r="C131" s="11"/>
      <c r="D131" s="11"/>
      <c r="E131" s="11"/>
      <c r="F131" s="11"/>
      <c r="G131" s="11"/>
      <c r="H131" s="11"/>
      <c r="I131" s="41"/>
      <c r="J131" s="11"/>
      <c r="K131" s="11"/>
      <c r="L131" s="11"/>
      <c r="M131" s="11"/>
      <c r="N131" s="11"/>
      <c r="O131" s="11"/>
      <c r="P131" s="11"/>
      <c r="Q131" s="41"/>
      <c r="R131" s="11"/>
      <c r="S131" s="11"/>
      <c r="T131" s="11"/>
      <c r="U131" s="11"/>
      <c r="V131" s="11"/>
      <c r="W131" s="11"/>
      <c r="X131" s="11"/>
      <c r="Y131" s="4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11"/>
      <c r="DB131" s="11"/>
      <c r="DC131" s="11"/>
      <c r="DD131" s="11"/>
      <c r="DE131" s="11"/>
      <c r="DF131" s="11"/>
      <c r="DG131" s="11"/>
    </row>
    <row r="132" ht="15.75" customHeight="1">
      <c r="A132" s="41"/>
      <c r="B132" s="11"/>
      <c r="C132" s="11"/>
      <c r="D132" s="11"/>
      <c r="E132" s="11"/>
      <c r="F132" s="11"/>
      <c r="G132" s="11"/>
      <c r="H132" s="11"/>
      <c r="I132" s="41"/>
      <c r="J132" s="11"/>
      <c r="K132" s="11"/>
      <c r="L132" s="11"/>
      <c r="M132" s="11"/>
      <c r="N132" s="11"/>
      <c r="O132" s="11"/>
      <c r="P132" s="11"/>
      <c r="Q132" s="41"/>
      <c r="R132" s="11"/>
      <c r="S132" s="11"/>
      <c r="T132" s="11"/>
      <c r="U132" s="11"/>
      <c r="V132" s="11"/>
      <c r="W132" s="11"/>
      <c r="X132" s="11"/>
      <c r="Y132" s="4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40"/>
      <c r="DA132" s="11"/>
      <c r="DB132" s="11"/>
      <c r="DC132" s="11"/>
      <c r="DD132" s="11"/>
      <c r="DE132" s="11"/>
      <c r="DF132" s="11"/>
      <c r="DG132" s="11"/>
    </row>
    <row r="133" ht="15.75" customHeight="1">
      <c r="A133" s="41"/>
      <c r="B133" s="11"/>
      <c r="C133" s="11"/>
      <c r="D133" s="11"/>
      <c r="E133" s="11"/>
      <c r="F133" s="11"/>
      <c r="G133" s="11"/>
      <c r="H133" s="11"/>
      <c r="I133" s="41"/>
      <c r="J133" s="11"/>
      <c r="K133" s="11"/>
      <c r="L133" s="11"/>
      <c r="M133" s="11"/>
      <c r="N133" s="11"/>
      <c r="O133" s="11"/>
      <c r="P133" s="11"/>
      <c r="Q133" s="41"/>
      <c r="R133" s="11"/>
      <c r="S133" s="11"/>
      <c r="T133" s="11"/>
      <c r="U133" s="11"/>
      <c r="V133" s="11"/>
      <c r="W133" s="11"/>
      <c r="X133" s="11"/>
      <c r="Y133" s="4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11"/>
      <c r="DB133" s="11"/>
      <c r="DC133" s="11"/>
      <c r="DD133" s="11"/>
      <c r="DE133" s="11"/>
      <c r="DF133" s="11"/>
      <c r="DG133" s="11"/>
    </row>
    <row r="134" ht="15.75" customHeight="1">
      <c r="A134" s="41"/>
      <c r="B134" s="11"/>
      <c r="C134" s="11"/>
      <c r="D134" s="11"/>
      <c r="E134" s="11"/>
      <c r="F134" s="11"/>
      <c r="G134" s="11"/>
      <c r="H134" s="11"/>
      <c r="I134" s="41"/>
      <c r="J134" s="11"/>
      <c r="K134" s="11"/>
      <c r="L134" s="11"/>
      <c r="M134" s="11"/>
      <c r="N134" s="11"/>
      <c r="O134" s="11"/>
      <c r="P134" s="11"/>
      <c r="Q134" s="41"/>
      <c r="R134" s="11"/>
      <c r="S134" s="11"/>
      <c r="T134" s="11"/>
      <c r="U134" s="11"/>
      <c r="V134" s="11"/>
      <c r="W134" s="11"/>
      <c r="X134" s="11"/>
      <c r="Y134" s="4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40"/>
      <c r="CQ134" s="40"/>
      <c r="CR134" s="40"/>
      <c r="CS134" s="40"/>
      <c r="CT134" s="40"/>
      <c r="CU134" s="40"/>
      <c r="CV134" s="40"/>
      <c r="CW134" s="40"/>
      <c r="CX134" s="40"/>
      <c r="CY134" s="40"/>
      <c r="CZ134" s="40"/>
      <c r="DA134" s="11"/>
      <c r="DB134" s="11"/>
      <c r="DC134" s="11"/>
      <c r="DD134" s="11"/>
      <c r="DE134" s="11"/>
      <c r="DF134" s="11"/>
      <c r="DG134" s="11"/>
    </row>
    <row r="135" ht="15.75" customHeight="1">
      <c r="A135" s="41"/>
      <c r="B135" s="11"/>
      <c r="C135" s="11"/>
      <c r="D135" s="11"/>
      <c r="E135" s="11"/>
      <c r="F135" s="11"/>
      <c r="G135" s="11"/>
      <c r="H135" s="11"/>
      <c r="I135" s="41"/>
      <c r="J135" s="11"/>
      <c r="K135" s="11"/>
      <c r="L135" s="11"/>
      <c r="M135" s="11"/>
      <c r="N135" s="11"/>
      <c r="O135" s="11"/>
      <c r="P135" s="11"/>
      <c r="Q135" s="41"/>
      <c r="R135" s="11"/>
      <c r="S135" s="11"/>
      <c r="T135" s="11"/>
      <c r="U135" s="11"/>
      <c r="V135" s="11"/>
      <c r="W135" s="11"/>
      <c r="X135" s="11"/>
      <c r="Y135" s="4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11"/>
      <c r="DB135" s="11"/>
      <c r="DC135" s="11"/>
      <c r="DD135" s="11"/>
      <c r="DE135" s="11"/>
      <c r="DF135" s="11"/>
      <c r="DG135" s="11"/>
    </row>
    <row r="136" ht="15.75" customHeight="1">
      <c r="A136" s="41"/>
      <c r="B136" s="11"/>
      <c r="C136" s="11"/>
      <c r="D136" s="11"/>
      <c r="E136" s="11"/>
      <c r="F136" s="11"/>
      <c r="G136" s="11"/>
      <c r="H136" s="11"/>
      <c r="I136" s="41"/>
      <c r="J136" s="11"/>
      <c r="K136" s="11"/>
      <c r="L136" s="11"/>
      <c r="M136" s="11"/>
      <c r="N136" s="11"/>
      <c r="O136" s="11"/>
      <c r="P136" s="11"/>
      <c r="Q136" s="41"/>
      <c r="R136" s="11"/>
      <c r="S136" s="11"/>
      <c r="T136" s="11"/>
      <c r="U136" s="11"/>
      <c r="V136" s="11"/>
      <c r="W136" s="11"/>
      <c r="X136" s="11"/>
      <c r="Y136" s="4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11"/>
      <c r="DB136" s="11"/>
      <c r="DC136" s="11"/>
      <c r="DD136" s="11"/>
      <c r="DE136" s="11"/>
      <c r="DF136" s="11"/>
      <c r="DG136" s="11"/>
    </row>
    <row r="137" ht="15.75" customHeight="1">
      <c r="A137" s="41"/>
      <c r="B137" s="11"/>
      <c r="C137" s="11"/>
      <c r="D137" s="11"/>
      <c r="E137" s="11"/>
      <c r="F137" s="11"/>
      <c r="G137" s="11"/>
      <c r="H137" s="11"/>
      <c r="I137" s="41"/>
      <c r="J137" s="11"/>
      <c r="K137" s="11"/>
      <c r="L137" s="11"/>
      <c r="M137" s="11"/>
      <c r="N137" s="11"/>
      <c r="O137" s="11"/>
      <c r="P137" s="11"/>
      <c r="Q137" s="41"/>
      <c r="R137" s="11"/>
      <c r="S137" s="11"/>
      <c r="T137" s="11"/>
      <c r="U137" s="11"/>
      <c r="V137" s="11"/>
      <c r="W137" s="11"/>
      <c r="X137" s="11"/>
      <c r="Y137" s="4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11"/>
      <c r="DB137" s="11"/>
      <c r="DC137" s="11"/>
      <c r="DD137" s="11"/>
      <c r="DE137" s="11"/>
      <c r="DF137" s="11"/>
      <c r="DG137" s="11"/>
    </row>
    <row r="138" ht="15.75" customHeight="1">
      <c r="A138" s="41"/>
      <c r="B138" s="11"/>
      <c r="C138" s="11"/>
      <c r="D138" s="11"/>
      <c r="E138" s="11"/>
      <c r="F138" s="11"/>
      <c r="G138" s="11"/>
      <c r="H138" s="11"/>
      <c r="I138" s="41"/>
      <c r="J138" s="11"/>
      <c r="K138" s="11"/>
      <c r="L138" s="11"/>
      <c r="M138" s="11"/>
      <c r="N138" s="11"/>
      <c r="O138" s="11"/>
      <c r="P138" s="11"/>
      <c r="Q138" s="41"/>
      <c r="R138" s="11"/>
      <c r="S138" s="11"/>
      <c r="T138" s="11"/>
      <c r="U138" s="11"/>
      <c r="V138" s="11"/>
      <c r="W138" s="11"/>
      <c r="X138" s="11"/>
      <c r="Y138" s="4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11"/>
      <c r="DB138" s="11"/>
      <c r="DC138" s="11"/>
      <c r="DD138" s="11"/>
      <c r="DE138" s="11"/>
      <c r="DF138" s="11"/>
      <c r="DG138" s="11"/>
    </row>
    <row r="139" ht="15.75" customHeight="1">
      <c r="A139" s="41"/>
      <c r="B139" s="11"/>
      <c r="C139" s="11"/>
      <c r="D139" s="11"/>
      <c r="E139" s="11"/>
      <c r="F139" s="11"/>
      <c r="G139" s="11"/>
      <c r="H139" s="11"/>
      <c r="I139" s="41"/>
      <c r="J139" s="11"/>
      <c r="K139" s="11"/>
      <c r="L139" s="11"/>
      <c r="M139" s="11"/>
      <c r="N139" s="11"/>
      <c r="O139" s="11"/>
      <c r="P139" s="11"/>
      <c r="Q139" s="41"/>
      <c r="R139" s="11"/>
      <c r="S139" s="11"/>
      <c r="T139" s="11"/>
      <c r="U139" s="11"/>
      <c r="V139" s="11"/>
      <c r="W139" s="11"/>
      <c r="X139" s="11"/>
      <c r="Y139" s="4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11"/>
      <c r="DB139" s="11"/>
      <c r="DC139" s="11"/>
      <c r="DD139" s="11"/>
      <c r="DE139" s="11"/>
      <c r="DF139" s="11"/>
      <c r="DG139" s="11"/>
    </row>
    <row r="140" ht="15.75" customHeight="1">
      <c r="A140" s="41"/>
      <c r="B140" s="11"/>
      <c r="C140" s="11"/>
      <c r="D140" s="11"/>
      <c r="E140" s="11"/>
      <c r="F140" s="11"/>
      <c r="G140" s="11"/>
      <c r="H140" s="11"/>
      <c r="I140" s="41"/>
      <c r="J140" s="11"/>
      <c r="K140" s="11"/>
      <c r="L140" s="11"/>
      <c r="M140" s="11"/>
      <c r="N140" s="11"/>
      <c r="O140" s="11"/>
      <c r="P140" s="11"/>
      <c r="Q140" s="41"/>
      <c r="R140" s="11"/>
      <c r="S140" s="11"/>
      <c r="T140" s="11"/>
      <c r="U140" s="11"/>
      <c r="V140" s="11"/>
      <c r="W140" s="11"/>
      <c r="X140" s="11"/>
      <c r="Y140" s="4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11"/>
      <c r="DB140" s="11"/>
      <c r="DC140" s="11"/>
      <c r="DD140" s="11"/>
      <c r="DE140" s="11"/>
      <c r="DF140" s="11"/>
      <c r="DG140" s="11"/>
    </row>
    <row r="141" ht="15.75" customHeight="1">
      <c r="A141" s="41"/>
      <c r="B141" s="11"/>
      <c r="C141" s="11"/>
      <c r="D141" s="11"/>
      <c r="E141" s="11"/>
      <c r="F141" s="11"/>
      <c r="G141" s="11"/>
      <c r="H141" s="11"/>
      <c r="I141" s="41"/>
      <c r="J141" s="11"/>
      <c r="K141" s="11"/>
      <c r="L141" s="11"/>
      <c r="M141" s="11"/>
      <c r="N141" s="11"/>
      <c r="O141" s="11"/>
      <c r="P141" s="11"/>
      <c r="Q141" s="41"/>
      <c r="R141" s="11"/>
      <c r="S141" s="11"/>
      <c r="T141" s="11"/>
      <c r="U141" s="11"/>
      <c r="V141" s="11"/>
      <c r="W141" s="11"/>
      <c r="X141" s="11"/>
      <c r="Y141" s="4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11"/>
      <c r="DB141" s="11"/>
      <c r="DC141" s="11"/>
      <c r="DD141" s="11"/>
      <c r="DE141" s="11"/>
      <c r="DF141" s="11"/>
      <c r="DG141" s="11"/>
    </row>
    <row r="142" ht="15.75" customHeight="1">
      <c r="A142" s="41"/>
      <c r="B142" s="11"/>
      <c r="C142" s="11"/>
      <c r="D142" s="11"/>
      <c r="E142" s="11"/>
      <c r="F142" s="11"/>
      <c r="G142" s="11"/>
      <c r="H142" s="11"/>
      <c r="I142" s="41"/>
      <c r="J142" s="11"/>
      <c r="K142" s="11"/>
      <c r="L142" s="11"/>
      <c r="M142" s="11"/>
      <c r="N142" s="11"/>
      <c r="O142" s="11"/>
      <c r="P142" s="11"/>
      <c r="Q142" s="41"/>
      <c r="R142" s="11"/>
      <c r="S142" s="11"/>
      <c r="T142" s="11"/>
      <c r="U142" s="11"/>
      <c r="V142" s="11"/>
      <c r="W142" s="11"/>
      <c r="X142" s="11"/>
      <c r="Y142" s="4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11"/>
      <c r="DB142" s="11"/>
      <c r="DC142" s="11"/>
      <c r="DD142" s="11"/>
      <c r="DE142" s="11"/>
      <c r="DF142" s="11"/>
      <c r="DG142" s="11"/>
    </row>
    <row r="143" ht="15.75" customHeight="1">
      <c r="A143" s="41"/>
      <c r="B143" s="11"/>
      <c r="C143" s="11"/>
      <c r="D143" s="11"/>
      <c r="E143" s="11"/>
      <c r="F143" s="11"/>
      <c r="G143" s="11"/>
      <c r="H143" s="11"/>
      <c r="I143" s="41"/>
      <c r="J143" s="11"/>
      <c r="K143" s="11"/>
      <c r="L143" s="11"/>
      <c r="M143" s="11"/>
      <c r="N143" s="11"/>
      <c r="O143" s="11"/>
      <c r="P143" s="11"/>
      <c r="Q143" s="41"/>
      <c r="R143" s="11"/>
      <c r="S143" s="11"/>
      <c r="T143" s="11"/>
      <c r="U143" s="11"/>
      <c r="V143" s="11"/>
      <c r="W143" s="11"/>
      <c r="X143" s="11"/>
      <c r="Y143" s="4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11"/>
      <c r="DB143" s="11"/>
      <c r="DC143" s="11"/>
      <c r="DD143" s="11"/>
      <c r="DE143" s="11"/>
      <c r="DF143" s="11"/>
      <c r="DG143" s="11"/>
    </row>
    <row r="144" ht="15.75" customHeight="1">
      <c r="A144" s="41"/>
      <c r="B144" s="11"/>
      <c r="C144" s="11"/>
      <c r="D144" s="11"/>
      <c r="E144" s="11"/>
      <c r="F144" s="11"/>
      <c r="G144" s="11"/>
      <c r="H144" s="11"/>
      <c r="I144" s="41"/>
      <c r="J144" s="11"/>
      <c r="K144" s="11"/>
      <c r="L144" s="11"/>
      <c r="M144" s="11"/>
      <c r="N144" s="11"/>
      <c r="O144" s="11"/>
      <c r="P144" s="11"/>
      <c r="Q144" s="41"/>
      <c r="R144" s="11"/>
      <c r="S144" s="11"/>
      <c r="T144" s="11"/>
      <c r="U144" s="11"/>
      <c r="V144" s="11"/>
      <c r="W144" s="11"/>
      <c r="X144" s="11"/>
      <c r="Y144" s="4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11"/>
      <c r="DB144" s="11"/>
      <c r="DC144" s="11"/>
      <c r="DD144" s="11"/>
      <c r="DE144" s="11"/>
      <c r="DF144" s="11"/>
      <c r="DG144" s="11"/>
    </row>
    <row r="145" ht="15.75" customHeight="1">
      <c r="A145" s="41"/>
      <c r="B145" s="11"/>
      <c r="C145" s="11"/>
      <c r="D145" s="11"/>
      <c r="E145" s="11"/>
      <c r="F145" s="11"/>
      <c r="G145" s="11"/>
      <c r="H145" s="11"/>
      <c r="I145" s="41"/>
      <c r="J145" s="11"/>
      <c r="K145" s="11"/>
      <c r="L145" s="11"/>
      <c r="M145" s="11"/>
      <c r="N145" s="11"/>
      <c r="O145" s="11"/>
      <c r="P145" s="11"/>
      <c r="Q145" s="41"/>
      <c r="R145" s="11"/>
      <c r="S145" s="11"/>
      <c r="T145" s="11"/>
      <c r="U145" s="11"/>
      <c r="V145" s="11"/>
      <c r="W145" s="11"/>
      <c r="X145" s="11"/>
      <c r="Y145" s="4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40"/>
      <c r="CQ145" s="40"/>
      <c r="CR145" s="40"/>
      <c r="CS145" s="40"/>
      <c r="CT145" s="40"/>
      <c r="CU145" s="40"/>
      <c r="CV145" s="40"/>
      <c r="CW145" s="40"/>
      <c r="CX145" s="40"/>
      <c r="CY145" s="40"/>
      <c r="CZ145" s="40"/>
      <c r="DA145" s="11"/>
      <c r="DB145" s="11"/>
      <c r="DC145" s="11"/>
      <c r="DD145" s="11"/>
      <c r="DE145" s="11"/>
      <c r="DF145" s="11"/>
      <c r="DG145" s="11"/>
    </row>
    <row r="146" ht="15.75" customHeight="1">
      <c r="A146" s="41"/>
      <c r="B146" s="11"/>
      <c r="C146" s="11"/>
      <c r="D146" s="11"/>
      <c r="E146" s="11"/>
      <c r="F146" s="11"/>
      <c r="G146" s="11"/>
      <c r="H146" s="11"/>
      <c r="I146" s="41"/>
      <c r="J146" s="11"/>
      <c r="K146" s="11"/>
      <c r="L146" s="11"/>
      <c r="M146" s="11"/>
      <c r="N146" s="11"/>
      <c r="O146" s="11"/>
      <c r="P146" s="11"/>
      <c r="Q146" s="41"/>
      <c r="R146" s="11"/>
      <c r="S146" s="11"/>
      <c r="T146" s="11"/>
      <c r="U146" s="11"/>
      <c r="V146" s="11"/>
      <c r="W146" s="11"/>
      <c r="X146" s="11"/>
      <c r="Y146" s="4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40"/>
      <c r="CQ146" s="40"/>
      <c r="CR146" s="40"/>
      <c r="CS146" s="40"/>
      <c r="CT146" s="40"/>
      <c r="CU146" s="40"/>
      <c r="CV146" s="40"/>
      <c r="CW146" s="40"/>
      <c r="CX146" s="40"/>
      <c r="CY146" s="40"/>
      <c r="CZ146" s="40"/>
      <c r="DA146" s="11"/>
      <c r="DB146" s="11"/>
      <c r="DC146" s="11"/>
      <c r="DD146" s="11"/>
      <c r="DE146" s="11"/>
      <c r="DF146" s="11"/>
      <c r="DG146" s="11"/>
    </row>
    <row r="147" ht="15.75" customHeight="1">
      <c r="A147" s="41"/>
      <c r="B147" s="11"/>
      <c r="C147" s="11"/>
      <c r="D147" s="11"/>
      <c r="E147" s="11"/>
      <c r="F147" s="11"/>
      <c r="G147" s="11"/>
      <c r="H147" s="11"/>
      <c r="I147" s="41"/>
      <c r="J147" s="11"/>
      <c r="K147" s="11"/>
      <c r="L147" s="11"/>
      <c r="M147" s="11"/>
      <c r="N147" s="11"/>
      <c r="O147" s="11"/>
      <c r="P147" s="11"/>
      <c r="Q147" s="41"/>
      <c r="R147" s="11"/>
      <c r="S147" s="11"/>
      <c r="T147" s="11"/>
      <c r="U147" s="11"/>
      <c r="V147" s="11"/>
      <c r="W147" s="11"/>
      <c r="X147" s="11"/>
      <c r="Y147" s="4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40"/>
      <c r="CQ147" s="40"/>
      <c r="CR147" s="40"/>
      <c r="CS147" s="40"/>
      <c r="CT147" s="40"/>
      <c r="CU147" s="40"/>
      <c r="CV147" s="40"/>
      <c r="CW147" s="40"/>
      <c r="CX147" s="40"/>
      <c r="CY147" s="40"/>
      <c r="CZ147" s="40"/>
      <c r="DA147" s="11"/>
      <c r="DB147" s="11"/>
      <c r="DC147" s="11"/>
      <c r="DD147" s="11"/>
      <c r="DE147" s="11"/>
      <c r="DF147" s="11"/>
      <c r="DG147" s="11"/>
    </row>
    <row r="148" ht="15.75" customHeight="1">
      <c r="A148" s="41"/>
      <c r="B148" s="11"/>
      <c r="C148" s="11"/>
      <c r="D148" s="11"/>
      <c r="E148" s="11"/>
      <c r="F148" s="11"/>
      <c r="G148" s="11"/>
      <c r="H148" s="11"/>
      <c r="I148" s="41"/>
      <c r="J148" s="11"/>
      <c r="K148" s="11"/>
      <c r="L148" s="11"/>
      <c r="M148" s="11"/>
      <c r="N148" s="11"/>
      <c r="O148" s="11"/>
      <c r="P148" s="11"/>
      <c r="Q148" s="41"/>
      <c r="R148" s="11"/>
      <c r="S148" s="11"/>
      <c r="T148" s="11"/>
      <c r="U148" s="11"/>
      <c r="V148" s="11"/>
      <c r="W148" s="11"/>
      <c r="X148" s="11"/>
      <c r="Y148" s="4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40"/>
      <c r="CQ148" s="40"/>
      <c r="CR148" s="40"/>
      <c r="CS148" s="40"/>
      <c r="CT148" s="40"/>
      <c r="CU148" s="40"/>
      <c r="CV148" s="40"/>
      <c r="CW148" s="40"/>
      <c r="CX148" s="40"/>
      <c r="CY148" s="40"/>
      <c r="CZ148" s="40"/>
      <c r="DA148" s="11"/>
      <c r="DB148" s="11"/>
      <c r="DC148" s="11"/>
      <c r="DD148" s="11"/>
      <c r="DE148" s="11"/>
      <c r="DF148" s="11"/>
      <c r="DG148" s="11"/>
    </row>
    <row r="149" ht="15.75" customHeight="1">
      <c r="A149" s="41"/>
      <c r="B149" s="11"/>
      <c r="C149" s="11"/>
      <c r="D149" s="11"/>
      <c r="E149" s="11"/>
      <c r="F149" s="11"/>
      <c r="G149" s="11"/>
      <c r="H149" s="11"/>
      <c r="I149" s="41"/>
      <c r="J149" s="11"/>
      <c r="K149" s="11"/>
      <c r="L149" s="11"/>
      <c r="M149" s="11"/>
      <c r="N149" s="11"/>
      <c r="O149" s="11"/>
      <c r="P149" s="11"/>
      <c r="Q149" s="41"/>
      <c r="R149" s="11"/>
      <c r="S149" s="11"/>
      <c r="T149" s="11"/>
      <c r="U149" s="11"/>
      <c r="V149" s="11"/>
      <c r="W149" s="11"/>
      <c r="X149" s="11"/>
      <c r="Y149" s="4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40"/>
      <c r="CQ149" s="40"/>
      <c r="CR149" s="40"/>
      <c r="CS149" s="40"/>
      <c r="CT149" s="40"/>
      <c r="CU149" s="40"/>
      <c r="CV149" s="40"/>
      <c r="CW149" s="40"/>
      <c r="CX149" s="40"/>
      <c r="CY149" s="40"/>
      <c r="CZ149" s="40"/>
      <c r="DA149" s="11"/>
      <c r="DB149" s="11"/>
      <c r="DC149" s="11"/>
      <c r="DD149" s="11"/>
      <c r="DE149" s="11"/>
      <c r="DF149" s="11"/>
      <c r="DG149" s="11"/>
    </row>
    <row r="150" ht="15.75" customHeight="1">
      <c r="A150" s="41"/>
      <c r="B150" s="11"/>
      <c r="C150" s="11"/>
      <c r="D150" s="11"/>
      <c r="E150" s="11"/>
      <c r="F150" s="11"/>
      <c r="G150" s="11"/>
      <c r="H150" s="11"/>
      <c r="I150" s="41"/>
      <c r="J150" s="11"/>
      <c r="K150" s="11"/>
      <c r="L150" s="11"/>
      <c r="M150" s="11"/>
      <c r="N150" s="11"/>
      <c r="O150" s="11"/>
      <c r="P150" s="11"/>
      <c r="Q150" s="41"/>
      <c r="R150" s="11"/>
      <c r="S150" s="11"/>
      <c r="T150" s="11"/>
      <c r="U150" s="11"/>
      <c r="V150" s="11"/>
      <c r="W150" s="11"/>
      <c r="X150" s="11"/>
      <c r="Y150" s="4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40"/>
      <c r="CQ150" s="40"/>
      <c r="CR150" s="40"/>
      <c r="CS150" s="40"/>
      <c r="CT150" s="40"/>
      <c r="CU150" s="40"/>
      <c r="CV150" s="40"/>
      <c r="CW150" s="40"/>
      <c r="CX150" s="40"/>
      <c r="CY150" s="40"/>
      <c r="CZ150" s="40"/>
      <c r="DA150" s="11"/>
      <c r="DB150" s="11"/>
      <c r="DC150" s="11"/>
      <c r="DD150" s="11"/>
      <c r="DE150" s="11"/>
      <c r="DF150" s="11"/>
      <c r="DG150" s="11"/>
    </row>
    <row r="151" ht="15.75" customHeight="1">
      <c r="A151" s="41"/>
      <c r="B151" s="11"/>
      <c r="C151" s="11"/>
      <c r="D151" s="11"/>
      <c r="E151" s="11"/>
      <c r="F151" s="11"/>
      <c r="G151" s="11"/>
      <c r="H151" s="11"/>
      <c r="I151" s="41"/>
      <c r="J151" s="11"/>
      <c r="K151" s="11"/>
      <c r="L151" s="11"/>
      <c r="M151" s="11"/>
      <c r="N151" s="11"/>
      <c r="O151" s="11"/>
      <c r="P151" s="11"/>
      <c r="Q151" s="41"/>
      <c r="R151" s="11"/>
      <c r="S151" s="11"/>
      <c r="T151" s="11"/>
      <c r="U151" s="11"/>
      <c r="V151" s="11"/>
      <c r="W151" s="11"/>
      <c r="X151" s="11"/>
      <c r="Y151" s="4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40"/>
      <c r="CQ151" s="40"/>
      <c r="CR151" s="40"/>
      <c r="CS151" s="40"/>
      <c r="CT151" s="40"/>
      <c r="CU151" s="40"/>
      <c r="CV151" s="40"/>
      <c r="CW151" s="40"/>
      <c r="CX151" s="40"/>
      <c r="CY151" s="40"/>
      <c r="CZ151" s="40"/>
      <c r="DA151" s="11"/>
      <c r="DB151" s="11"/>
      <c r="DC151" s="11"/>
      <c r="DD151" s="11"/>
      <c r="DE151" s="11"/>
      <c r="DF151" s="11"/>
      <c r="DG151" s="11"/>
    </row>
    <row r="152" ht="15.75" customHeight="1">
      <c r="A152" s="41"/>
      <c r="B152" s="11"/>
      <c r="C152" s="11"/>
      <c r="D152" s="11"/>
      <c r="E152" s="11"/>
      <c r="F152" s="11"/>
      <c r="G152" s="11"/>
      <c r="H152" s="11"/>
      <c r="I152" s="41"/>
      <c r="J152" s="11"/>
      <c r="K152" s="11"/>
      <c r="L152" s="11"/>
      <c r="M152" s="11"/>
      <c r="N152" s="11"/>
      <c r="O152" s="11"/>
      <c r="P152" s="11"/>
      <c r="Q152" s="41"/>
      <c r="R152" s="11"/>
      <c r="S152" s="11"/>
      <c r="T152" s="11"/>
      <c r="U152" s="11"/>
      <c r="V152" s="11"/>
      <c r="W152" s="11"/>
      <c r="X152" s="11"/>
      <c r="Y152" s="4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40"/>
      <c r="CQ152" s="40"/>
      <c r="CR152" s="40"/>
      <c r="CS152" s="40"/>
      <c r="CT152" s="40"/>
      <c r="CU152" s="40"/>
      <c r="CV152" s="40"/>
      <c r="CW152" s="40"/>
      <c r="CX152" s="40"/>
      <c r="CY152" s="40"/>
      <c r="CZ152" s="40"/>
      <c r="DA152" s="11"/>
      <c r="DB152" s="11"/>
      <c r="DC152" s="11"/>
      <c r="DD152" s="11"/>
      <c r="DE152" s="11"/>
      <c r="DF152" s="11"/>
      <c r="DG152" s="11"/>
    </row>
    <row r="153" ht="15.75" customHeight="1">
      <c r="A153" s="41"/>
      <c r="B153" s="11"/>
      <c r="C153" s="11"/>
      <c r="D153" s="11"/>
      <c r="E153" s="11"/>
      <c r="F153" s="11"/>
      <c r="G153" s="11"/>
      <c r="H153" s="11"/>
      <c r="I153" s="41"/>
      <c r="J153" s="11"/>
      <c r="K153" s="11"/>
      <c r="L153" s="11"/>
      <c r="M153" s="11"/>
      <c r="N153" s="11"/>
      <c r="O153" s="11"/>
      <c r="P153" s="11"/>
      <c r="Q153" s="41"/>
      <c r="R153" s="11"/>
      <c r="S153" s="11"/>
      <c r="T153" s="11"/>
      <c r="U153" s="11"/>
      <c r="V153" s="11"/>
      <c r="W153" s="11"/>
      <c r="X153" s="11"/>
      <c r="Y153" s="4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40"/>
      <c r="CQ153" s="40"/>
      <c r="CR153" s="40"/>
      <c r="CS153" s="40"/>
      <c r="CT153" s="40"/>
      <c r="CU153" s="40"/>
      <c r="CV153" s="40"/>
      <c r="CW153" s="40"/>
      <c r="CX153" s="40"/>
      <c r="CY153" s="40"/>
      <c r="CZ153" s="40"/>
      <c r="DA153" s="11"/>
      <c r="DB153" s="11"/>
      <c r="DC153" s="11"/>
      <c r="DD153" s="11"/>
      <c r="DE153" s="11"/>
      <c r="DF153" s="11"/>
      <c r="DG153" s="11"/>
    </row>
    <row r="154" ht="15.75" customHeight="1">
      <c r="A154" s="41"/>
      <c r="B154" s="11"/>
      <c r="C154" s="11"/>
      <c r="D154" s="11"/>
      <c r="E154" s="11"/>
      <c r="F154" s="11"/>
      <c r="G154" s="11"/>
      <c r="H154" s="11"/>
      <c r="I154" s="41"/>
      <c r="J154" s="11"/>
      <c r="K154" s="11"/>
      <c r="L154" s="11"/>
      <c r="M154" s="11"/>
      <c r="N154" s="11"/>
      <c r="O154" s="11"/>
      <c r="P154" s="11"/>
      <c r="Q154" s="41"/>
      <c r="R154" s="11"/>
      <c r="S154" s="11"/>
      <c r="T154" s="11"/>
      <c r="U154" s="11"/>
      <c r="V154" s="11"/>
      <c r="W154" s="11"/>
      <c r="X154" s="11"/>
      <c r="Y154" s="4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40"/>
      <c r="CQ154" s="40"/>
      <c r="CR154" s="40"/>
      <c r="CS154" s="40"/>
      <c r="CT154" s="40"/>
      <c r="CU154" s="40"/>
      <c r="CV154" s="40"/>
      <c r="CW154" s="40"/>
      <c r="CX154" s="40"/>
      <c r="CY154" s="40"/>
      <c r="CZ154" s="40"/>
      <c r="DA154" s="11"/>
      <c r="DB154" s="11"/>
      <c r="DC154" s="11"/>
      <c r="DD154" s="11"/>
      <c r="DE154" s="11"/>
      <c r="DF154" s="11"/>
      <c r="DG154" s="11"/>
    </row>
    <row r="155" ht="15.75" customHeight="1">
      <c r="A155" s="41"/>
      <c r="B155" s="11"/>
      <c r="C155" s="11"/>
      <c r="D155" s="11"/>
      <c r="E155" s="11"/>
      <c r="F155" s="11"/>
      <c r="G155" s="11"/>
      <c r="H155" s="11"/>
      <c r="I155" s="41"/>
      <c r="J155" s="11"/>
      <c r="K155" s="11"/>
      <c r="L155" s="11"/>
      <c r="M155" s="11"/>
      <c r="N155" s="11"/>
      <c r="O155" s="11"/>
      <c r="P155" s="11"/>
      <c r="Q155" s="41"/>
      <c r="R155" s="11"/>
      <c r="S155" s="11"/>
      <c r="T155" s="11"/>
      <c r="U155" s="11"/>
      <c r="V155" s="11"/>
      <c r="W155" s="11"/>
      <c r="X155" s="11"/>
      <c r="Y155" s="4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11"/>
      <c r="DB155" s="11"/>
      <c r="DC155" s="11"/>
      <c r="DD155" s="11"/>
      <c r="DE155" s="11"/>
      <c r="DF155" s="11"/>
      <c r="DG155" s="11"/>
    </row>
    <row r="156" ht="15.75" customHeight="1">
      <c r="A156" s="41"/>
      <c r="B156" s="11"/>
      <c r="C156" s="11"/>
      <c r="D156" s="11"/>
      <c r="E156" s="11"/>
      <c r="F156" s="11"/>
      <c r="G156" s="11"/>
      <c r="H156" s="11"/>
      <c r="I156" s="41"/>
      <c r="J156" s="11"/>
      <c r="K156" s="11"/>
      <c r="L156" s="11"/>
      <c r="M156" s="11"/>
      <c r="N156" s="11"/>
      <c r="O156" s="11"/>
      <c r="P156" s="11"/>
      <c r="Q156" s="41"/>
      <c r="R156" s="11"/>
      <c r="S156" s="11"/>
      <c r="T156" s="11"/>
      <c r="U156" s="11"/>
      <c r="V156" s="11"/>
      <c r="W156" s="11"/>
      <c r="X156" s="11"/>
      <c r="Y156" s="4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40"/>
      <c r="CQ156" s="40"/>
      <c r="CR156" s="40"/>
      <c r="CS156" s="40"/>
      <c r="CT156" s="40"/>
      <c r="CU156" s="40"/>
      <c r="CV156" s="40"/>
      <c r="CW156" s="40"/>
      <c r="CX156" s="40"/>
      <c r="CY156" s="40"/>
      <c r="CZ156" s="40"/>
      <c r="DA156" s="11"/>
      <c r="DB156" s="11"/>
      <c r="DC156" s="11"/>
      <c r="DD156" s="11"/>
      <c r="DE156" s="11"/>
      <c r="DF156" s="11"/>
      <c r="DG156" s="11"/>
    </row>
    <row r="157" ht="15.75" customHeight="1">
      <c r="A157" s="41"/>
      <c r="B157" s="11"/>
      <c r="C157" s="11"/>
      <c r="D157" s="11"/>
      <c r="E157" s="11"/>
      <c r="F157" s="11"/>
      <c r="G157" s="11"/>
      <c r="H157" s="11"/>
      <c r="I157" s="41"/>
      <c r="J157" s="11"/>
      <c r="K157" s="11"/>
      <c r="L157" s="11"/>
      <c r="M157" s="11"/>
      <c r="N157" s="11"/>
      <c r="O157" s="11"/>
      <c r="P157" s="11"/>
      <c r="Q157" s="41"/>
      <c r="R157" s="11"/>
      <c r="S157" s="11"/>
      <c r="T157" s="11"/>
      <c r="U157" s="11"/>
      <c r="V157" s="11"/>
      <c r="W157" s="11"/>
      <c r="X157" s="11"/>
      <c r="Y157" s="4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40"/>
      <c r="CQ157" s="40"/>
      <c r="CR157" s="40"/>
      <c r="CS157" s="40"/>
      <c r="CT157" s="40"/>
      <c r="CU157" s="40"/>
      <c r="CV157" s="40"/>
      <c r="CW157" s="40"/>
      <c r="CX157" s="40"/>
      <c r="CY157" s="40"/>
      <c r="CZ157" s="40"/>
      <c r="DA157" s="11"/>
      <c r="DB157" s="11"/>
      <c r="DC157" s="11"/>
      <c r="DD157" s="11"/>
      <c r="DE157" s="11"/>
      <c r="DF157" s="11"/>
      <c r="DG157" s="11"/>
    </row>
    <row r="158" ht="15.75" customHeight="1">
      <c r="A158" s="41"/>
      <c r="B158" s="11"/>
      <c r="C158" s="11"/>
      <c r="D158" s="11"/>
      <c r="E158" s="11"/>
      <c r="F158" s="11"/>
      <c r="G158" s="11"/>
      <c r="H158" s="11"/>
      <c r="I158" s="41"/>
      <c r="J158" s="11"/>
      <c r="K158" s="11"/>
      <c r="L158" s="11"/>
      <c r="M158" s="11"/>
      <c r="N158" s="11"/>
      <c r="O158" s="11"/>
      <c r="P158" s="11"/>
      <c r="Q158" s="41"/>
      <c r="R158" s="11"/>
      <c r="S158" s="11"/>
      <c r="T158" s="11"/>
      <c r="U158" s="11"/>
      <c r="V158" s="11"/>
      <c r="W158" s="11"/>
      <c r="X158" s="11"/>
      <c r="Y158" s="4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40"/>
      <c r="CQ158" s="40"/>
      <c r="CR158" s="40"/>
      <c r="CS158" s="40"/>
      <c r="CT158" s="40"/>
      <c r="CU158" s="40"/>
      <c r="CV158" s="40"/>
      <c r="CW158" s="40"/>
      <c r="CX158" s="40"/>
      <c r="CY158" s="40"/>
      <c r="CZ158" s="40"/>
      <c r="DA158" s="11"/>
      <c r="DB158" s="11"/>
      <c r="DC158" s="11"/>
      <c r="DD158" s="11"/>
      <c r="DE158" s="11"/>
      <c r="DF158" s="11"/>
      <c r="DG158" s="11"/>
    </row>
    <row r="159" ht="15.75" customHeight="1">
      <c r="A159" s="41"/>
      <c r="B159" s="11"/>
      <c r="C159" s="11"/>
      <c r="D159" s="11"/>
      <c r="E159" s="11"/>
      <c r="F159" s="11"/>
      <c r="G159" s="11"/>
      <c r="H159" s="11"/>
      <c r="I159" s="41"/>
      <c r="J159" s="11"/>
      <c r="K159" s="11"/>
      <c r="L159" s="11"/>
      <c r="M159" s="11"/>
      <c r="N159" s="11"/>
      <c r="O159" s="11"/>
      <c r="P159" s="11"/>
      <c r="Q159" s="41"/>
      <c r="R159" s="11"/>
      <c r="S159" s="11"/>
      <c r="T159" s="11"/>
      <c r="U159" s="11"/>
      <c r="V159" s="11"/>
      <c r="W159" s="11"/>
      <c r="X159" s="11"/>
      <c r="Y159" s="4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40"/>
      <c r="CQ159" s="40"/>
      <c r="CR159" s="40"/>
      <c r="CS159" s="40"/>
      <c r="CT159" s="40"/>
      <c r="CU159" s="40"/>
      <c r="CV159" s="40"/>
      <c r="CW159" s="40"/>
      <c r="CX159" s="40"/>
      <c r="CY159" s="40"/>
      <c r="CZ159" s="40"/>
      <c r="DA159" s="11"/>
      <c r="DB159" s="11"/>
      <c r="DC159" s="11"/>
      <c r="DD159" s="11"/>
      <c r="DE159" s="11"/>
      <c r="DF159" s="11"/>
      <c r="DG159" s="11"/>
    </row>
    <row r="160" ht="15.75" customHeight="1">
      <c r="A160" s="41"/>
      <c r="B160" s="11"/>
      <c r="C160" s="11"/>
      <c r="D160" s="11"/>
      <c r="E160" s="11"/>
      <c r="F160" s="11"/>
      <c r="G160" s="11"/>
      <c r="H160" s="11"/>
      <c r="I160" s="41"/>
      <c r="J160" s="11"/>
      <c r="K160" s="11"/>
      <c r="L160" s="11"/>
      <c r="M160" s="11"/>
      <c r="N160" s="11"/>
      <c r="O160" s="11"/>
      <c r="P160" s="11"/>
      <c r="Q160" s="41"/>
      <c r="R160" s="11"/>
      <c r="S160" s="11"/>
      <c r="T160" s="11"/>
      <c r="U160" s="11"/>
      <c r="V160" s="11"/>
      <c r="W160" s="11"/>
      <c r="X160" s="11"/>
      <c r="Y160" s="4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40"/>
      <c r="CQ160" s="40"/>
      <c r="CR160" s="40"/>
      <c r="CS160" s="40"/>
      <c r="CT160" s="40"/>
      <c r="CU160" s="40"/>
      <c r="CV160" s="40"/>
      <c r="CW160" s="40"/>
      <c r="CX160" s="40"/>
      <c r="CY160" s="40"/>
      <c r="CZ160" s="40"/>
      <c r="DA160" s="11"/>
      <c r="DB160" s="11"/>
      <c r="DC160" s="11"/>
      <c r="DD160" s="11"/>
      <c r="DE160" s="11"/>
      <c r="DF160" s="11"/>
      <c r="DG160" s="11"/>
    </row>
    <row r="161" ht="15.75" customHeight="1">
      <c r="A161" s="41"/>
      <c r="B161" s="11"/>
      <c r="C161" s="11"/>
      <c r="D161" s="11"/>
      <c r="E161" s="11"/>
      <c r="F161" s="11"/>
      <c r="G161" s="11"/>
      <c r="H161" s="11"/>
      <c r="I161" s="41"/>
      <c r="J161" s="11"/>
      <c r="K161" s="11"/>
      <c r="L161" s="11"/>
      <c r="M161" s="11"/>
      <c r="N161" s="11"/>
      <c r="O161" s="11"/>
      <c r="P161" s="11"/>
      <c r="Q161" s="41"/>
      <c r="R161" s="11"/>
      <c r="S161" s="11"/>
      <c r="T161" s="11"/>
      <c r="U161" s="11"/>
      <c r="V161" s="11"/>
      <c r="W161" s="11"/>
      <c r="X161" s="11"/>
      <c r="Y161" s="4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40"/>
      <c r="CQ161" s="40"/>
      <c r="CR161" s="40"/>
      <c r="CS161" s="40"/>
      <c r="CT161" s="40"/>
      <c r="CU161" s="40"/>
      <c r="CV161" s="40"/>
      <c r="CW161" s="40"/>
      <c r="CX161" s="40"/>
      <c r="CY161" s="40"/>
      <c r="CZ161" s="40"/>
      <c r="DA161" s="11"/>
      <c r="DB161" s="11"/>
      <c r="DC161" s="11"/>
      <c r="DD161" s="11"/>
      <c r="DE161" s="11"/>
      <c r="DF161" s="11"/>
      <c r="DG161" s="11"/>
    </row>
    <row r="162" ht="15.75" customHeight="1">
      <c r="A162" s="41"/>
      <c r="B162" s="11"/>
      <c r="C162" s="11"/>
      <c r="D162" s="11"/>
      <c r="E162" s="11"/>
      <c r="F162" s="11"/>
      <c r="G162" s="11"/>
      <c r="H162" s="11"/>
      <c r="I162" s="41"/>
      <c r="J162" s="11"/>
      <c r="K162" s="11"/>
      <c r="L162" s="11"/>
      <c r="M162" s="11"/>
      <c r="N162" s="11"/>
      <c r="O162" s="11"/>
      <c r="P162" s="11"/>
      <c r="Q162" s="41"/>
      <c r="R162" s="11"/>
      <c r="S162" s="11"/>
      <c r="T162" s="11"/>
      <c r="U162" s="11"/>
      <c r="V162" s="11"/>
      <c r="W162" s="11"/>
      <c r="X162" s="11"/>
      <c r="Y162" s="4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40"/>
      <c r="CQ162" s="40"/>
      <c r="CR162" s="40"/>
      <c r="CS162" s="40"/>
      <c r="CT162" s="40"/>
      <c r="CU162" s="40"/>
      <c r="CV162" s="40"/>
      <c r="CW162" s="40"/>
      <c r="CX162" s="40"/>
      <c r="CY162" s="40"/>
      <c r="CZ162" s="40"/>
      <c r="DA162" s="11"/>
      <c r="DB162" s="11"/>
      <c r="DC162" s="11"/>
      <c r="DD162" s="11"/>
      <c r="DE162" s="11"/>
      <c r="DF162" s="11"/>
      <c r="DG162" s="11"/>
    </row>
    <row r="163" ht="15.75" customHeight="1">
      <c r="A163" s="41"/>
      <c r="B163" s="11"/>
      <c r="C163" s="11"/>
      <c r="D163" s="11"/>
      <c r="E163" s="11"/>
      <c r="F163" s="11"/>
      <c r="G163" s="11"/>
      <c r="H163" s="11"/>
      <c r="I163" s="41"/>
      <c r="J163" s="11"/>
      <c r="K163" s="11"/>
      <c r="L163" s="11"/>
      <c r="M163" s="11"/>
      <c r="N163" s="11"/>
      <c r="O163" s="11"/>
      <c r="P163" s="11"/>
      <c r="Q163" s="41"/>
      <c r="R163" s="11"/>
      <c r="S163" s="11"/>
      <c r="T163" s="11"/>
      <c r="U163" s="11"/>
      <c r="V163" s="11"/>
      <c r="W163" s="11"/>
      <c r="X163" s="11"/>
      <c r="Y163" s="4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40"/>
      <c r="CQ163" s="40"/>
      <c r="CR163" s="40"/>
      <c r="CS163" s="40"/>
      <c r="CT163" s="40"/>
      <c r="CU163" s="40"/>
      <c r="CV163" s="40"/>
      <c r="CW163" s="40"/>
      <c r="CX163" s="40"/>
      <c r="CY163" s="40"/>
      <c r="CZ163" s="40"/>
      <c r="DA163" s="11"/>
      <c r="DB163" s="11"/>
      <c r="DC163" s="11"/>
      <c r="DD163" s="11"/>
      <c r="DE163" s="11"/>
      <c r="DF163" s="11"/>
      <c r="DG163" s="11"/>
    </row>
    <row r="164" ht="15.75" customHeight="1">
      <c r="A164" s="41"/>
      <c r="B164" s="11"/>
      <c r="C164" s="11"/>
      <c r="D164" s="11"/>
      <c r="E164" s="11"/>
      <c r="F164" s="11"/>
      <c r="G164" s="11"/>
      <c r="H164" s="11"/>
      <c r="I164" s="41"/>
      <c r="J164" s="11"/>
      <c r="K164" s="11"/>
      <c r="L164" s="11"/>
      <c r="M164" s="11"/>
      <c r="N164" s="11"/>
      <c r="O164" s="11"/>
      <c r="P164" s="11"/>
      <c r="Q164" s="41"/>
      <c r="R164" s="11"/>
      <c r="S164" s="11"/>
      <c r="T164" s="11"/>
      <c r="U164" s="11"/>
      <c r="V164" s="11"/>
      <c r="W164" s="11"/>
      <c r="X164" s="11"/>
      <c r="Y164" s="4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40"/>
      <c r="CQ164" s="40"/>
      <c r="CR164" s="40"/>
      <c r="CS164" s="40"/>
      <c r="CT164" s="40"/>
      <c r="CU164" s="40"/>
      <c r="CV164" s="40"/>
      <c r="CW164" s="40"/>
      <c r="CX164" s="40"/>
      <c r="CY164" s="40"/>
      <c r="CZ164" s="40"/>
      <c r="DA164" s="11"/>
      <c r="DB164" s="11"/>
      <c r="DC164" s="11"/>
      <c r="DD164" s="11"/>
      <c r="DE164" s="11"/>
      <c r="DF164" s="11"/>
      <c r="DG164" s="11"/>
    </row>
    <row r="165" ht="15.75" customHeight="1">
      <c r="A165" s="41"/>
      <c r="B165" s="11"/>
      <c r="C165" s="11"/>
      <c r="D165" s="11"/>
      <c r="E165" s="11"/>
      <c r="F165" s="11"/>
      <c r="G165" s="11"/>
      <c r="H165" s="11"/>
      <c r="I165" s="41"/>
      <c r="J165" s="11"/>
      <c r="K165" s="11"/>
      <c r="L165" s="11"/>
      <c r="M165" s="11"/>
      <c r="N165" s="11"/>
      <c r="O165" s="11"/>
      <c r="P165" s="11"/>
      <c r="Q165" s="41"/>
      <c r="R165" s="11"/>
      <c r="S165" s="11"/>
      <c r="T165" s="11"/>
      <c r="U165" s="11"/>
      <c r="V165" s="11"/>
      <c r="W165" s="11"/>
      <c r="X165" s="11"/>
      <c r="Y165" s="4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40"/>
      <c r="CQ165" s="40"/>
      <c r="CR165" s="40"/>
      <c r="CS165" s="40"/>
      <c r="CT165" s="40"/>
      <c r="CU165" s="40"/>
      <c r="CV165" s="40"/>
      <c r="CW165" s="40"/>
      <c r="CX165" s="40"/>
      <c r="CY165" s="40"/>
      <c r="CZ165" s="40"/>
      <c r="DA165" s="11"/>
      <c r="DB165" s="11"/>
      <c r="DC165" s="11"/>
      <c r="DD165" s="11"/>
      <c r="DE165" s="11"/>
      <c r="DF165" s="11"/>
      <c r="DG165" s="11"/>
    </row>
    <row r="166" ht="15.75" customHeight="1">
      <c r="A166" s="41"/>
      <c r="B166" s="11"/>
      <c r="C166" s="11"/>
      <c r="D166" s="11"/>
      <c r="E166" s="11"/>
      <c r="F166" s="11"/>
      <c r="G166" s="11"/>
      <c r="H166" s="11"/>
      <c r="I166" s="41"/>
      <c r="J166" s="11"/>
      <c r="K166" s="11"/>
      <c r="L166" s="11"/>
      <c r="M166" s="11"/>
      <c r="N166" s="11"/>
      <c r="O166" s="11"/>
      <c r="P166" s="11"/>
      <c r="Q166" s="41"/>
      <c r="R166" s="11"/>
      <c r="S166" s="11"/>
      <c r="T166" s="11"/>
      <c r="U166" s="11"/>
      <c r="V166" s="11"/>
      <c r="W166" s="11"/>
      <c r="X166" s="11"/>
      <c r="Y166" s="4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40"/>
      <c r="CQ166" s="40"/>
      <c r="CR166" s="40"/>
      <c r="CS166" s="40"/>
      <c r="CT166" s="40"/>
      <c r="CU166" s="40"/>
      <c r="CV166" s="40"/>
      <c r="CW166" s="40"/>
      <c r="CX166" s="40"/>
      <c r="CY166" s="40"/>
      <c r="CZ166" s="40"/>
      <c r="DA166" s="11"/>
      <c r="DB166" s="11"/>
      <c r="DC166" s="11"/>
      <c r="DD166" s="11"/>
      <c r="DE166" s="11"/>
      <c r="DF166" s="11"/>
      <c r="DG166" s="11"/>
    </row>
    <row r="167" ht="15.75" customHeight="1">
      <c r="A167" s="41"/>
      <c r="B167" s="11"/>
      <c r="C167" s="11"/>
      <c r="D167" s="11"/>
      <c r="E167" s="11"/>
      <c r="F167" s="11"/>
      <c r="G167" s="11"/>
      <c r="H167" s="11"/>
      <c r="I167" s="41"/>
      <c r="J167" s="11"/>
      <c r="K167" s="11"/>
      <c r="L167" s="11"/>
      <c r="M167" s="11"/>
      <c r="N167" s="11"/>
      <c r="O167" s="11"/>
      <c r="P167" s="11"/>
      <c r="Q167" s="41"/>
      <c r="R167" s="11"/>
      <c r="S167" s="11"/>
      <c r="T167" s="11"/>
      <c r="U167" s="11"/>
      <c r="V167" s="11"/>
      <c r="W167" s="11"/>
      <c r="X167" s="11"/>
      <c r="Y167" s="4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40"/>
      <c r="CQ167" s="40"/>
      <c r="CR167" s="40"/>
      <c r="CS167" s="40"/>
      <c r="CT167" s="40"/>
      <c r="CU167" s="40"/>
      <c r="CV167" s="40"/>
      <c r="CW167" s="40"/>
      <c r="CX167" s="40"/>
      <c r="CY167" s="40"/>
      <c r="CZ167" s="40"/>
      <c r="DA167" s="11"/>
      <c r="DB167" s="11"/>
      <c r="DC167" s="11"/>
      <c r="DD167" s="11"/>
      <c r="DE167" s="11"/>
      <c r="DF167" s="11"/>
      <c r="DG167" s="11"/>
    </row>
    <row r="168" ht="15.75" customHeight="1">
      <c r="A168" s="41"/>
      <c r="B168" s="11"/>
      <c r="C168" s="11"/>
      <c r="D168" s="11"/>
      <c r="E168" s="11"/>
      <c r="F168" s="11"/>
      <c r="G168" s="11"/>
      <c r="H168" s="11"/>
      <c r="I168" s="41"/>
      <c r="J168" s="11"/>
      <c r="K168" s="11"/>
      <c r="L168" s="11"/>
      <c r="M168" s="11"/>
      <c r="N168" s="11"/>
      <c r="O168" s="11"/>
      <c r="P168" s="11"/>
      <c r="Q168" s="41"/>
      <c r="R168" s="11"/>
      <c r="S168" s="11"/>
      <c r="T168" s="11"/>
      <c r="U168" s="11"/>
      <c r="V168" s="11"/>
      <c r="W168" s="11"/>
      <c r="X168" s="11"/>
      <c r="Y168" s="4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40"/>
      <c r="CQ168" s="40"/>
      <c r="CR168" s="40"/>
      <c r="CS168" s="40"/>
      <c r="CT168" s="40"/>
      <c r="CU168" s="40"/>
      <c r="CV168" s="40"/>
      <c r="CW168" s="40"/>
      <c r="CX168" s="40"/>
      <c r="CY168" s="40"/>
      <c r="CZ168" s="40"/>
      <c r="DA168" s="11"/>
      <c r="DB168" s="11"/>
      <c r="DC168" s="11"/>
      <c r="DD168" s="11"/>
      <c r="DE168" s="11"/>
      <c r="DF168" s="11"/>
      <c r="DG168" s="11"/>
    </row>
    <row r="169" ht="15.75" customHeight="1">
      <c r="A169" s="41"/>
      <c r="B169" s="11"/>
      <c r="C169" s="11"/>
      <c r="D169" s="11"/>
      <c r="E169" s="11"/>
      <c r="F169" s="11"/>
      <c r="G169" s="11"/>
      <c r="H169" s="11"/>
      <c r="I169" s="41"/>
      <c r="J169" s="11"/>
      <c r="K169" s="11"/>
      <c r="L169" s="11"/>
      <c r="M169" s="11"/>
      <c r="N169" s="11"/>
      <c r="O169" s="11"/>
      <c r="P169" s="11"/>
      <c r="Q169" s="41"/>
      <c r="R169" s="11"/>
      <c r="S169" s="11"/>
      <c r="T169" s="11"/>
      <c r="U169" s="11"/>
      <c r="V169" s="11"/>
      <c r="W169" s="11"/>
      <c r="X169" s="11"/>
      <c r="Y169" s="4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40"/>
      <c r="CQ169" s="40"/>
      <c r="CR169" s="40"/>
      <c r="CS169" s="40"/>
      <c r="CT169" s="40"/>
      <c r="CU169" s="40"/>
      <c r="CV169" s="40"/>
      <c r="CW169" s="40"/>
      <c r="CX169" s="40"/>
      <c r="CY169" s="40"/>
      <c r="CZ169" s="40"/>
      <c r="DA169" s="11"/>
      <c r="DB169" s="11"/>
      <c r="DC169" s="11"/>
      <c r="DD169" s="11"/>
      <c r="DE169" s="11"/>
      <c r="DF169" s="11"/>
      <c r="DG169" s="11"/>
    </row>
    <row r="170" ht="15.75" customHeight="1">
      <c r="A170" s="41"/>
      <c r="B170" s="11"/>
      <c r="C170" s="11"/>
      <c r="D170" s="11"/>
      <c r="E170" s="11"/>
      <c r="F170" s="11"/>
      <c r="G170" s="11"/>
      <c r="H170" s="11"/>
      <c r="I170" s="41"/>
      <c r="J170" s="11"/>
      <c r="K170" s="11"/>
      <c r="L170" s="11"/>
      <c r="M170" s="11"/>
      <c r="N170" s="11"/>
      <c r="O170" s="11"/>
      <c r="P170" s="11"/>
      <c r="Q170" s="41"/>
      <c r="R170" s="11"/>
      <c r="S170" s="11"/>
      <c r="T170" s="11"/>
      <c r="U170" s="11"/>
      <c r="V170" s="11"/>
      <c r="W170" s="11"/>
      <c r="X170" s="11"/>
      <c r="Y170" s="4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40"/>
      <c r="CQ170" s="40"/>
      <c r="CR170" s="40"/>
      <c r="CS170" s="40"/>
      <c r="CT170" s="40"/>
      <c r="CU170" s="40"/>
      <c r="CV170" s="40"/>
      <c r="CW170" s="40"/>
      <c r="CX170" s="40"/>
      <c r="CY170" s="40"/>
      <c r="CZ170" s="40"/>
      <c r="DA170" s="11"/>
      <c r="DB170" s="11"/>
      <c r="DC170" s="11"/>
      <c r="DD170" s="11"/>
      <c r="DE170" s="11"/>
      <c r="DF170" s="11"/>
      <c r="DG170" s="11"/>
    </row>
    <row r="171" ht="15.75" customHeight="1">
      <c r="A171" s="41"/>
      <c r="B171" s="11"/>
      <c r="C171" s="11"/>
      <c r="D171" s="11"/>
      <c r="E171" s="11"/>
      <c r="F171" s="11"/>
      <c r="G171" s="11"/>
      <c r="H171" s="11"/>
      <c r="I171" s="41"/>
      <c r="J171" s="11"/>
      <c r="K171" s="11"/>
      <c r="L171" s="11"/>
      <c r="M171" s="11"/>
      <c r="N171" s="11"/>
      <c r="O171" s="11"/>
      <c r="P171" s="11"/>
      <c r="Q171" s="41"/>
      <c r="R171" s="11"/>
      <c r="S171" s="11"/>
      <c r="T171" s="11"/>
      <c r="U171" s="11"/>
      <c r="V171" s="11"/>
      <c r="W171" s="11"/>
      <c r="X171" s="11"/>
      <c r="Y171" s="4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40"/>
      <c r="CQ171" s="40"/>
      <c r="CR171" s="40"/>
      <c r="CS171" s="40"/>
      <c r="CT171" s="40"/>
      <c r="CU171" s="40"/>
      <c r="CV171" s="40"/>
      <c r="CW171" s="40"/>
      <c r="CX171" s="40"/>
      <c r="CY171" s="40"/>
      <c r="CZ171" s="40"/>
      <c r="DA171" s="11"/>
      <c r="DB171" s="11"/>
      <c r="DC171" s="11"/>
      <c r="DD171" s="11"/>
      <c r="DE171" s="11"/>
      <c r="DF171" s="11"/>
      <c r="DG171" s="11"/>
    </row>
    <row r="172" ht="15.75" customHeight="1">
      <c r="A172" s="41"/>
      <c r="B172" s="11"/>
      <c r="C172" s="11"/>
      <c r="D172" s="11"/>
      <c r="E172" s="11"/>
      <c r="F172" s="11"/>
      <c r="G172" s="11"/>
      <c r="H172" s="11"/>
      <c r="I172" s="41"/>
      <c r="J172" s="11"/>
      <c r="K172" s="11"/>
      <c r="L172" s="11"/>
      <c r="M172" s="11"/>
      <c r="N172" s="11"/>
      <c r="O172" s="11"/>
      <c r="P172" s="11"/>
      <c r="Q172" s="41"/>
      <c r="R172" s="11"/>
      <c r="S172" s="11"/>
      <c r="T172" s="11"/>
      <c r="U172" s="11"/>
      <c r="V172" s="11"/>
      <c r="W172" s="11"/>
      <c r="X172" s="11"/>
      <c r="Y172" s="4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40"/>
      <c r="CQ172" s="40"/>
      <c r="CR172" s="40"/>
      <c r="CS172" s="40"/>
      <c r="CT172" s="40"/>
      <c r="CU172" s="40"/>
      <c r="CV172" s="40"/>
      <c r="CW172" s="40"/>
      <c r="CX172" s="40"/>
      <c r="CY172" s="40"/>
      <c r="CZ172" s="40"/>
      <c r="DA172" s="11"/>
      <c r="DB172" s="11"/>
      <c r="DC172" s="11"/>
      <c r="DD172" s="11"/>
      <c r="DE172" s="11"/>
      <c r="DF172" s="11"/>
      <c r="DG172" s="11"/>
    </row>
    <row r="173" ht="15.75" customHeight="1">
      <c r="A173" s="41"/>
      <c r="B173" s="11"/>
      <c r="C173" s="11"/>
      <c r="D173" s="11"/>
      <c r="E173" s="11"/>
      <c r="F173" s="11"/>
      <c r="G173" s="11"/>
      <c r="H173" s="11"/>
      <c r="I173" s="41"/>
      <c r="J173" s="11"/>
      <c r="K173" s="11"/>
      <c r="L173" s="11"/>
      <c r="M173" s="11"/>
      <c r="N173" s="11"/>
      <c r="O173" s="11"/>
      <c r="P173" s="11"/>
      <c r="Q173" s="41"/>
      <c r="R173" s="11"/>
      <c r="S173" s="11"/>
      <c r="T173" s="11"/>
      <c r="U173" s="11"/>
      <c r="V173" s="11"/>
      <c r="W173" s="11"/>
      <c r="X173" s="11"/>
      <c r="Y173" s="4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40"/>
      <c r="CQ173" s="40"/>
      <c r="CR173" s="40"/>
      <c r="CS173" s="40"/>
      <c r="CT173" s="40"/>
      <c r="CU173" s="40"/>
      <c r="CV173" s="40"/>
      <c r="CW173" s="40"/>
      <c r="CX173" s="40"/>
      <c r="CY173" s="40"/>
      <c r="CZ173" s="40"/>
      <c r="DA173" s="11"/>
      <c r="DB173" s="11"/>
      <c r="DC173" s="11"/>
      <c r="DD173" s="11"/>
      <c r="DE173" s="11"/>
      <c r="DF173" s="11"/>
      <c r="DG173" s="11"/>
    </row>
    <row r="174" ht="15.75" customHeight="1">
      <c r="A174" s="41"/>
      <c r="B174" s="11"/>
      <c r="C174" s="11"/>
      <c r="D174" s="11"/>
      <c r="E174" s="11"/>
      <c r="F174" s="11"/>
      <c r="G174" s="11"/>
      <c r="H174" s="11"/>
      <c r="I174" s="41"/>
      <c r="J174" s="11"/>
      <c r="K174" s="11"/>
      <c r="L174" s="11"/>
      <c r="M174" s="11"/>
      <c r="N174" s="11"/>
      <c r="O174" s="11"/>
      <c r="P174" s="11"/>
      <c r="Q174" s="41"/>
      <c r="R174" s="11"/>
      <c r="S174" s="11"/>
      <c r="T174" s="11"/>
      <c r="U174" s="11"/>
      <c r="V174" s="11"/>
      <c r="W174" s="11"/>
      <c r="X174" s="11"/>
      <c r="Y174" s="4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40"/>
      <c r="CQ174" s="40"/>
      <c r="CR174" s="40"/>
      <c r="CS174" s="40"/>
      <c r="CT174" s="40"/>
      <c r="CU174" s="40"/>
      <c r="CV174" s="40"/>
      <c r="CW174" s="40"/>
      <c r="CX174" s="40"/>
      <c r="CY174" s="40"/>
      <c r="CZ174" s="40"/>
      <c r="DA174" s="11"/>
      <c r="DB174" s="11"/>
      <c r="DC174" s="11"/>
      <c r="DD174" s="11"/>
      <c r="DE174" s="11"/>
      <c r="DF174" s="11"/>
      <c r="DG174" s="11"/>
    </row>
    <row r="175" ht="15.75" customHeight="1">
      <c r="A175" s="41"/>
      <c r="B175" s="11"/>
      <c r="C175" s="11"/>
      <c r="D175" s="11"/>
      <c r="E175" s="11"/>
      <c r="F175" s="11"/>
      <c r="G175" s="11"/>
      <c r="H175" s="11"/>
      <c r="I175" s="41"/>
      <c r="J175" s="11"/>
      <c r="K175" s="11"/>
      <c r="L175" s="11"/>
      <c r="M175" s="11"/>
      <c r="N175" s="11"/>
      <c r="O175" s="11"/>
      <c r="P175" s="11"/>
      <c r="Q175" s="41"/>
      <c r="R175" s="11"/>
      <c r="S175" s="11"/>
      <c r="T175" s="11"/>
      <c r="U175" s="11"/>
      <c r="V175" s="11"/>
      <c r="W175" s="11"/>
      <c r="X175" s="11"/>
      <c r="Y175" s="4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40"/>
      <c r="CQ175" s="40"/>
      <c r="CR175" s="40"/>
      <c r="CS175" s="40"/>
      <c r="CT175" s="40"/>
      <c r="CU175" s="40"/>
      <c r="CV175" s="40"/>
      <c r="CW175" s="40"/>
      <c r="CX175" s="40"/>
      <c r="CY175" s="40"/>
      <c r="CZ175" s="40"/>
      <c r="DA175" s="11"/>
      <c r="DB175" s="11"/>
      <c r="DC175" s="11"/>
      <c r="DD175" s="11"/>
      <c r="DE175" s="11"/>
      <c r="DF175" s="11"/>
      <c r="DG175" s="11"/>
    </row>
    <row r="176" ht="15.75" customHeight="1">
      <c r="A176" s="41"/>
      <c r="B176" s="11"/>
      <c r="C176" s="11"/>
      <c r="D176" s="11"/>
      <c r="E176" s="11"/>
      <c r="F176" s="11"/>
      <c r="G176" s="11"/>
      <c r="H176" s="11"/>
      <c r="I176" s="41"/>
      <c r="J176" s="11"/>
      <c r="K176" s="11"/>
      <c r="L176" s="11"/>
      <c r="M176" s="11"/>
      <c r="N176" s="11"/>
      <c r="O176" s="11"/>
      <c r="P176" s="11"/>
      <c r="Q176" s="41"/>
      <c r="R176" s="11"/>
      <c r="S176" s="11"/>
      <c r="T176" s="11"/>
      <c r="U176" s="11"/>
      <c r="V176" s="11"/>
      <c r="W176" s="11"/>
      <c r="X176" s="11"/>
      <c r="Y176" s="4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40"/>
      <c r="CQ176" s="40"/>
      <c r="CR176" s="40"/>
      <c r="CS176" s="40"/>
      <c r="CT176" s="40"/>
      <c r="CU176" s="40"/>
      <c r="CV176" s="40"/>
      <c r="CW176" s="40"/>
      <c r="CX176" s="40"/>
      <c r="CY176" s="40"/>
      <c r="CZ176" s="40"/>
      <c r="DA176" s="11"/>
      <c r="DB176" s="11"/>
      <c r="DC176" s="11"/>
      <c r="DD176" s="11"/>
      <c r="DE176" s="11"/>
      <c r="DF176" s="11"/>
      <c r="DG176" s="11"/>
    </row>
    <row r="177" ht="15.75" customHeight="1">
      <c r="A177" s="41"/>
      <c r="B177" s="11"/>
      <c r="C177" s="11"/>
      <c r="D177" s="11"/>
      <c r="E177" s="11"/>
      <c r="F177" s="11"/>
      <c r="G177" s="11"/>
      <c r="H177" s="11"/>
      <c r="I177" s="41"/>
      <c r="J177" s="11"/>
      <c r="K177" s="11"/>
      <c r="L177" s="11"/>
      <c r="M177" s="11"/>
      <c r="N177" s="11"/>
      <c r="O177" s="11"/>
      <c r="P177" s="11"/>
      <c r="Q177" s="41"/>
      <c r="R177" s="11"/>
      <c r="S177" s="11"/>
      <c r="T177" s="11"/>
      <c r="U177" s="11"/>
      <c r="V177" s="11"/>
      <c r="W177" s="11"/>
      <c r="X177" s="11"/>
      <c r="Y177" s="4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40"/>
      <c r="CQ177" s="40"/>
      <c r="CR177" s="40"/>
      <c r="CS177" s="40"/>
      <c r="CT177" s="40"/>
      <c r="CU177" s="40"/>
      <c r="CV177" s="40"/>
      <c r="CW177" s="40"/>
      <c r="CX177" s="40"/>
      <c r="CY177" s="40"/>
      <c r="CZ177" s="40"/>
      <c r="DA177" s="11"/>
      <c r="DB177" s="11"/>
      <c r="DC177" s="11"/>
      <c r="DD177" s="11"/>
      <c r="DE177" s="11"/>
      <c r="DF177" s="11"/>
      <c r="DG177" s="11"/>
    </row>
    <row r="178" ht="15.75" customHeight="1">
      <c r="A178" s="41"/>
      <c r="B178" s="11"/>
      <c r="C178" s="11"/>
      <c r="D178" s="11"/>
      <c r="E178" s="11"/>
      <c r="F178" s="11"/>
      <c r="G178" s="11"/>
      <c r="H178" s="11"/>
      <c r="I178" s="41"/>
      <c r="J178" s="11"/>
      <c r="K178" s="11"/>
      <c r="L178" s="11"/>
      <c r="M178" s="11"/>
      <c r="N178" s="11"/>
      <c r="O178" s="11"/>
      <c r="P178" s="11"/>
      <c r="Q178" s="41"/>
      <c r="R178" s="11"/>
      <c r="S178" s="11"/>
      <c r="T178" s="11"/>
      <c r="U178" s="11"/>
      <c r="V178" s="11"/>
      <c r="W178" s="11"/>
      <c r="X178" s="11"/>
      <c r="Y178" s="4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40"/>
      <c r="CQ178" s="40"/>
      <c r="CR178" s="40"/>
      <c r="CS178" s="40"/>
      <c r="CT178" s="40"/>
      <c r="CU178" s="40"/>
      <c r="CV178" s="40"/>
      <c r="CW178" s="40"/>
      <c r="CX178" s="40"/>
      <c r="CY178" s="40"/>
      <c r="CZ178" s="40"/>
      <c r="DA178" s="11"/>
      <c r="DB178" s="11"/>
      <c r="DC178" s="11"/>
      <c r="DD178" s="11"/>
      <c r="DE178" s="11"/>
      <c r="DF178" s="11"/>
      <c r="DG178" s="11"/>
    </row>
    <row r="179" ht="15.75" customHeight="1">
      <c r="A179" s="41"/>
      <c r="B179" s="11"/>
      <c r="C179" s="11"/>
      <c r="D179" s="11"/>
      <c r="E179" s="11"/>
      <c r="F179" s="11"/>
      <c r="G179" s="11"/>
      <c r="H179" s="11"/>
      <c r="I179" s="41"/>
      <c r="J179" s="11"/>
      <c r="K179" s="11"/>
      <c r="L179" s="11"/>
      <c r="M179" s="11"/>
      <c r="N179" s="11"/>
      <c r="O179" s="11"/>
      <c r="P179" s="11"/>
      <c r="Q179" s="41"/>
      <c r="R179" s="11"/>
      <c r="S179" s="11"/>
      <c r="T179" s="11"/>
      <c r="U179" s="11"/>
      <c r="V179" s="11"/>
      <c r="W179" s="11"/>
      <c r="X179" s="11"/>
      <c r="Y179" s="4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40"/>
      <c r="CQ179" s="40"/>
      <c r="CR179" s="40"/>
      <c r="CS179" s="40"/>
      <c r="CT179" s="40"/>
      <c r="CU179" s="40"/>
      <c r="CV179" s="40"/>
      <c r="CW179" s="40"/>
      <c r="CX179" s="40"/>
      <c r="CY179" s="40"/>
      <c r="CZ179" s="40"/>
      <c r="DA179" s="11"/>
      <c r="DB179" s="11"/>
      <c r="DC179" s="11"/>
      <c r="DD179" s="11"/>
      <c r="DE179" s="11"/>
      <c r="DF179" s="11"/>
      <c r="DG179" s="11"/>
    </row>
    <row r="180" ht="15.75" customHeight="1">
      <c r="A180" s="41"/>
      <c r="B180" s="11"/>
      <c r="C180" s="11"/>
      <c r="D180" s="11"/>
      <c r="E180" s="11"/>
      <c r="F180" s="11"/>
      <c r="G180" s="11"/>
      <c r="H180" s="11"/>
      <c r="I180" s="41"/>
      <c r="J180" s="11"/>
      <c r="K180" s="11"/>
      <c r="L180" s="11"/>
      <c r="M180" s="11"/>
      <c r="N180" s="11"/>
      <c r="O180" s="11"/>
      <c r="P180" s="11"/>
      <c r="Q180" s="41"/>
      <c r="R180" s="11"/>
      <c r="S180" s="11"/>
      <c r="T180" s="11"/>
      <c r="U180" s="11"/>
      <c r="V180" s="11"/>
      <c r="W180" s="11"/>
      <c r="X180" s="11"/>
      <c r="Y180" s="4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40"/>
      <c r="CQ180" s="40"/>
      <c r="CR180" s="40"/>
      <c r="CS180" s="40"/>
      <c r="CT180" s="40"/>
      <c r="CU180" s="40"/>
      <c r="CV180" s="40"/>
      <c r="CW180" s="40"/>
      <c r="CX180" s="40"/>
      <c r="CY180" s="40"/>
      <c r="CZ180" s="40"/>
      <c r="DA180" s="11"/>
      <c r="DB180" s="11"/>
      <c r="DC180" s="11"/>
      <c r="DD180" s="11"/>
      <c r="DE180" s="11"/>
      <c r="DF180" s="11"/>
      <c r="DG180" s="11"/>
    </row>
    <row r="181" ht="15.75" customHeight="1">
      <c r="A181" s="41"/>
      <c r="B181" s="11"/>
      <c r="C181" s="11"/>
      <c r="D181" s="11"/>
      <c r="E181" s="11"/>
      <c r="F181" s="11"/>
      <c r="G181" s="11"/>
      <c r="H181" s="11"/>
      <c r="I181" s="41"/>
      <c r="J181" s="11"/>
      <c r="K181" s="11"/>
      <c r="L181" s="11"/>
      <c r="M181" s="11"/>
      <c r="N181" s="11"/>
      <c r="O181" s="11"/>
      <c r="P181" s="11"/>
      <c r="Q181" s="41"/>
      <c r="R181" s="11"/>
      <c r="S181" s="11"/>
      <c r="T181" s="11"/>
      <c r="U181" s="11"/>
      <c r="V181" s="11"/>
      <c r="W181" s="11"/>
      <c r="X181" s="11"/>
      <c r="Y181" s="4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40"/>
      <c r="CQ181" s="40"/>
      <c r="CR181" s="40"/>
      <c r="CS181" s="40"/>
      <c r="CT181" s="40"/>
      <c r="CU181" s="40"/>
      <c r="CV181" s="40"/>
      <c r="CW181" s="40"/>
      <c r="CX181" s="40"/>
      <c r="CY181" s="40"/>
      <c r="CZ181" s="40"/>
      <c r="DA181" s="11"/>
      <c r="DB181" s="11"/>
      <c r="DC181" s="11"/>
      <c r="DD181" s="11"/>
      <c r="DE181" s="11"/>
      <c r="DF181" s="11"/>
      <c r="DG181" s="11"/>
    </row>
    <row r="182" ht="15.75" customHeight="1">
      <c r="A182" s="41"/>
      <c r="B182" s="11"/>
      <c r="C182" s="11"/>
      <c r="D182" s="11"/>
      <c r="E182" s="11"/>
      <c r="F182" s="11"/>
      <c r="G182" s="11"/>
      <c r="H182" s="11"/>
      <c r="I182" s="41"/>
      <c r="J182" s="11"/>
      <c r="K182" s="11"/>
      <c r="L182" s="11"/>
      <c r="M182" s="11"/>
      <c r="N182" s="11"/>
      <c r="O182" s="11"/>
      <c r="P182" s="11"/>
      <c r="Q182" s="41"/>
      <c r="R182" s="11"/>
      <c r="S182" s="11"/>
      <c r="T182" s="11"/>
      <c r="U182" s="11"/>
      <c r="V182" s="11"/>
      <c r="W182" s="11"/>
      <c r="X182" s="11"/>
      <c r="Y182" s="4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40"/>
      <c r="CQ182" s="40"/>
      <c r="CR182" s="40"/>
      <c r="CS182" s="40"/>
      <c r="CT182" s="40"/>
      <c r="CU182" s="40"/>
      <c r="CV182" s="40"/>
      <c r="CW182" s="40"/>
      <c r="CX182" s="40"/>
      <c r="CY182" s="40"/>
      <c r="CZ182" s="40"/>
      <c r="DA182" s="11"/>
      <c r="DB182" s="11"/>
      <c r="DC182" s="11"/>
      <c r="DD182" s="11"/>
      <c r="DE182" s="11"/>
      <c r="DF182" s="11"/>
      <c r="DG182" s="11"/>
    </row>
    <row r="183" ht="15.75" customHeight="1">
      <c r="A183" s="41"/>
      <c r="B183" s="11"/>
      <c r="C183" s="11"/>
      <c r="D183" s="11"/>
      <c r="E183" s="11"/>
      <c r="F183" s="11"/>
      <c r="G183" s="11"/>
      <c r="H183" s="11"/>
      <c r="I183" s="41"/>
      <c r="J183" s="11"/>
      <c r="K183" s="11"/>
      <c r="L183" s="11"/>
      <c r="M183" s="11"/>
      <c r="N183" s="11"/>
      <c r="O183" s="11"/>
      <c r="P183" s="11"/>
      <c r="Q183" s="41"/>
      <c r="R183" s="11"/>
      <c r="S183" s="11"/>
      <c r="T183" s="11"/>
      <c r="U183" s="11"/>
      <c r="V183" s="11"/>
      <c r="W183" s="11"/>
      <c r="X183" s="11"/>
      <c r="Y183" s="4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40"/>
      <c r="CQ183" s="40"/>
      <c r="CR183" s="40"/>
      <c r="CS183" s="40"/>
      <c r="CT183" s="40"/>
      <c r="CU183" s="40"/>
      <c r="CV183" s="40"/>
      <c r="CW183" s="40"/>
      <c r="CX183" s="40"/>
      <c r="CY183" s="40"/>
      <c r="CZ183" s="40"/>
      <c r="DA183" s="11"/>
      <c r="DB183" s="11"/>
      <c r="DC183" s="11"/>
      <c r="DD183" s="11"/>
      <c r="DE183" s="11"/>
      <c r="DF183" s="11"/>
      <c r="DG183" s="11"/>
    </row>
    <row r="184" ht="15.75" customHeight="1">
      <c r="A184" s="41"/>
      <c r="B184" s="11"/>
      <c r="C184" s="11"/>
      <c r="D184" s="11"/>
      <c r="E184" s="11"/>
      <c r="F184" s="11"/>
      <c r="G184" s="11"/>
      <c r="H184" s="11"/>
      <c r="I184" s="41"/>
      <c r="J184" s="11"/>
      <c r="K184" s="11"/>
      <c r="L184" s="11"/>
      <c r="M184" s="11"/>
      <c r="N184" s="11"/>
      <c r="O184" s="11"/>
      <c r="P184" s="11"/>
      <c r="Q184" s="41"/>
      <c r="R184" s="11"/>
      <c r="S184" s="11"/>
      <c r="T184" s="11"/>
      <c r="U184" s="11"/>
      <c r="V184" s="11"/>
      <c r="W184" s="11"/>
      <c r="X184" s="11"/>
      <c r="Y184" s="4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40"/>
      <c r="CQ184" s="40"/>
      <c r="CR184" s="40"/>
      <c r="CS184" s="40"/>
      <c r="CT184" s="40"/>
      <c r="CU184" s="40"/>
      <c r="CV184" s="40"/>
      <c r="CW184" s="40"/>
      <c r="CX184" s="40"/>
      <c r="CY184" s="40"/>
      <c r="CZ184" s="40"/>
      <c r="DA184" s="11"/>
      <c r="DB184" s="11"/>
      <c r="DC184" s="11"/>
      <c r="DD184" s="11"/>
      <c r="DE184" s="11"/>
      <c r="DF184" s="11"/>
      <c r="DG184" s="11"/>
    </row>
    <row r="185" ht="15.75" customHeight="1">
      <c r="A185" s="41"/>
      <c r="B185" s="11"/>
      <c r="C185" s="11"/>
      <c r="D185" s="11"/>
      <c r="E185" s="11"/>
      <c r="F185" s="11"/>
      <c r="G185" s="11"/>
      <c r="H185" s="11"/>
      <c r="I185" s="41"/>
      <c r="J185" s="11"/>
      <c r="K185" s="11"/>
      <c r="L185" s="11"/>
      <c r="M185" s="11"/>
      <c r="N185" s="11"/>
      <c r="O185" s="11"/>
      <c r="P185" s="11"/>
      <c r="Q185" s="41"/>
      <c r="R185" s="11"/>
      <c r="S185" s="11"/>
      <c r="T185" s="11"/>
      <c r="U185" s="11"/>
      <c r="V185" s="11"/>
      <c r="W185" s="11"/>
      <c r="X185" s="11"/>
      <c r="Y185" s="4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40"/>
      <c r="CQ185" s="40"/>
      <c r="CR185" s="40"/>
      <c r="CS185" s="40"/>
      <c r="CT185" s="40"/>
      <c r="CU185" s="40"/>
      <c r="CV185" s="40"/>
      <c r="CW185" s="40"/>
      <c r="CX185" s="40"/>
      <c r="CY185" s="40"/>
      <c r="CZ185" s="40"/>
      <c r="DA185" s="11"/>
      <c r="DB185" s="11"/>
      <c r="DC185" s="11"/>
      <c r="DD185" s="11"/>
      <c r="DE185" s="11"/>
      <c r="DF185" s="11"/>
      <c r="DG185" s="11"/>
    </row>
    <row r="186" ht="15.75" customHeight="1">
      <c r="A186" s="41"/>
      <c r="B186" s="11"/>
      <c r="C186" s="11"/>
      <c r="D186" s="11"/>
      <c r="E186" s="11"/>
      <c r="F186" s="11"/>
      <c r="G186" s="11"/>
      <c r="H186" s="11"/>
      <c r="I186" s="41"/>
      <c r="J186" s="11"/>
      <c r="K186" s="11"/>
      <c r="L186" s="11"/>
      <c r="M186" s="11"/>
      <c r="N186" s="11"/>
      <c r="O186" s="11"/>
      <c r="P186" s="11"/>
      <c r="Q186" s="41"/>
      <c r="R186" s="11"/>
      <c r="S186" s="11"/>
      <c r="T186" s="11"/>
      <c r="U186" s="11"/>
      <c r="V186" s="11"/>
      <c r="W186" s="11"/>
      <c r="X186" s="11"/>
      <c r="Y186" s="4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40"/>
      <c r="CQ186" s="40"/>
      <c r="CR186" s="40"/>
      <c r="CS186" s="40"/>
      <c r="CT186" s="40"/>
      <c r="CU186" s="40"/>
      <c r="CV186" s="40"/>
      <c r="CW186" s="40"/>
      <c r="CX186" s="40"/>
      <c r="CY186" s="40"/>
      <c r="CZ186" s="40"/>
      <c r="DA186" s="11"/>
      <c r="DB186" s="11"/>
      <c r="DC186" s="11"/>
      <c r="DD186" s="11"/>
      <c r="DE186" s="11"/>
      <c r="DF186" s="11"/>
      <c r="DG186" s="11"/>
    </row>
    <row r="187" ht="15.75" customHeight="1">
      <c r="A187" s="41"/>
      <c r="B187" s="11"/>
      <c r="C187" s="11"/>
      <c r="D187" s="11"/>
      <c r="E187" s="11"/>
      <c r="F187" s="11"/>
      <c r="G187" s="11"/>
      <c r="H187" s="11"/>
      <c r="I187" s="41"/>
      <c r="J187" s="11"/>
      <c r="K187" s="11"/>
      <c r="L187" s="11"/>
      <c r="M187" s="11"/>
      <c r="N187" s="11"/>
      <c r="O187" s="11"/>
      <c r="P187" s="11"/>
      <c r="Q187" s="41"/>
      <c r="R187" s="11"/>
      <c r="S187" s="11"/>
      <c r="T187" s="11"/>
      <c r="U187" s="11"/>
      <c r="V187" s="11"/>
      <c r="W187" s="11"/>
      <c r="X187" s="11"/>
      <c r="Y187" s="4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40"/>
      <c r="CQ187" s="40"/>
      <c r="CR187" s="40"/>
      <c r="CS187" s="40"/>
      <c r="CT187" s="40"/>
      <c r="CU187" s="40"/>
      <c r="CV187" s="40"/>
      <c r="CW187" s="40"/>
      <c r="CX187" s="40"/>
      <c r="CY187" s="40"/>
      <c r="CZ187" s="40"/>
      <c r="DA187" s="11"/>
      <c r="DB187" s="11"/>
      <c r="DC187" s="11"/>
      <c r="DD187" s="11"/>
      <c r="DE187" s="11"/>
      <c r="DF187" s="11"/>
      <c r="DG187" s="11"/>
    </row>
    <row r="188" ht="15.75" customHeight="1">
      <c r="A188" s="41"/>
      <c r="B188" s="11"/>
      <c r="C188" s="11"/>
      <c r="D188" s="11"/>
      <c r="E188" s="11"/>
      <c r="F188" s="11"/>
      <c r="G188" s="11"/>
      <c r="H188" s="11"/>
      <c r="I188" s="41"/>
      <c r="J188" s="11"/>
      <c r="K188" s="11"/>
      <c r="L188" s="11"/>
      <c r="M188" s="11"/>
      <c r="N188" s="11"/>
      <c r="O188" s="11"/>
      <c r="P188" s="11"/>
      <c r="Q188" s="41"/>
      <c r="R188" s="11"/>
      <c r="S188" s="11"/>
      <c r="T188" s="11"/>
      <c r="U188" s="11"/>
      <c r="V188" s="11"/>
      <c r="W188" s="11"/>
      <c r="X188" s="11"/>
      <c r="Y188" s="4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40"/>
      <c r="CQ188" s="40"/>
      <c r="CR188" s="40"/>
      <c r="CS188" s="40"/>
      <c r="CT188" s="40"/>
      <c r="CU188" s="40"/>
      <c r="CV188" s="40"/>
      <c r="CW188" s="40"/>
      <c r="CX188" s="40"/>
      <c r="CY188" s="40"/>
      <c r="CZ188" s="40"/>
      <c r="DA188" s="11"/>
      <c r="DB188" s="11"/>
      <c r="DC188" s="11"/>
      <c r="DD188" s="11"/>
      <c r="DE188" s="11"/>
      <c r="DF188" s="11"/>
      <c r="DG188" s="11"/>
    </row>
    <row r="189" ht="15.75" customHeight="1">
      <c r="A189" s="41"/>
      <c r="B189" s="11"/>
      <c r="C189" s="11"/>
      <c r="D189" s="11"/>
      <c r="E189" s="11"/>
      <c r="F189" s="11"/>
      <c r="G189" s="11"/>
      <c r="H189" s="11"/>
      <c r="I189" s="41"/>
      <c r="J189" s="11"/>
      <c r="K189" s="11"/>
      <c r="L189" s="11"/>
      <c r="M189" s="11"/>
      <c r="N189" s="11"/>
      <c r="O189" s="11"/>
      <c r="P189" s="11"/>
      <c r="Q189" s="41"/>
      <c r="R189" s="11"/>
      <c r="S189" s="11"/>
      <c r="T189" s="11"/>
      <c r="U189" s="11"/>
      <c r="V189" s="11"/>
      <c r="W189" s="11"/>
      <c r="X189" s="11"/>
      <c r="Y189" s="4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40"/>
      <c r="CQ189" s="40"/>
      <c r="CR189" s="40"/>
      <c r="CS189" s="40"/>
      <c r="CT189" s="40"/>
      <c r="CU189" s="40"/>
      <c r="CV189" s="40"/>
      <c r="CW189" s="40"/>
      <c r="CX189" s="40"/>
      <c r="CY189" s="40"/>
      <c r="CZ189" s="40"/>
      <c r="DA189" s="11"/>
      <c r="DB189" s="11"/>
      <c r="DC189" s="11"/>
      <c r="DD189" s="11"/>
      <c r="DE189" s="11"/>
      <c r="DF189" s="11"/>
      <c r="DG189" s="11"/>
    </row>
    <row r="190" ht="15.75" customHeight="1">
      <c r="A190" s="41"/>
      <c r="B190" s="11"/>
      <c r="C190" s="11"/>
      <c r="D190" s="11"/>
      <c r="E190" s="11"/>
      <c r="F190" s="11"/>
      <c r="G190" s="11"/>
      <c r="H190" s="11"/>
      <c r="I190" s="41"/>
      <c r="J190" s="11"/>
      <c r="K190" s="11"/>
      <c r="L190" s="11"/>
      <c r="M190" s="11"/>
      <c r="N190" s="11"/>
      <c r="O190" s="11"/>
      <c r="P190" s="11"/>
      <c r="Q190" s="41"/>
      <c r="R190" s="11"/>
      <c r="S190" s="11"/>
      <c r="T190" s="11"/>
      <c r="U190" s="11"/>
      <c r="V190" s="11"/>
      <c r="W190" s="11"/>
      <c r="X190" s="11"/>
      <c r="Y190" s="4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40"/>
      <c r="CQ190" s="40"/>
      <c r="CR190" s="40"/>
      <c r="CS190" s="40"/>
      <c r="CT190" s="40"/>
      <c r="CU190" s="40"/>
      <c r="CV190" s="40"/>
      <c r="CW190" s="40"/>
      <c r="CX190" s="40"/>
      <c r="CY190" s="40"/>
      <c r="CZ190" s="40"/>
      <c r="DA190" s="11"/>
      <c r="DB190" s="11"/>
      <c r="DC190" s="11"/>
      <c r="DD190" s="11"/>
      <c r="DE190" s="11"/>
      <c r="DF190" s="11"/>
      <c r="DG190" s="11"/>
    </row>
    <row r="191" ht="15.75" customHeight="1">
      <c r="A191" s="41"/>
      <c r="B191" s="11"/>
      <c r="C191" s="11"/>
      <c r="D191" s="11"/>
      <c r="E191" s="11"/>
      <c r="F191" s="11"/>
      <c r="G191" s="11"/>
      <c r="H191" s="11"/>
      <c r="I191" s="41"/>
      <c r="J191" s="11"/>
      <c r="K191" s="11"/>
      <c r="L191" s="11"/>
      <c r="M191" s="11"/>
      <c r="N191" s="11"/>
      <c r="O191" s="11"/>
      <c r="P191" s="11"/>
      <c r="Q191" s="41"/>
      <c r="R191" s="11"/>
      <c r="S191" s="11"/>
      <c r="T191" s="11"/>
      <c r="U191" s="11"/>
      <c r="V191" s="11"/>
      <c r="W191" s="11"/>
      <c r="X191" s="11"/>
      <c r="Y191" s="4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40"/>
      <c r="CQ191" s="40"/>
      <c r="CR191" s="40"/>
      <c r="CS191" s="40"/>
      <c r="CT191" s="40"/>
      <c r="CU191" s="40"/>
      <c r="CV191" s="40"/>
      <c r="CW191" s="40"/>
      <c r="CX191" s="40"/>
      <c r="CY191" s="40"/>
      <c r="CZ191" s="40"/>
      <c r="DA191" s="11"/>
      <c r="DB191" s="11"/>
      <c r="DC191" s="11"/>
      <c r="DD191" s="11"/>
      <c r="DE191" s="11"/>
      <c r="DF191" s="11"/>
      <c r="DG191" s="11"/>
    </row>
    <row r="192" ht="15.75" customHeight="1">
      <c r="A192" s="41"/>
      <c r="B192" s="11"/>
      <c r="C192" s="11"/>
      <c r="D192" s="11"/>
      <c r="E192" s="11"/>
      <c r="F192" s="11"/>
      <c r="G192" s="11"/>
      <c r="H192" s="11"/>
      <c r="I192" s="41"/>
      <c r="J192" s="11"/>
      <c r="K192" s="11"/>
      <c r="L192" s="11"/>
      <c r="M192" s="11"/>
      <c r="N192" s="11"/>
      <c r="O192" s="11"/>
      <c r="P192" s="11"/>
      <c r="Q192" s="41"/>
      <c r="R192" s="11"/>
      <c r="S192" s="11"/>
      <c r="T192" s="11"/>
      <c r="U192" s="11"/>
      <c r="V192" s="11"/>
      <c r="W192" s="11"/>
      <c r="X192" s="11"/>
      <c r="Y192" s="4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40"/>
      <c r="CQ192" s="40"/>
      <c r="CR192" s="40"/>
      <c r="CS192" s="40"/>
      <c r="CT192" s="40"/>
      <c r="CU192" s="40"/>
      <c r="CV192" s="40"/>
      <c r="CW192" s="40"/>
      <c r="CX192" s="40"/>
      <c r="CY192" s="40"/>
      <c r="CZ192" s="40"/>
      <c r="DA192" s="11"/>
      <c r="DB192" s="11"/>
      <c r="DC192" s="11"/>
      <c r="DD192" s="11"/>
      <c r="DE192" s="11"/>
      <c r="DF192" s="11"/>
      <c r="DG192" s="11"/>
    </row>
    <row r="193" ht="15.75" customHeight="1">
      <c r="A193" s="41"/>
      <c r="B193" s="11"/>
      <c r="C193" s="11"/>
      <c r="D193" s="11"/>
      <c r="E193" s="11"/>
      <c r="F193" s="11"/>
      <c r="G193" s="11"/>
      <c r="H193" s="11"/>
      <c r="I193" s="41"/>
      <c r="J193" s="11"/>
      <c r="K193" s="11"/>
      <c r="L193" s="11"/>
      <c r="M193" s="11"/>
      <c r="N193" s="11"/>
      <c r="O193" s="11"/>
      <c r="P193" s="11"/>
      <c r="Q193" s="41"/>
      <c r="R193" s="11"/>
      <c r="S193" s="11"/>
      <c r="T193" s="11"/>
      <c r="U193" s="11"/>
      <c r="V193" s="11"/>
      <c r="W193" s="11"/>
      <c r="X193" s="11"/>
      <c r="Y193" s="4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40"/>
      <c r="CQ193" s="40"/>
      <c r="CR193" s="40"/>
      <c r="CS193" s="40"/>
      <c r="CT193" s="40"/>
      <c r="CU193" s="40"/>
      <c r="CV193" s="40"/>
      <c r="CW193" s="40"/>
      <c r="CX193" s="40"/>
      <c r="CY193" s="40"/>
      <c r="CZ193" s="40"/>
      <c r="DA193" s="11"/>
      <c r="DB193" s="11"/>
      <c r="DC193" s="11"/>
      <c r="DD193" s="11"/>
      <c r="DE193" s="11"/>
      <c r="DF193" s="11"/>
      <c r="DG193" s="11"/>
    </row>
    <row r="194" ht="15.75" customHeight="1">
      <c r="A194" s="41"/>
      <c r="B194" s="11"/>
      <c r="C194" s="11"/>
      <c r="D194" s="11"/>
      <c r="E194" s="11"/>
      <c r="F194" s="11"/>
      <c r="G194" s="11"/>
      <c r="H194" s="11"/>
      <c r="I194" s="41"/>
      <c r="J194" s="11"/>
      <c r="K194" s="11"/>
      <c r="L194" s="11"/>
      <c r="M194" s="11"/>
      <c r="N194" s="11"/>
      <c r="O194" s="11"/>
      <c r="P194" s="11"/>
      <c r="Q194" s="41"/>
      <c r="R194" s="11"/>
      <c r="S194" s="11"/>
      <c r="T194" s="11"/>
      <c r="U194" s="11"/>
      <c r="V194" s="11"/>
      <c r="W194" s="11"/>
      <c r="X194" s="11"/>
      <c r="Y194" s="4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40"/>
      <c r="CQ194" s="40"/>
      <c r="CR194" s="40"/>
      <c r="CS194" s="40"/>
      <c r="CT194" s="40"/>
      <c r="CU194" s="40"/>
      <c r="CV194" s="40"/>
      <c r="CW194" s="40"/>
      <c r="CX194" s="40"/>
      <c r="CY194" s="40"/>
      <c r="CZ194" s="40"/>
      <c r="DA194" s="11"/>
      <c r="DB194" s="11"/>
      <c r="DC194" s="11"/>
      <c r="DD194" s="11"/>
      <c r="DE194" s="11"/>
      <c r="DF194" s="11"/>
      <c r="DG194" s="11"/>
    </row>
    <row r="195" ht="15.75" customHeight="1">
      <c r="A195" s="41"/>
      <c r="B195" s="11"/>
      <c r="C195" s="11"/>
      <c r="D195" s="11"/>
      <c r="E195" s="11"/>
      <c r="F195" s="11"/>
      <c r="G195" s="11"/>
      <c r="H195" s="11"/>
      <c r="I195" s="41"/>
      <c r="J195" s="11"/>
      <c r="K195" s="11"/>
      <c r="L195" s="11"/>
      <c r="M195" s="11"/>
      <c r="N195" s="11"/>
      <c r="O195" s="11"/>
      <c r="P195" s="11"/>
      <c r="Q195" s="41"/>
      <c r="R195" s="11"/>
      <c r="S195" s="11"/>
      <c r="T195" s="11"/>
      <c r="U195" s="11"/>
      <c r="V195" s="11"/>
      <c r="W195" s="11"/>
      <c r="X195" s="11"/>
      <c r="Y195" s="4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40"/>
      <c r="CQ195" s="40"/>
      <c r="CR195" s="40"/>
      <c r="CS195" s="40"/>
      <c r="CT195" s="40"/>
      <c r="CU195" s="40"/>
      <c r="CV195" s="40"/>
      <c r="CW195" s="40"/>
      <c r="CX195" s="40"/>
      <c r="CY195" s="40"/>
      <c r="CZ195" s="40"/>
      <c r="DA195" s="11"/>
      <c r="DB195" s="11"/>
      <c r="DC195" s="11"/>
      <c r="DD195" s="11"/>
      <c r="DE195" s="11"/>
      <c r="DF195" s="11"/>
      <c r="DG195" s="11"/>
    </row>
    <row r="196" ht="15.75" customHeight="1">
      <c r="A196" s="41"/>
      <c r="B196" s="11"/>
      <c r="C196" s="11"/>
      <c r="D196" s="11"/>
      <c r="E196" s="11"/>
      <c r="F196" s="11"/>
      <c r="G196" s="11"/>
      <c r="H196" s="11"/>
      <c r="I196" s="41"/>
      <c r="J196" s="11"/>
      <c r="K196" s="11"/>
      <c r="L196" s="11"/>
      <c r="M196" s="11"/>
      <c r="N196" s="11"/>
      <c r="O196" s="11"/>
      <c r="P196" s="11"/>
      <c r="Q196" s="41"/>
      <c r="R196" s="11"/>
      <c r="S196" s="11"/>
      <c r="T196" s="11"/>
      <c r="U196" s="11"/>
      <c r="V196" s="11"/>
      <c r="W196" s="11"/>
      <c r="X196" s="11"/>
      <c r="Y196" s="4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40"/>
      <c r="CQ196" s="40"/>
      <c r="CR196" s="40"/>
      <c r="CS196" s="40"/>
      <c r="CT196" s="40"/>
      <c r="CU196" s="40"/>
      <c r="CV196" s="40"/>
      <c r="CW196" s="40"/>
      <c r="CX196" s="40"/>
      <c r="CY196" s="40"/>
      <c r="CZ196" s="40"/>
      <c r="DA196" s="11"/>
      <c r="DB196" s="11"/>
      <c r="DC196" s="11"/>
      <c r="DD196" s="11"/>
      <c r="DE196" s="11"/>
      <c r="DF196" s="11"/>
      <c r="DG196" s="11"/>
    </row>
    <row r="197" ht="15.75" customHeight="1">
      <c r="A197" s="41"/>
      <c r="B197" s="11"/>
      <c r="C197" s="11"/>
      <c r="D197" s="11"/>
      <c r="E197" s="11"/>
      <c r="F197" s="11"/>
      <c r="G197" s="11"/>
      <c r="H197" s="11"/>
      <c r="I197" s="41"/>
      <c r="J197" s="11"/>
      <c r="K197" s="11"/>
      <c r="L197" s="11"/>
      <c r="M197" s="11"/>
      <c r="N197" s="11"/>
      <c r="O197" s="11"/>
      <c r="P197" s="11"/>
      <c r="Q197" s="41"/>
      <c r="R197" s="11"/>
      <c r="S197" s="11"/>
      <c r="T197" s="11"/>
      <c r="U197" s="11"/>
      <c r="V197" s="11"/>
      <c r="W197" s="11"/>
      <c r="X197" s="11"/>
      <c r="Y197" s="4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40"/>
      <c r="CQ197" s="40"/>
      <c r="CR197" s="40"/>
      <c r="CS197" s="40"/>
      <c r="CT197" s="40"/>
      <c r="CU197" s="40"/>
      <c r="CV197" s="40"/>
      <c r="CW197" s="40"/>
      <c r="CX197" s="40"/>
      <c r="CY197" s="40"/>
      <c r="CZ197" s="40"/>
      <c r="DA197" s="11"/>
      <c r="DB197" s="11"/>
      <c r="DC197" s="11"/>
      <c r="DD197" s="11"/>
      <c r="DE197" s="11"/>
      <c r="DF197" s="11"/>
      <c r="DG197" s="11"/>
    </row>
    <row r="198" ht="15.75" customHeight="1">
      <c r="A198" s="41"/>
      <c r="B198" s="11"/>
      <c r="C198" s="11"/>
      <c r="D198" s="11"/>
      <c r="E198" s="11"/>
      <c r="F198" s="11"/>
      <c r="G198" s="11"/>
      <c r="H198" s="11"/>
      <c r="I198" s="41"/>
      <c r="J198" s="11"/>
      <c r="K198" s="11"/>
      <c r="L198" s="11"/>
      <c r="M198" s="11"/>
      <c r="N198" s="11"/>
      <c r="O198" s="11"/>
      <c r="P198" s="11"/>
      <c r="Q198" s="41"/>
      <c r="R198" s="11"/>
      <c r="S198" s="11"/>
      <c r="T198" s="11"/>
      <c r="U198" s="11"/>
      <c r="V198" s="11"/>
      <c r="W198" s="11"/>
      <c r="X198" s="11"/>
      <c r="Y198" s="4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40"/>
      <c r="CQ198" s="40"/>
      <c r="CR198" s="40"/>
      <c r="CS198" s="40"/>
      <c r="CT198" s="40"/>
      <c r="CU198" s="40"/>
      <c r="CV198" s="40"/>
      <c r="CW198" s="40"/>
      <c r="CX198" s="40"/>
      <c r="CY198" s="40"/>
      <c r="CZ198" s="40"/>
      <c r="DA198" s="11"/>
      <c r="DB198" s="11"/>
      <c r="DC198" s="11"/>
      <c r="DD198" s="11"/>
      <c r="DE198" s="11"/>
      <c r="DF198" s="11"/>
      <c r="DG198" s="11"/>
    </row>
    <row r="199" ht="15.75" customHeight="1">
      <c r="A199" s="41"/>
      <c r="B199" s="11"/>
      <c r="C199" s="11"/>
      <c r="D199" s="11"/>
      <c r="E199" s="11"/>
      <c r="F199" s="11"/>
      <c r="G199" s="11"/>
      <c r="H199" s="11"/>
      <c r="I199" s="41"/>
      <c r="J199" s="11"/>
      <c r="K199" s="11"/>
      <c r="L199" s="11"/>
      <c r="M199" s="11"/>
      <c r="N199" s="11"/>
      <c r="O199" s="11"/>
      <c r="P199" s="11"/>
      <c r="Q199" s="41"/>
      <c r="R199" s="11"/>
      <c r="S199" s="11"/>
      <c r="T199" s="11"/>
      <c r="U199" s="11"/>
      <c r="V199" s="11"/>
      <c r="W199" s="11"/>
      <c r="X199" s="11"/>
      <c r="Y199" s="4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40"/>
      <c r="CQ199" s="40"/>
      <c r="CR199" s="40"/>
      <c r="CS199" s="40"/>
      <c r="CT199" s="40"/>
      <c r="CU199" s="40"/>
      <c r="CV199" s="40"/>
      <c r="CW199" s="40"/>
      <c r="CX199" s="40"/>
      <c r="CY199" s="40"/>
      <c r="CZ199" s="40"/>
      <c r="DA199" s="11"/>
      <c r="DB199" s="11"/>
      <c r="DC199" s="11"/>
      <c r="DD199" s="11"/>
      <c r="DE199" s="11"/>
      <c r="DF199" s="11"/>
      <c r="DG199" s="11"/>
    </row>
    <row r="200" ht="15.75" customHeight="1">
      <c r="A200" s="41"/>
      <c r="B200" s="11"/>
      <c r="C200" s="11"/>
      <c r="D200" s="11"/>
      <c r="E200" s="11"/>
      <c r="F200" s="11"/>
      <c r="G200" s="11"/>
      <c r="H200" s="11"/>
      <c r="I200" s="41"/>
      <c r="J200" s="11"/>
      <c r="K200" s="11"/>
      <c r="L200" s="11"/>
      <c r="M200" s="11"/>
      <c r="N200" s="11"/>
      <c r="O200" s="11"/>
      <c r="P200" s="11"/>
      <c r="Q200" s="41"/>
      <c r="R200" s="11"/>
      <c r="S200" s="11"/>
      <c r="T200" s="11"/>
      <c r="U200" s="11"/>
      <c r="V200" s="11"/>
      <c r="W200" s="11"/>
      <c r="X200" s="11"/>
      <c r="Y200" s="4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40"/>
      <c r="CQ200" s="40"/>
      <c r="CR200" s="40"/>
      <c r="CS200" s="40"/>
      <c r="CT200" s="40"/>
      <c r="CU200" s="40"/>
      <c r="CV200" s="40"/>
      <c r="CW200" s="40"/>
      <c r="CX200" s="40"/>
      <c r="CY200" s="40"/>
      <c r="CZ200" s="40"/>
      <c r="DA200" s="11"/>
      <c r="DB200" s="11"/>
      <c r="DC200" s="11"/>
      <c r="DD200" s="11"/>
      <c r="DE200" s="11"/>
      <c r="DF200" s="11"/>
      <c r="DG200" s="11"/>
    </row>
    <row r="201" ht="15.75" customHeight="1">
      <c r="A201" s="41"/>
      <c r="B201" s="11"/>
      <c r="C201" s="11"/>
      <c r="D201" s="11"/>
      <c r="E201" s="11"/>
      <c r="F201" s="11"/>
      <c r="G201" s="11"/>
      <c r="H201" s="11"/>
      <c r="I201" s="41"/>
      <c r="J201" s="11"/>
      <c r="K201" s="11"/>
      <c r="L201" s="11"/>
      <c r="M201" s="11"/>
      <c r="N201" s="11"/>
      <c r="O201" s="11"/>
      <c r="P201" s="11"/>
      <c r="Q201" s="41"/>
      <c r="R201" s="11"/>
      <c r="S201" s="11"/>
      <c r="T201" s="11"/>
      <c r="U201" s="11"/>
      <c r="V201" s="11"/>
      <c r="W201" s="11"/>
      <c r="X201" s="11"/>
      <c r="Y201" s="4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40"/>
      <c r="CQ201" s="40"/>
      <c r="CR201" s="40"/>
      <c r="CS201" s="40"/>
      <c r="CT201" s="40"/>
      <c r="CU201" s="40"/>
      <c r="CV201" s="40"/>
      <c r="CW201" s="40"/>
      <c r="CX201" s="40"/>
      <c r="CY201" s="40"/>
      <c r="CZ201" s="40"/>
      <c r="DA201" s="11"/>
      <c r="DB201" s="11"/>
      <c r="DC201" s="11"/>
      <c r="DD201" s="11"/>
      <c r="DE201" s="11"/>
      <c r="DF201" s="11"/>
      <c r="DG201" s="11"/>
    </row>
    <row r="202" ht="15.75" customHeight="1">
      <c r="A202" s="41"/>
      <c r="B202" s="11"/>
      <c r="C202" s="11"/>
      <c r="D202" s="11"/>
      <c r="E202" s="11"/>
      <c r="F202" s="11"/>
      <c r="G202" s="11"/>
      <c r="H202" s="11"/>
      <c r="I202" s="41"/>
      <c r="J202" s="11"/>
      <c r="K202" s="11"/>
      <c r="L202" s="11"/>
      <c r="M202" s="11"/>
      <c r="N202" s="11"/>
      <c r="O202" s="11"/>
      <c r="P202" s="11"/>
      <c r="Q202" s="41"/>
      <c r="R202" s="11"/>
      <c r="S202" s="11"/>
      <c r="T202" s="11"/>
      <c r="U202" s="11"/>
      <c r="V202" s="11"/>
      <c r="W202" s="11"/>
      <c r="X202" s="11"/>
      <c r="Y202" s="4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40"/>
      <c r="CQ202" s="40"/>
      <c r="CR202" s="40"/>
      <c r="CS202" s="40"/>
      <c r="CT202" s="40"/>
      <c r="CU202" s="40"/>
      <c r="CV202" s="40"/>
      <c r="CW202" s="40"/>
      <c r="CX202" s="40"/>
      <c r="CY202" s="40"/>
      <c r="CZ202" s="40"/>
      <c r="DA202" s="11"/>
      <c r="DB202" s="11"/>
      <c r="DC202" s="11"/>
      <c r="DD202" s="11"/>
      <c r="DE202" s="11"/>
      <c r="DF202" s="11"/>
      <c r="DG202" s="11"/>
    </row>
    <row r="203" ht="15.75" customHeight="1">
      <c r="A203" s="41"/>
      <c r="B203" s="11"/>
      <c r="C203" s="11"/>
      <c r="D203" s="11"/>
      <c r="E203" s="11"/>
      <c r="F203" s="11"/>
      <c r="G203" s="11"/>
      <c r="H203" s="11"/>
      <c r="I203" s="41"/>
      <c r="J203" s="11"/>
      <c r="K203" s="11"/>
      <c r="L203" s="11"/>
      <c r="M203" s="11"/>
      <c r="N203" s="11"/>
      <c r="O203" s="11"/>
      <c r="P203" s="11"/>
      <c r="Q203" s="41"/>
      <c r="R203" s="11"/>
      <c r="S203" s="11"/>
      <c r="T203" s="11"/>
      <c r="U203" s="11"/>
      <c r="V203" s="11"/>
      <c r="W203" s="11"/>
      <c r="X203" s="11"/>
      <c r="Y203" s="4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40"/>
      <c r="CQ203" s="40"/>
      <c r="CR203" s="40"/>
      <c r="CS203" s="40"/>
      <c r="CT203" s="40"/>
      <c r="CU203" s="40"/>
      <c r="CV203" s="40"/>
      <c r="CW203" s="40"/>
      <c r="CX203" s="40"/>
      <c r="CY203" s="40"/>
      <c r="CZ203" s="40"/>
      <c r="DA203" s="11"/>
      <c r="DB203" s="11"/>
      <c r="DC203" s="11"/>
      <c r="DD203" s="11"/>
      <c r="DE203" s="11"/>
      <c r="DF203" s="11"/>
      <c r="DG203" s="11"/>
    </row>
    <row r="204" ht="15.75" customHeight="1">
      <c r="A204" s="41"/>
      <c r="B204" s="11"/>
      <c r="C204" s="11"/>
      <c r="D204" s="11"/>
      <c r="E204" s="11"/>
      <c r="F204" s="11"/>
      <c r="G204" s="11"/>
      <c r="H204" s="11"/>
      <c r="I204" s="41"/>
      <c r="J204" s="11"/>
      <c r="K204" s="11"/>
      <c r="L204" s="11"/>
      <c r="M204" s="11"/>
      <c r="N204" s="11"/>
      <c r="O204" s="11"/>
      <c r="P204" s="11"/>
      <c r="Q204" s="41"/>
      <c r="R204" s="11"/>
      <c r="S204" s="11"/>
      <c r="T204" s="11"/>
      <c r="U204" s="11"/>
      <c r="V204" s="11"/>
      <c r="W204" s="11"/>
      <c r="X204" s="11"/>
      <c r="Y204" s="4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40"/>
      <c r="CQ204" s="40"/>
      <c r="CR204" s="40"/>
      <c r="CS204" s="40"/>
      <c r="CT204" s="40"/>
      <c r="CU204" s="40"/>
      <c r="CV204" s="40"/>
      <c r="CW204" s="40"/>
      <c r="CX204" s="40"/>
      <c r="CY204" s="40"/>
      <c r="CZ204" s="40"/>
      <c r="DA204" s="11"/>
      <c r="DB204" s="11"/>
      <c r="DC204" s="11"/>
      <c r="DD204" s="11"/>
      <c r="DE204" s="11"/>
      <c r="DF204" s="11"/>
      <c r="DG204" s="11"/>
    </row>
    <row r="205" ht="15.75" customHeight="1">
      <c r="A205" s="41"/>
      <c r="B205" s="11"/>
      <c r="C205" s="11"/>
      <c r="D205" s="11"/>
      <c r="E205" s="11"/>
      <c r="F205" s="11"/>
      <c r="G205" s="11"/>
      <c r="H205" s="11"/>
      <c r="I205" s="41"/>
      <c r="J205" s="11"/>
      <c r="K205" s="11"/>
      <c r="L205" s="11"/>
      <c r="M205" s="11"/>
      <c r="N205" s="11"/>
      <c r="O205" s="11"/>
      <c r="P205" s="11"/>
      <c r="Q205" s="41"/>
      <c r="R205" s="11"/>
      <c r="S205" s="11"/>
      <c r="T205" s="11"/>
      <c r="U205" s="11"/>
      <c r="V205" s="11"/>
      <c r="W205" s="11"/>
      <c r="X205" s="11"/>
      <c r="Y205" s="4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40"/>
      <c r="CQ205" s="40"/>
      <c r="CR205" s="40"/>
      <c r="CS205" s="40"/>
      <c r="CT205" s="40"/>
      <c r="CU205" s="40"/>
      <c r="CV205" s="40"/>
      <c r="CW205" s="40"/>
      <c r="CX205" s="40"/>
      <c r="CY205" s="40"/>
      <c r="CZ205" s="40"/>
      <c r="DA205" s="11"/>
      <c r="DB205" s="11"/>
      <c r="DC205" s="11"/>
      <c r="DD205" s="11"/>
      <c r="DE205" s="11"/>
      <c r="DF205" s="11"/>
      <c r="DG205" s="11"/>
    </row>
    <row r="206" ht="15.75" customHeight="1">
      <c r="A206" s="41"/>
      <c r="B206" s="11"/>
      <c r="C206" s="11"/>
      <c r="D206" s="11"/>
      <c r="E206" s="11"/>
      <c r="F206" s="11"/>
      <c r="G206" s="11"/>
      <c r="H206" s="11"/>
      <c r="I206" s="41"/>
      <c r="J206" s="11"/>
      <c r="K206" s="11"/>
      <c r="L206" s="11"/>
      <c r="M206" s="11"/>
      <c r="N206" s="11"/>
      <c r="O206" s="11"/>
      <c r="P206" s="11"/>
      <c r="Q206" s="41"/>
      <c r="R206" s="11"/>
      <c r="S206" s="11"/>
      <c r="T206" s="11"/>
      <c r="U206" s="11"/>
      <c r="V206" s="11"/>
      <c r="W206" s="11"/>
      <c r="X206" s="11"/>
      <c r="Y206" s="4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40"/>
      <c r="CQ206" s="40"/>
      <c r="CR206" s="40"/>
      <c r="CS206" s="40"/>
      <c r="CT206" s="40"/>
      <c r="CU206" s="40"/>
      <c r="CV206" s="40"/>
      <c r="CW206" s="40"/>
      <c r="CX206" s="40"/>
      <c r="CY206" s="40"/>
      <c r="CZ206" s="40"/>
      <c r="DA206" s="11"/>
      <c r="DB206" s="11"/>
      <c r="DC206" s="11"/>
      <c r="DD206" s="11"/>
      <c r="DE206" s="11"/>
      <c r="DF206" s="11"/>
      <c r="DG206" s="11"/>
    </row>
    <row r="207" ht="15.75" customHeight="1">
      <c r="A207" s="41"/>
      <c r="B207" s="11"/>
      <c r="C207" s="11"/>
      <c r="D207" s="11"/>
      <c r="E207" s="11"/>
      <c r="F207" s="11"/>
      <c r="G207" s="11"/>
      <c r="H207" s="11"/>
      <c r="I207" s="41"/>
      <c r="J207" s="11"/>
      <c r="K207" s="11"/>
      <c r="L207" s="11"/>
      <c r="M207" s="11"/>
      <c r="N207" s="11"/>
      <c r="O207" s="11"/>
      <c r="P207" s="11"/>
      <c r="Q207" s="41"/>
      <c r="R207" s="11"/>
      <c r="S207" s="11"/>
      <c r="T207" s="11"/>
      <c r="U207" s="11"/>
      <c r="V207" s="11"/>
      <c r="W207" s="11"/>
      <c r="X207" s="11"/>
      <c r="Y207" s="4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40"/>
      <c r="CQ207" s="40"/>
      <c r="CR207" s="40"/>
      <c r="CS207" s="40"/>
      <c r="CT207" s="40"/>
      <c r="CU207" s="40"/>
      <c r="CV207" s="40"/>
      <c r="CW207" s="40"/>
      <c r="CX207" s="40"/>
      <c r="CY207" s="40"/>
      <c r="CZ207" s="40"/>
      <c r="DA207" s="11"/>
      <c r="DB207" s="11"/>
      <c r="DC207" s="11"/>
      <c r="DD207" s="11"/>
      <c r="DE207" s="11"/>
      <c r="DF207" s="11"/>
      <c r="DG207" s="11"/>
    </row>
    <row r="208" ht="15.75" customHeight="1">
      <c r="A208" s="41"/>
      <c r="B208" s="11"/>
      <c r="C208" s="11"/>
      <c r="D208" s="11"/>
      <c r="E208" s="11"/>
      <c r="F208" s="11"/>
      <c r="G208" s="11"/>
      <c r="H208" s="11"/>
      <c r="I208" s="41"/>
      <c r="J208" s="11"/>
      <c r="K208" s="11"/>
      <c r="L208" s="11"/>
      <c r="M208" s="11"/>
      <c r="N208" s="11"/>
      <c r="O208" s="11"/>
      <c r="P208" s="11"/>
      <c r="Q208" s="41"/>
      <c r="R208" s="11"/>
      <c r="S208" s="11"/>
      <c r="T208" s="11"/>
      <c r="U208" s="11"/>
      <c r="V208" s="11"/>
      <c r="W208" s="11"/>
      <c r="X208" s="11"/>
      <c r="Y208" s="4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40"/>
      <c r="CQ208" s="40"/>
      <c r="CR208" s="40"/>
      <c r="CS208" s="40"/>
      <c r="CT208" s="40"/>
      <c r="CU208" s="40"/>
      <c r="CV208" s="40"/>
      <c r="CW208" s="40"/>
      <c r="CX208" s="40"/>
      <c r="CY208" s="40"/>
      <c r="CZ208" s="40"/>
      <c r="DA208" s="11"/>
      <c r="DB208" s="11"/>
      <c r="DC208" s="11"/>
      <c r="DD208" s="11"/>
      <c r="DE208" s="11"/>
      <c r="DF208" s="11"/>
      <c r="DG208" s="11"/>
    </row>
    <row r="209" ht="15.75" customHeight="1">
      <c r="A209" s="41"/>
      <c r="B209" s="11"/>
      <c r="C209" s="11"/>
      <c r="D209" s="11"/>
      <c r="E209" s="11"/>
      <c r="F209" s="11"/>
      <c r="G209" s="11"/>
      <c r="H209" s="11"/>
      <c r="I209" s="41"/>
      <c r="J209" s="11"/>
      <c r="K209" s="11"/>
      <c r="L209" s="11"/>
      <c r="M209" s="11"/>
      <c r="N209" s="11"/>
      <c r="O209" s="11"/>
      <c r="P209" s="11"/>
      <c r="Q209" s="41"/>
      <c r="R209" s="11"/>
      <c r="S209" s="11"/>
      <c r="T209" s="11"/>
      <c r="U209" s="11"/>
      <c r="V209" s="11"/>
      <c r="W209" s="11"/>
      <c r="X209" s="11"/>
      <c r="Y209" s="4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40"/>
      <c r="CQ209" s="40"/>
      <c r="CR209" s="40"/>
      <c r="CS209" s="40"/>
      <c r="CT209" s="40"/>
      <c r="CU209" s="40"/>
      <c r="CV209" s="40"/>
      <c r="CW209" s="40"/>
      <c r="CX209" s="40"/>
      <c r="CY209" s="40"/>
      <c r="CZ209" s="40"/>
      <c r="DA209" s="11"/>
      <c r="DB209" s="11"/>
      <c r="DC209" s="11"/>
      <c r="DD209" s="11"/>
      <c r="DE209" s="11"/>
      <c r="DF209" s="11"/>
      <c r="DG209" s="11"/>
    </row>
    <row r="210" ht="15.75" customHeight="1">
      <c r="A210" s="41"/>
      <c r="B210" s="11"/>
      <c r="C210" s="11"/>
      <c r="D210" s="11"/>
      <c r="E210" s="11"/>
      <c r="F210" s="11"/>
      <c r="G210" s="11"/>
      <c r="H210" s="11"/>
      <c r="I210" s="41"/>
      <c r="J210" s="11"/>
      <c r="K210" s="11"/>
      <c r="L210" s="11"/>
      <c r="M210" s="11"/>
      <c r="N210" s="11"/>
      <c r="O210" s="11"/>
      <c r="P210" s="11"/>
      <c r="Q210" s="41"/>
      <c r="R210" s="11"/>
      <c r="S210" s="11"/>
      <c r="T210" s="11"/>
      <c r="U210" s="11"/>
      <c r="V210" s="11"/>
      <c r="W210" s="11"/>
      <c r="X210" s="11"/>
      <c r="Y210" s="4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40"/>
      <c r="CQ210" s="40"/>
      <c r="CR210" s="40"/>
      <c r="CS210" s="40"/>
      <c r="CT210" s="40"/>
      <c r="CU210" s="40"/>
      <c r="CV210" s="40"/>
      <c r="CW210" s="40"/>
      <c r="CX210" s="40"/>
      <c r="CY210" s="40"/>
      <c r="CZ210" s="40"/>
      <c r="DA210" s="11"/>
      <c r="DB210" s="11"/>
      <c r="DC210" s="11"/>
      <c r="DD210" s="11"/>
      <c r="DE210" s="11"/>
      <c r="DF210" s="11"/>
      <c r="DG210" s="11"/>
    </row>
    <row r="211" ht="15.75" customHeight="1">
      <c r="A211" s="41"/>
      <c r="B211" s="11"/>
      <c r="C211" s="11"/>
      <c r="D211" s="11"/>
      <c r="E211" s="11"/>
      <c r="F211" s="11"/>
      <c r="G211" s="11"/>
      <c r="H211" s="11"/>
      <c r="I211" s="41"/>
      <c r="J211" s="11"/>
      <c r="K211" s="11"/>
      <c r="L211" s="11"/>
      <c r="M211" s="11"/>
      <c r="N211" s="11"/>
      <c r="O211" s="11"/>
      <c r="P211" s="11"/>
      <c r="Q211" s="41"/>
      <c r="R211" s="11"/>
      <c r="S211" s="11"/>
      <c r="T211" s="11"/>
      <c r="U211" s="11"/>
      <c r="V211" s="11"/>
      <c r="W211" s="11"/>
      <c r="X211" s="11"/>
      <c r="Y211" s="4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40"/>
      <c r="CQ211" s="40"/>
      <c r="CR211" s="40"/>
      <c r="CS211" s="40"/>
      <c r="CT211" s="40"/>
      <c r="CU211" s="40"/>
      <c r="CV211" s="40"/>
      <c r="CW211" s="40"/>
      <c r="CX211" s="40"/>
      <c r="CY211" s="40"/>
      <c r="CZ211" s="40"/>
      <c r="DA211" s="11"/>
      <c r="DB211" s="11"/>
      <c r="DC211" s="11"/>
      <c r="DD211" s="11"/>
      <c r="DE211" s="11"/>
      <c r="DF211" s="11"/>
      <c r="DG211" s="11"/>
    </row>
    <row r="212" ht="15.75" customHeight="1">
      <c r="A212" s="41"/>
      <c r="B212" s="11"/>
      <c r="C212" s="11"/>
      <c r="D212" s="11"/>
      <c r="E212" s="11"/>
      <c r="F212" s="11"/>
      <c r="G212" s="11"/>
      <c r="H212" s="11"/>
      <c r="I212" s="41"/>
      <c r="J212" s="11"/>
      <c r="K212" s="11"/>
      <c r="L212" s="11"/>
      <c r="M212" s="11"/>
      <c r="N212" s="11"/>
      <c r="O212" s="11"/>
      <c r="P212" s="11"/>
      <c r="Q212" s="41"/>
      <c r="R212" s="11"/>
      <c r="S212" s="11"/>
      <c r="T212" s="11"/>
      <c r="U212" s="11"/>
      <c r="V212" s="11"/>
      <c r="W212" s="11"/>
      <c r="X212" s="11"/>
      <c r="Y212" s="4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40"/>
      <c r="CQ212" s="40"/>
      <c r="CR212" s="40"/>
      <c r="CS212" s="40"/>
      <c r="CT212" s="40"/>
      <c r="CU212" s="40"/>
      <c r="CV212" s="40"/>
      <c r="CW212" s="40"/>
      <c r="CX212" s="40"/>
      <c r="CY212" s="40"/>
      <c r="CZ212" s="40"/>
      <c r="DA212" s="11"/>
      <c r="DB212" s="11"/>
      <c r="DC212" s="11"/>
      <c r="DD212" s="11"/>
      <c r="DE212" s="11"/>
      <c r="DF212" s="11"/>
      <c r="DG212" s="11"/>
    </row>
    <row r="213" ht="15.75" customHeight="1">
      <c r="A213" s="41"/>
      <c r="B213" s="11"/>
      <c r="C213" s="11"/>
      <c r="D213" s="11"/>
      <c r="E213" s="11"/>
      <c r="F213" s="11"/>
      <c r="G213" s="11"/>
      <c r="H213" s="11"/>
      <c r="I213" s="41"/>
      <c r="J213" s="11"/>
      <c r="K213" s="11"/>
      <c r="L213" s="11"/>
      <c r="M213" s="11"/>
      <c r="N213" s="11"/>
      <c r="O213" s="11"/>
      <c r="P213" s="11"/>
      <c r="Q213" s="41"/>
      <c r="R213" s="11"/>
      <c r="S213" s="11"/>
      <c r="T213" s="11"/>
      <c r="U213" s="11"/>
      <c r="V213" s="11"/>
      <c r="W213" s="11"/>
      <c r="X213" s="11"/>
      <c r="Y213" s="4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40"/>
      <c r="CQ213" s="40"/>
      <c r="CR213" s="40"/>
      <c r="CS213" s="40"/>
      <c r="CT213" s="40"/>
      <c r="CU213" s="40"/>
      <c r="CV213" s="40"/>
      <c r="CW213" s="40"/>
      <c r="CX213" s="40"/>
      <c r="CY213" s="40"/>
      <c r="CZ213" s="40"/>
      <c r="DA213" s="11"/>
      <c r="DB213" s="11"/>
      <c r="DC213" s="11"/>
      <c r="DD213" s="11"/>
      <c r="DE213" s="11"/>
      <c r="DF213" s="11"/>
      <c r="DG213" s="11"/>
    </row>
    <row r="214" ht="15.75" customHeight="1">
      <c r="A214" s="41"/>
      <c r="B214" s="11"/>
      <c r="C214" s="11"/>
      <c r="D214" s="11"/>
      <c r="E214" s="11"/>
      <c r="F214" s="11"/>
      <c r="G214" s="11"/>
      <c r="H214" s="11"/>
      <c r="I214" s="41"/>
      <c r="J214" s="11"/>
      <c r="K214" s="11"/>
      <c r="L214" s="11"/>
      <c r="M214" s="11"/>
      <c r="N214" s="11"/>
      <c r="O214" s="11"/>
      <c r="P214" s="11"/>
      <c r="Q214" s="41"/>
      <c r="R214" s="11"/>
      <c r="S214" s="11"/>
      <c r="T214" s="11"/>
      <c r="U214" s="11"/>
      <c r="V214" s="11"/>
      <c r="W214" s="11"/>
      <c r="X214" s="11"/>
      <c r="Y214" s="4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40"/>
      <c r="CQ214" s="40"/>
      <c r="CR214" s="40"/>
      <c r="CS214" s="40"/>
      <c r="CT214" s="40"/>
      <c r="CU214" s="40"/>
      <c r="CV214" s="40"/>
      <c r="CW214" s="40"/>
      <c r="CX214" s="40"/>
      <c r="CY214" s="40"/>
      <c r="CZ214" s="40"/>
      <c r="DA214" s="11"/>
      <c r="DB214" s="11"/>
      <c r="DC214" s="11"/>
      <c r="DD214" s="11"/>
      <c r="DE214" s="11"/>
      <c r="DF214" s="11"/>
      <c r="DG214" s="11"/>
    </row>
    <row r="215" ht="15.75" customHeight="1">
      <c r="A215" s="41"/>
      <c r="B215" s="11"/>
      <c r="C215" s="11"/>
      <c r="D215" s="11"/>
      <c r="E215" s="11"/>
      <c r="F215" s="11"/>
      <c r="G215" s="11"/>
      <c r="H215" s="11"/>
      <c r="I215" s="41"/>
      <c r="J215" s="11"/>
      <c r="K215" s="11"/>
      <c r="L215" s="11"/>
      <c r="M215" s="11"/>
      <c r="N215" s="11"/>
      <c r="O215" s="11"/>
      <c r="P215" s="11"/>
      <c r="Q215" s="41"/>
      <c r="R215" s="11"/>
      <c r="S215" s="11"/>
      <c r="T215" s="11"/>
      <c r="U215" s="11"/>
      <c r="V215" s="11"/>
      <c r="W215" s="11"/>
      <c r="X215" s="11"/>
      <c r="Y215" s="4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40"/>
      <c r="CQ215" s="40"/>
      <c r="CR215" s="40"/>
      <c r="CS215" s="40"/>
      <c r="CT215" s="40"/>
      <c r="CU215" s="40"/>
      <c r="CV215" s="40"/>
      <c r="CW215" s="40"/>
      <c r="CX215" s="40"/>
      <c r="CY215" s="40"/>
      <c r="CZ215" s="40"/>
      <c r="DA215" s="11"/>
      <c r="DB215" s="11"/>
      <c r="DC215" s="11"/>
      <c r="DD215" s="11"/>
      <c r="DE215" s="11"/>
      <c r="DF215" s="11"/>
      <c r="DG215" s="11"/>
    </row>
    <row r="216" ht="15.75" customHeight="1">
      <c r="A216" s="41"/>
      <c r="B216" s="11"/>
      <c r="C216" s="11"/>
      <c r="D216" s="11"/>
      <c r="E216" s="11"/>
      <c r="F216" s="11"/>
      <c r="G216" s="11"/>
      <c r="H216" s="11"/>
      <c r="I216" s="41"/>
      <c r="J216" s="11"/>
      <c r="K216" s="11"/>
      <c r="L216" s="11"/>
      <c r="M216" s="11"/>
      <c r="N216" s="11"/>
      <c r="O216" s="11"/>
      <c r="P216" s="11"/>
      <c r="Q216" s="41"/>
      <c r="R216" s="11"/>
      <c r="S216" s="11"/>
      <c r="T216" s="11"/>
      <c r="U216" s="11"/>
      <c r="V216" s="11"/>
      <c r="W216" s="11"/>
      <c r="X216" s="11"/>
      <c r="Y216" s="4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40"/>
      <c r="CQ216" s="40"/>
      <c r="CR216" s="40"/>
      <c r="CS216" s="40"/>
      <c r="CT216" s="40"/>
      <c r="CU216" s="40"/>
      <c r="CV216" s="40"/>
      <c r="CW216" s="40"/>
      <c r="CX216" s="40"/>
      <c r="CY216" s="40"/>
      <c r="CZ216" s="40"/>
      <c r="DA216" s="11"/>
      <c r="DB216" s="11"/>
      <c r="DC216" s="11"/>
      <c r="DD216" s="11"/>
      <c r="DE216" s="11"/>
      <c r="DF216" s="11"/>
      <c r="DG216" s="11"/>
    </row>
    <row r="217" ht="15.75" customHeight="1">
      <c r="A217" s="41"/>
      <c r="B217" s="11"/>
      <c r="C217" s="11"/>
      <c r="D217" s="11"/>
      <c r="E217" s="11"/>
      <c r="F217" s="11"/>
      <c r="G217" s="11"/>
      <c r="H217" s="11"/>
      <c r="I217" s="41"/>
      <c r="J217" s="11"/>
      <c r="K217" s="11"/>
      <c r="L217" s="11"/>
      <c r="M217" s="11"/>
      <c r="N217" s="11"/>
      <c r="O217" s="11"/>
      <c r="P217" s="11"/>
      <c r="Q217" s="41"/>
      <c r="R217" s="11"/>
      <c r="S217" s="11"/>
      <c r="T217" s="11"/>
      <c r="U217" s="11"/>
      <c r="V217" s="11"/>
      <c r="W217" s="11"/>
      <c r="X217" s="11"/>
      <c r="Y217" s="4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40"/>
      <c r="CQ217" s="40"/>
      <c r="CR217" s="40"/>
      <c r="CS217" s="40"/>
      <c r="CT217" s="40"/>
      <c r="CU217" s="40"/>
      <c r="CV217" s="40"/>
      <c r="CW217" s="40"/>
      <c r="CX217" s="40"/>
      <c r="CY217" s="40"/>
      <c r="CZ217" s="40"/>
      <c r="DA217" s="11"/>
      <c r="DB217" s="11"/>
      <c r="DC217" s="11"/>
      <c r="DD217" s="11"/>
      <c r="DE217" s="11"/>
      <c r="DF217" s="11"/>
      <c r="DG217" s="11"/>
    </row>
    <row r="218" ht="15.75" customHeight="1">
      <c r="A218" s="41"/>
      <c r="B218" s="11"/>
      <c r="C218" s="11"/>
      <c r="D218" s="11"/>
      <c r="E218" s="11"/>
      <c r="F218" s="11"/>
      <c r="G218" s="11"/>
      <c r="H218" s="11"/>
      <c r="I218" s="41"/>
      <c r="J218" s="11"/>
      <c r="K218" s="11"/>
      <c r="L218" s="11"/>
      <c r="M218" s="11"/>
      <c r="N218" s="11"/>
      <c r="O218" s="11"/>
      <c r="P218" s="11"/>
      <c r="Q218" s="41"/>
      <c r="R218" s="11"/>
      <c r="S218" s="11"/>
      <c r="T218" s="11"/>
      <c r="U218" s="11"/>
      <c r="V218" s="11"/>
      <c r="W218" s="11"/>
      <c r="X218" s="11"/>
      <c r="Y218" s="4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40"/>
      <c r="CQ218" s="40"/>
      <c r="CR218" s="40"/>
      <c r="CS218" s="40"/>
      <c r="CT218" s="40"/>
      <c r="CU218" s="40"/>
      <c r="CV218" s="40"/>
      <c r="CW218" s="40"/>
      <c r="CX218" s="40"/>
      <c r="CY218" s="40"/>
      <c r="CZ218" s="40"/>
      <c r="DA218" s="11"/>
      <c r="DB218" s="11"/>
      <c r="DC218" s="11"/>
      <c r="DD218" s="11"/>
      <c r="DE218" s="11"/>
      <c r="DF218" s="11"/>
      <c r="DG218" s="11"/>
    </row>
    <row r="219" ht="15.75" customHeight="1">
      <c r="A219" s="41"/>
      <c r="B219" s="11"/>
      <c r="C219" s="11"/>
      <c r="D219" s="11"/>
      <c r="E219" s="11"/>
      <c r="F219" s="11"/>
      <c r="G219" s="11"/>
      <c r="H219" s="11"/>
      <c r="I219" s="41"/>
      <c r="J219" s="11"/>
      <c r="K219" s="11"/>
      <c r="L219" s="11"/>
      <c r="M219" s="11"/>
      <c r="N219" s="11"/>
      <c r="O219" s="11"/>
      <c r="P219" s="11"/>
      <c r="Q219" s="41"/>
      <c r="R219" s="11"/>
      <c r="S219" s="11"/>
      <c r="T219" s="11"/>
      <c r="U219" s="11"/>
      <c r="V219" s="11"/>
      <c r="W219" s="11"/>
      <c r="X219" s="11"/>
      <c r="Y219" s="4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40"/>
      <c r="CQ219" s="40"/>
      <c r="CR219" s="40"/>
      <c r="CS219" s="40"/>
      <c r="CT219" s="40"/>
      <c r="CU219" s="40"/>
      <c r="CV219" s="40"/>
      <c r="CW219" s="40"/>
      <c r="CX219" s="40"/>
      <c r="CY219" s="40"/>
      <c r="CZ219" s="40"/>
      <c r="DA219" s="11"/>
      <c r="DB219" s="11"/>
      <c r="DC219" s="11"/>
      <c r="DD219" s="11"/>
      <c r="DE219" s="11"/>
      <c r="DF219" s="11"/>
      <c r="DG219" s="11"/>
    </row>
    <row r="220" ht="15.75" customHeight="1">
      <c r="A220" s="41"/>
      <c r="B220" s="11"/>
      <c r="C220" s="11"/>
      <c r="D220" s="11"/>
      <c r="E220" s="11"/>
      <c r="F220" s="11"/>
      <c r="G220" s="11"/>
      <c r="H220" s="11"/>
      <c r="I220" s="41"/>
      <c r="J220" s="11"/>
      <c r="K220" s="11"/>
      <c r="L220" s="11"/>
      <c r="M220" s="11"/>
      <c r="N220" s="11"/>
      <c r="O220" s="11"/>
      <c r="P220" s="11"/>
      <c r="Q220" s="41"/>
      <c r="R220" s="11"/>
      <c r="S220" s="11"/>
      <c r="T220" s="11"/>
      <c r="U220" s="11"/>
      <c r="V220" s="11"/>
      <c r="W220" s="11"/>
      <c r="X220" s="11"/>
      <c r="Y220" s="4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40"/>
      <c r="CQ220" s="40"/>
      <c r="CR220" s="40"/>
      <c r="CS220" s="40"/>
      <c r="CT220" s="40"/>
      <c r="CU220" s="40"/>
      <c r="CV220" s="40"/>
      <c r="CW220" s="40"/>
      <c r="CX220" s="40"/>
      <c r="CY220" s="40"/>
      <c r="CZ220" s="40"/>
      <c r="DA220" s="11"/>
      <c r="DB220" s="11"/>
      <c r="DC220" s="11"/>
      <c r="DD220" s="11"/>
      <c r="DE220" s="11"/>
      <c r="DF220" s="11"/>
      <c r="DG220" s="11"/>
    </row>
    <row r="221" ht="15.75" customHeight="1">
      <c r="A221" s="41"/>
      <c r="B221" s="11"/>
      <c r="C221" s="11"/>
      <c r="D221" s="11"/>
      <c r="E221" s="11"/>
      <c r="F221" s="11"/>
      <c r="G221" s="11"/>
      <c r="H221" s="11"/>
      <c r="I221" s="41"/>
      <c r="J221" s="11"/>
      <c r="K221" s="11"/>
      <c r="L221" s="11"/>
      <c r="M221" s="11"/>
      <c r="N221" s="11"/>
      <c r="O221" s="11"/>
      <c r="P221" s="11"/>
      <c r="Q221" s="41"/>
      <c r="R221" s="11"/>
      <c r="S221" s="11"/>
      <c r="T221" s="11"/>
      <c r="U221" s="11"/>
      <c r="V221" s="11"/>
      <c r="W221" s="11"/>
      <c r="X221" s="11"/>
      <c r="Y221" s="4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40"/>
      <c r="CQ221" s="40"/>
      <c r="CR221" s="40"/>
      <c r="CS221" s="40"/>
      <c r="CT221" s="40"/>
      <c r="CU221" s="40"/>
      <c r="CV221" s="40"/>
      <c r="CW221" s="40"/>
      <c r="CX221" s="40"/>
      <c r="CY221" s="40"/>
      <c r="CZ221" s="40"/>
      <c r="DA221" s="11"/>
      <c r="DB221" s="11"/>
      <c r="DC221" s="11"/>
      <c r="DD221" s="11"/>
      <c r="DE221" s="11"/>
      <c r="DF221" s="11"/>
      <c r="DG221" s="11"/>
    </row>
    <row r="222" ht="15.75" customHeight="1">
      <c r="A222" s="41"/>
      <c r="B222" s="11"/>
      <c r="C222" s="11"/>
      <c r="D222" s="11"/>
      <c r="E222" s="11"/>
      <c r="F222" s="11"/>
      <c r="G222" s="11"/>
      <c r="H222" s="11"/>
      <c r="I222" s="41"/>
      <c r="J222" s="11"/>
      <c r="K222" s="11"/>
      <c r="L222" s="11"/>
      <c r="M222" s="11"/>
      <c r="N222" s="11"/>
      <c r="O222" s="11"/>
      <c r="P222" s="11"/>
      <c r="Q222" s="41"/>
      <c r="R222" s="11"/>
      <c r="S222" s="11"/>
      <c r="T222" s="11"/>
      <c r="U222" s="11"/>
      <c r="V222" s="11"/>
      <c r="W222" s="11"/>
      <c r="X222" s="11"/>
      <c r="Y222" s="4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40"/>
      <c r="CQ222" s="40"/>
      <c r="CR222" s="40"/>
      <c r="CS222" s="40"/>
      <c r="CT222" s="40"/>
      <c r="CU222" s="40"/>
      <c r="CV222" s="40"/>
      <c r="CW222" s="40"/>
      <c r="CX222" s="40"/>
      <c r="CY222" s="40"/>
      <c r="CZ222" s="40"/>
      <c r="DA222" s="11"/>
      <c r="DB222" s="11"/>
      <c r="DC222" s="11"/>
      <c r="DD222" s="11"/>
      <c r="DE222" s="11"/>
      <c r="DF222" s="11"/>
      <c r="DG222" s="11"/>
    </row>
    <row r="223" ht="15.75" customHeight="1">
      <c r="A223" s="41"/>
      <c r="B223" s="11"/>
      <c r="C223" s="11"/>
      <c r="D223" s="11"/>
      <c r="E223" s="11"/>
      <c r="F223" s="11"/>
      <c r="G223" s="11"/>
      <c r="H223" s="11"/>
      <c r="I223" s="41"/>
      <c r="J223" s="11"/>
      <c r="K223" s="11"/>
      <c r="L223" s="11"/>
      <c r="M223" s="11"/>
      <c r="N223" s="11"/>
      <c r="O223" s="11"/>
      <c r="P223" s="11"/>
      <c r="Q223" s="41"/>
      <c r="R223" s="11"/>
      <c r="S223" s="11"/>
      <c r="T223" s="11"/>
      <c r="U223" s="11"/>
      <c r="V223" s="11"/>
      <c r="W223" s="11"/>
      <c r="X223" s="11"/>
      <c r="Y223" s="4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40"/>
      <c r="CQ223" s="40"/>
      <c r="CR223" s="40"/>
      <c r="CS223" s="40"/>
      <c r="CT223" s="40"/>
      <c r="CU223" s="40"/>
      <c r="CV223" s="40"/>
      <c r="CW223" s="40"/>
      <c r="CX223" s="40"/>
      <c r="CY223" s="40"/>
      <c r="CZ223" s="40"/>
      <c r="DA223" s="11"/>
      <c r="DB223" s="11"/>
      <c r="DC223" s="11"/>
      <c r="DD223" s="11"/>
      <c r="DE223" s="11"/>
      <c r="DF223" s="11"/>
      <c r="DG223" s="11"/>
    </row>
    <row r="224" ht="15.75" customHeight="1">
      <c r="A224" s="41"/>
      <c r="B224" s="11"/>
      <c r="C224" s="11"/>
      <c r="D224" s="11"/>
      <c r="E224" s="11"/>
      <c r="F224" s="11"/>
      <c r="G224" s="11"/>
      <c r="H224" s="11"/>
      <c r="I224" s="41"/>
      <c r="J224" s="11"/>
      <c r="K224" s="11"/>
      <c r="L224" s="11"/>
      <c r="M224" s="11"/>
      <c r="N224" s="11"/>
      <c r="O224" s="11"/>
      <c r="P224" s="11"/>
      <c r="Q224" s="41"/>
      <c r="R224" s="11"/>
      <c r="S224" s="11"/>
      <c r="T224" s="11"/>
      <c r="U224" s="11"/>
      <c r="V224" s="11"/>
      <c r="W224" s="11"/>
      <c r="X224" s="11"/>
      <c r="Y224" s="4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40"/>
      <c r="CQ224" s="40"/>
      <c r="CR224" s="40"/>
      <c r="CS224" s="40"/>
      <c r="CT224" s="40"/>
      <c r="CU224" s="40"/>
      <c r="CV224" s="40"/>
      <c r="CW224" s="40"/>
      <c r="CX224" s="40"/>
      <c r="CY224" s="40"/>
      <c r="CZ224" s="40"/>
      <c r="DA224" s="11"/>
      <c r="DB224" s="11"/>
      <c r="DC224" s="11"/>
      <c r="DD224" s="11"/>
      <c r="DE224" s="11"/>
      <c r="DF224" s="11"/>
      <c r="DG224" s="11"/>
    </row>
    <row r="225" ht="15.75" customHeight="1">
      <c r="A225" s="41"/>
      <c r="B225" s="11"/>
      <c r="C225" s="11"/>
      <c r="D225" s="11"/>
      <c r="E225" s="11"/>
      <c r="F225" s="11"/>
      <c r="G225" s="11"/>
      <c r="H225" s="11"/>
      <c r="I225" s="41"/>
      <c r="J225" s="11"/>
      <c r="K225" s="11"/>
      <c r="L225" s="11"/>
      <c r="M225" s="11"/>
      <c r="N225" s="11"/>
      <c r="O225" s="11"/>
      <c r="P225" s="11"/>
      <c r="Q225" s="41"/>
      <c r="R225" s="11"/>
      <c r="S225" s="11"/>
      <c r="T225" s="11"/>
      <c r="U225" s="11"/>
      <c r="V225" s="11"/>
      <c r="W225" s="11"/>
      <c r="X225" s="11"/>
      <c r="Y225" s="4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40"/>
      <c r="CQ225" s="40"/>
      <c r="CR225" s="40"/>
      <c r="CS225" s="40"/>
      <c r="CT225" s="40"/>
      <c r="CU225" s="40"/>
      <c r="CV225" s="40"/>
      <c r="CW225" s="40"/>
      <c r="CX225" s="40"/>
      <c r="CY225" s="40"/>
      <c r="CZ225" s="40"/>
      <c r="DA225" s="11"/>
      <c r="DB225" s="11"/>
      <c r="DC225" s="11"/>
      <c r="DD225" s="11"/>
      <c r="DE225" s="11"/>
      <c r="DF225" s="11"/>
      <c r="DG225" s="11"/>
    </row>
    <row r="226" ht="15.75" customHeight="1">
      <c r="A226" s="41"/>
      <c r="B226" s="11"/>
      <c r="C226" s="11"/>
      <c r="D226" s="11"/>
      <c r="E226" s="11"/>
      <c r="F226" s="11"/>
      <c r="G226" s="11"/>
      <c r="H226" s="11"/>
      <c r="I226" s="41"/>
      <c r="J226" s="11"/>
      <c r="K226" s="11"/>
      <c r="L226" s="11"/>
      <c r="M226" s="11"/>
      <c r="N226" s="11"/>
      <c r="O226" s="11"/>
      <c r="P226" s="11"/>
      <c r="Q226" s="41"/>
      <c r="R226" s="11"/>
      <c r="S226" s="11"/>
      <c r="T226" s="11"/>
      <c r="U226" s="11"/>
      <c r="V226" s="11"/>
      <c r="W226" s="11"/>
      <c r="X226" s="11"/>
      <c r="Y226" s="4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40"/>
      <c r="CQ226" s="40"/>
      <c r="CR226" s="40"/>
      <c r="CS226" s="40"/>
      <c r="CT226" s="40"/>
      <c r="CU226" s="40"/>
      <c r="CV226" s="40"/>
      <c r="CW226" s="40"/>
      <c r="CX226" s="40"/>
      <c r="CY226" s="40"/>
      <c r="CZ226" s="40"/>
      <c r="DA226" s="11"/>
      <c r="DB226" s="11"/>
      <c r="DC226" s="11"/>
      <c r="DD226" s="11"/>
      <c r="DE226" s="11"/>
      <c r="DF226" s="11"/>
      <c r="DG226" s="11"/>
    </row>
    <row r="227" ht="15.75" customHeight="1">
      <c r="A227" s="41"/>
      <c r="B227" s="11"/>
      <c r="C227" s="11"/>
      <c r="D227" s="11"/>
      <c r="E227" s="11"/>
      <c r="F227" s="11"/>
      <c r="G227" s="11"/>
      <c r="H227" s="11"/>
      <c r="I227" s="41"/>
      <c r="J227" s="11"/>
      <c r="K227" s="11"/>
      <c r="L227" s="11"/>
      <c r="M227" s="11"/>
      <c r="N227" s="11"/>
      <c r="O227" s="11"/>
      <c r="P227" s="11"/>
      <c r="Q227" s="41"/>
      <c r="R227" s="11"/>
      <c r="S227" s="11"/>
      <c r="T227" s="11"/>
      <c r="U227" s="11"/>
      <c r="V227" s="11"/>
      <c r="W227" s="11"/>
      <c r="X227" s="11"/>
      <c r="Y227" s="4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40"/>
      <c r="CQ227" s="40"/>
      <c r="CR227" s="40"/>
      <c r="CS227" s="40"/>
      <c r="CT227" s="40"/>
      <c r="CU227" s="40"/>
      <c r="CV227" s="40"/>
      <c r="CW227" s="40"/>
      <c r="CX227" s="40"/>
      <c r="CY227" s="40"/>
      <c r="CZ227" s="40"/>
      <c r="DA227" s="11"/>
      <c r="DB227" s="11"/>
      <c r="DC227" s="11"/>
      <c r="DD227" s="11"/>
      <c r="DE227" s="11"/>
      <c r="DF227" s="11"/>
      <c r="DG227" s="11"/>
    </row>
    <row r="228" ht="15.75" customHeight="1">
      <c r="A228" s="41"/>
      <c r="B228" s="11"/>
      <c r="C228" s="11"/>
      <c r="D228" s="11"/>
      <c r="E228" s="11"/>
      <c r="F228" s="11"/>
      <c r="G228" s="11"/>
      <c r="H228" s="11"/>
      <c r="I228" s="41"/>
      <c r="J228" s="11"/>
      <c r="K228" s="11"/>
      <c r="L228" s="11"/>
      <c r="M228" s="11"/>
      <c r="N228" s="11"/>
      <c r="O228" s="11"/>
      <c r="P228" s="11"/>
      <c r="Q228" s="41"/>
      <c r="R228" s="11"/>
      <c r="S228" s="11"/>
      <c r="T228" s="11"/>
      <c r="U228" s="11"/>
      <c r="V228" s="11"/>
      <c r="W228" s="11"/>
      <c r="X228" s="11"/>
      <c r="Y228" s="4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40"/>
      <c r="CQ228" s="40"/>
      <c r="CR228" s="40"/>
      <c r="CS228" s="40"/>
      <c r="CT228" s="40"/>
      <c r="CU228" s="40"/>
      <c r="CV228" s="40"/>
      <c r="CW228" s="40"/>
      <c r="CX228" s="40"/>
      <c r="CY228" s="40"/>
      <c r="CZ228" s="40"/>
      <c r="DA228" s="11"/>
      <c r="DB228" s="11"/>
      <c r="DC228" s="11"/>
      <c r="DD228" s="11"/>
      <c r="DE228" s="11"/>
      <c r="DF228" s="11"/>
      <c r="DG228" s="11"/>
    </row>
    <row r="229" ht="15.75" customHeight="1">
      <c r="A229" s="41"/>
      <c r="B229" s="11"/>
      <c r="C229" s="11"/>
      <c r="D229" s="11"/>
      <c r="E229" s="11"/>
      <c r="F229" s="11"/>
      <c r="G229" s="11"/>
      <c r="H229" s="11"/>
      <c r="I229" s="41"/>
      <c r="J229" s="11"/>
      <c r="K229" s="11"/>
      <c r="L229" s="11"/>
      <c r="M229" s="11"/>
      <c r="N229" s="11"/>
      <c r="O229" s="11"/>
      <c r="P229" s="11"/>
      <c r="Q229" s="41"/>
      <c r="R229" s="11"/>
      <c r="S229" s="11"/>
      <c r="T229" s="11"/>
      <c r="U229" s="11"/>
      <c r="V229" s="11"/>
      <c r="W229" s="11"/>
      <c r="X229" s="11"/>
      <c r="Y229" s="4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40"/>
      <c r="CQ229" s="40"/>
      <c r="CR229" s="40"/>
      <c r="CS229" s="40"/>
      <c r="CT229" s="40"/>
      <c r="CU229" s="40"/>
      <c r="CV229" s="40"/>
      <c r="CW229" s="40"/>
      <c r="CX229" s="40"/>
      <c r="CY229" s="40"/>
      <c r="CZ229" s="40"/>
      <c r="DA229" s="11"/>
      <c r="DB229" s="11"/>
      <c r="DC229" s="11"/>
      <c r="DD229" s="11"/>
      <c r="DE229" s="11"/>
      <c r="DF229" s="11"/>
      <c r="DG229" s="11"/>
    </row>
    <row r="230" ht="15.75" customHeight="1">
      <c r="A230" s="41"/>
      <c r="B230" s="11"/>
      <c r="C230" s="11"/>
      <c r="D230" s="11"/>
      <c r="E230" s="11"/>
      <c r="F230" s="11"/>
      <c r="G230" s="11"/>
      <c r="H230" s="11"/>
      <c r="I230" s="41"/>
      <c r="J230" s="11"/>
      <c r="K230" s="11"/>
      <c r="L230" s="11"/>
      <c r="M230" s="11"/>
      <c r="N230" s="11"/>
      <c r="O230" s="11"/>
      <c r="P230" s="11"/>
      <c r="Q230" s="41"/>
      <c r="R230" s="11"/>
      <c r="S230" s="11"/>
      <c r="T230" s="11"/>
      <c r="U230" s="11"/>
      <c r="V230" s="11"/>
      <c r="W230" s="11"/>
      <c r="X230" s="11"/>
      <c r="Y230" s="4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40"/>
      <c r="CQ230" s="40"/>
      <c r="CR230" s="40"/>
      <c r="CS230" s="40"/>
      <c r="CT230" s="40"/>
      <c r="CU230" s="40"/>
      <c r="CV230" s="40"/>
      <c r="CW230" s="40"/>
      <c r="CX230" s="40"/>
      <c r="CY230" s="40"/>
      <c r="CZ230" s="40"/>
      <c r="DA230" s="11"/>
      <c r="DB230" s="11"/>
      <c r="DC230" s="11"/>
      <c r="DD230" s="11"/>
      <c r="DE230" s="11"/>
      <c r="DF230" s="11"/>
      <c r="DG230" s="11"/>
    </row>
    <row r="231" ht="15.75" customHeight="1">
      <c r="A231" s="41"/>
      <c r="B231" s="11"/>
      <c r="C231" s="11"/>
      <c r="D231" s="11"/>
      <c r="E231" s="11"/>
      <c r="F231" s="11"/>
      <c r="G231" s="11"/>
      <c r="H231" s="11"/>
      <c r="I231" s="41"/>
      <c r="J231" s="11"/>
      <c r="K231" s="11"/>
      <c r="L231" s="11"/>
      <c r="M231" s="11"/>
      <c r="N231" s="11"/>
      <c r="O231" s="11"/>
      <c r="P231" s="11"/>
      <c r="Q231" s="41"/>
      <c r="R231" s="11"/>
      <c r="S231" s="11"/>
      <c r="T231" s="11"/>
      <c r="U231" s="11"/>
      <c r="V231" s="11"/>
      <c r="W231" s="11"/>
      <c r="X231" s="11"/>
      <c r="Y231" s="4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40"/>
      <c r="CQ231" s="40"/>
      <c r="CR231" s="40"/>
      <c r="CS231" s="40"/>
      <c r="CT231" s="40"/>
      <c r="CU231" s="40"/>
      <c r="CV231" s="40"/>
      <c r="CW231" s="40"/>
      <c r="CX231" s="40"/>
      <c r="CY231" s="40"/>
      <c r="CZ231" s="40"/>
      <c r="DA231" s="11"/>
      <c r="DB231" s="11"/>
      <c r="DC231" s="11"/>
      <c r="DD231" s="11"/>
      <c r="DE231" s="11"/>
      <c r="DF231" s="11"/>
      <c r="DG231" s="11"/>
    </row>
    <row r="232" ht="15.75" customHeight="1">
      <c r="A232" s="41"/>
      <c r="B232" s="11"/>
      <c r="C232" s="11"/>
      <c r="D232" s="11"/>
      <c r="E232" s="11"/>
      <c r="F232" s="11"/>
      <c r="G232" s="11"/>
      <c r="H232" s="11"/>
      <c r="I232" s="41"/>
      <c r="J232" s="11"/>
      <c r="K232" s="11"/>
      <c r="L232" s="11"/>
      <c r="M232" s="11"/>
      <c r="N232" s="11"/>
      <c r="O232" s="11"/>
      <c r="P232" s="11"/>
      <c r="Q232" s="41"/>
      <c r="R232" s="11"/>
      <c r="S232" s="11"/>
      <c r="T232" s="11"/>
      <c r="U232" s="11"/>
      <c r="V232" s="11"/>
      <c r="W232" s="11"/>
      <c r="X232" s="11"/>
      <c r="Y232" s="4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40"/>
      <c r="CQ232" s="40"/>
      <c r="CR232" s="40"/>
      <c r="CS232" s="40"/>
      <c r="CT232" s="40"/>
      <c r="CU232" s="40"/>
      <c r="CV232" s="40"/>
      <c r="CW232" s="40"/>
      <c r="CX232" s="40"/>
      <c r="CY232" s="40"/>
      <c r="CZ232" s="40"/>
      <c r="DA232" s="11"/>
      <c r="DB232" s="11"/>
      <c r="DC232" s="11"/>
      <c r="DD232" s="11"/>
      <c r="DE232" s="11"/>
      <c r="DF232" s="11"/>
      <c r="DG232" s="11"/>
    </row>
    <row r="233" ht="15.75" customHeight="1">
      <c r="A233" s="41"/>
      <c r="B233" s="11"/>
      <c r="C233" s="11"/>
      <c r="D233" s="11"/>
      <c r="E233" s="11"/>
      <c r="F233" s="11"/>
      <c r="G233" s="11"/>
      <c r="H233" s="11"/>
      <c r="I233" s="41"/>
      <c r="J233" s="11"/>
      <c r="K233" s="11"/>
      <c r="L233" s="11"/>
      <c r="M233" s="11"/>
      <c r="N233" s="11"/>
      <c r="O233" s="11"/>
      <c r="P233" s="11"/>
      <c r="Q233" s="41"/>
      <c r="R233" s="11"/>
      <c r="S233" s="11"/>
      <c r="T233" s="11"/>
      <c r="U233" s="11"/>
      <c r="V233" s="11"/>
      <c r="W233" s="11"/>
      <c r="X233" s="11"/>
      <c r="Y233" s="4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40"/>
      <c r="CQ233" s="40"/>
      <c r="CR233" s="40"/>
      <c r="CS233" s="40"/>
      <c r="CT233" s="40"/>
      <c r="CU233" s="40"/>
      <c r="CV233" s="40"/>
      <c r="CW233" s="40"/>
      <c r="CX233" s="40"/>
      <c r="CY233" s="40"/>
      <c r="CZ233" s="40"/>
      <c r="DA233" s="11"/>
      <c r="DB233" s="11"/>
      <c r="DC233" s="11"/>
      <c r="DD233" s="11"/>
      <c r="DE233" s="11"/>
      <c r="DF233" s="11"/>
      <c r="DG233" s="11"/>
    </row>
    <row r="234" ht="15.75" customHeight="1">
      <c r="A234" s="41"/>
      <c r="B234" s="11"/>
      <c r="C234" s="11"/>
      <c r="D234" s="11"/>
      <c r="E234" s="11"/>
      <c r="F234" s="11"/>
      <c r="G234" s="11"/>
      <c r="H234" s="11"/>
      <c r="I234" s="41"/>
      <c r="J234" s="11"/>
      <c r="K234" s="11"/>
      <c r="L234" s="11"/>
      <c r="M234" s="11"/>
      <c r="N234" s="11"/>
      <c r="O234" s="11"/>
      <c r="P234" s="11"/>
      <c r="Q234" s="41"/>
      <c r="R234" s="11"/>
      <c r="S234" s="11"/>
      <c r="T234" s="11"/>
      <c r="U234" s="11"/>
      <c r="V234" s="11"/>
      <c r="W234" s="11"/>
      <c r="X234" s="11"/>
      <c r="Y234" s="4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40"/>
      <c r="CQ234" s="40"/>
      <c r="CR234" s="40"/>
      <c r="CS234" s="40"/>
      <c r="CT234" s="40"/>
      <c r="CU234" s="40"/>
      <c r="CV234" s="40"/>
      <c r="CW234" s="40"/>
      <c r="CX234" s="40"/>
      <c r="CY234" s="40"/>
      <c r="CZ234" s="40"/>
      <c r="DA234" s="11"/>
      <c r="DB234" s="11"/>
      <c r="DC234" s="11"/>
      <c r="DD234" s="11"/>
      <c r="DE234" s="11"/>
      <c r="DF234" s="11"/>
      <c r="DG234" s="11"/>
    </row>
    <row r="235" ht="15.75" customHeight="1">
      <c r="A235" s="41"/>
      <c r="B235" s="11"/>
      <c r="C235" s="11"/>
      <c r="D235" s="11"/>
      <c r="E235" s="11"/>
      <c r="F235" s="11"/>
      <c r="G235" s="11"/>
      <c r="H235" s="11"/>
      <c r="I235" s="41"/>
      <c r="J235" s="11"/>
      <c r="K235" s="11"/>
      <c r="L235" s="11"/>
      <c r="M235" s="11"/>
      <c r="N235" s="11"/>
      <c r="O235" s="11"/>
      <c r="P235" s="11"/>
      <c r="Q235" s="41"/>
      <c r="R235" s="11"/>
      <c r="S235" s="11"/>
      <c r="T235" s="11"/>
      <c r="U235" s="11"/>
      <c r="V235" s="11"/>
      <c r="W235" s="11"/>
      <c r="X235" s="11"/>
      <c r="Y235" s="4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40"/>
      <c r="CQ235" s="40"/>
      <c r="CR235" s="40"/>
      <c r="CS235" s="40"/>
      <c r="CT235" s="40"/>
      <c r="CU235" s="40"/>
      <c r="CV235" s="40"/>
      <c r="CW235" s="40"/>
      <c r="CX235" s="40"/>
      <c r="CY235" s="40"/>
      <c r="CZ235" s="40"/>
      <c r="DA235" s="11"/>
      <c r="DB235" s="11"/>
      <c r="DC235" s="11"/>
      <c r="DD235" s="11"/>
      <c r="DE235" s="11"/>
      <c r="DF235" s="11"/>
      <c r="DG235" s="11"/>
    </row>
    <row r="236" ht="15.75" customHeight="1">
      <c r="A236" s="41"/>
      <c r="B236" s="11"/>
      <c r="C236" s="11"/>
      <c r="D236" s="11"/>
      <c r="E236" s="11"/>
      <c r="F236" s="11"/>
      <c r="G236" s="11"/>
      <c r="H236" s="11"/>
      <c r="I236" s="41"/>
      <c r="J236" s="11"/>
      <c r="K236" s="11"/>
      <c r="L236" s="11"/>
      <c r="M236" s="11"/>
      <c r="N236" s="11"/>
      <c r="O236" s="11"/>
      <c r="P236" s="11"/>
      <c r="Q236" s="41"/>
      <c r="R236" s="11"/>
      <c r="S236" s="11"/>
      <c r="T236" s="11"/>
      <c r="U236" s="11"/>
      <c r="V236" s="11"/>
      <c r="W236" s="11"/>
      <c r="X236" s="11"/>
      <c r="Y236" s="4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40"/>
      <c r="CQ236" s="40"/>
      <c r="CR236" s="40"/>
      <c r="CS236" s="40"/>
      <c r="CT236" s="40"/>
      <c r="CU236" s="40"/>
      <c r="CV236" s="40"/>
      <c r="CW236" s="40"/>
      <c r="CX236" s="40"/>
      <c r="CY236" s="40"/>
      <c r="CZ236" s="40"/>
      <c r="DA236" s="11"/>
      <c r="DB236" s="11"/>
      <c r="DC236" s="11"/>
      <c r="DD236" s="11"/>
      <c r="DE236" s="11"/>
      <c r="DF236" s="11"/>
      <c r="DG236" s="11"/>
    </row>
    <row r="237" ht="15.75" customHeight="1">
      <c r="A237" s="41"/>
      <c r="B237" s="11"/>
      <c r="C237" s="11"/>
      <c r="D237" s="11"/>
      <c r="E237" s="11"/>
      <c r="F237" s="11"/>
      <c r="G237" s="11"/>
      <c r="H237" s="11"/>
      <c r="I237" s="41"/>
      <c r="J237" s="11"/>
      <c r="K237" s="11"/>
      <c r="L237" s="11"/>
      <c r="M237" s="11"/>
      <c r="N237" s="11"/>
      <c r="O237" s="11"/>
      <c r="P237" s="11"/>
      <c r="Q237" s="41"/>
      <c r="R237" s="11"/>
      <c r="S237" s="11"/>
      <c r="T237" s="11"/>
      <c r="U237" s="11"/>
      <c r="V237" s="11"/>
      <c r="W237" s="11"/>
      <c r="X237" s="11"/>
      <c r="Y237" s="4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40"/>
      <c r="CQ237" s="40"/>
      <c r="CR237" s="40"/>
      <c r="CS237" s="40"/>
      <c r="CT237" s="40"/>
      <c r="CU237" s="40"/>
      <c r="CV237" s="40"/>
      <c r="CW237" s="40"/>
      <c r="CX237" s="40"/>
      <c r="CY237" s="40"/>
      <c r="CZ237" s="40"/>
      <c r="DA237" s="11"/>
      <c r="DB237" s="11"/>
      <c r="DC237" s="11"/>
      <c r="DD237" s="11"/>
      <c r="DE237" s="11"/>
      <c r="DF237" s="11"/>
      <c r="DG237" s="11"/>
    </row>
    <row r="238" ht="15.75" customHeight="1">
      <c r="A238" s="41"/>
      <c r="B238" s="11"/>
      <c r="C238" s="11"/>
      <c r="D238" s="11"/>
      <c r="E238" s="11"/>
      <c r="F238" s="11"/>
      <c r="G238" s="11"/>
      <c r="H238" s="11"/>
      <c r="I238" s="41"/>
      <c r="J238" s="11"/>
      <c r="K238" s="11"/>
      <c r="L238" s="11"/>
      <c r="M238" s="11"/>
      <c r="N238" s="11"/>
      <c r="O238" s="11"/>
      <c r="P238" s="11"/>
      <c r="Q238" s="41"/>
      <c r="R238" s="11"/>
      <c r="S238" s="11"/>
      <c r="T238" s="11"/>
      <c r="U238" s="11"/>
      <c r="V238" s="11"/>
      <c r="W238" s="11"/>
      <c r="X238" s="11"/>
      <c r="Y238" s="4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40"/>
      <c r="CQ238" s="40"/>
      <c r="CR238" s="40"/>
      <c r="CS238" s="40"/>
      <c r="CT238" s="40"/>
      <c r="CU238" s="40"/>
      <c r="CV238" s="40"/>
      <c r="CW238" s="40"/>
      <c r="CX238" s="40"/>
      <c r="CY238" s="40"/>
      <c r="CZ238" s="40"/>
      <c r="DA238" s="11"/>
      <c r="DB238" s="11"/>
      <c r="DC238" s="11"/>
      <c r="DD238" s="11"/>
      <c r="DE238" s="11"/>
      <c r="DF238" s="11"/>
      <c r="DG238" s="11"/>
    </row>
    <row r="239" ht="15.75" customHeight="1">
      <c r="A239" s="41"/>
      <c r="B239" s="11"/>
      <c r="C239" s="11"/>
      <c r="D239" s="11"/>
      <c r="E239" s="11"/>
      <c r="F239" s="11"/>
      <c r="G239" s="11"/>
      <c r="H239" s="11"/>
      <c r="I239" s="41"/>
      <c r="J239" s="11"/>
      <c r="K239" s="11"/>
      <c r="L239" s="11"/>
      <c r="M239" s="11"/>
      <c r="N239" s="11"/>
      <c r="O239" s="11"/>
      <c r="P239" s="11"/>
      <c r="Q239" s="41"/>
      <c r="R239" s="11"/>
      <c r="S239" s="11"/>
      <c r="T239" s="11"/>
      <c r="U239" s="11"/>
      <c r="V239" s="11"/>
      <c r="W239" s="11"/>
      <c r="X239" s="11"/>
      <c r="Y239" s="4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40"/>
      <c r="CQ239" s="40"/>
      <c r="CR239" s="40"/>
      <c r="CS239" s="40"/>
      <c r="CT239" s="40"/>
      <c r="CU239" s="40"/>
      <c r="CV239" s="40"/>
      <c r="CW239" s="40"/>
      <c r="CX239" s="40"/>
      <c r="CY239" s="40"/>
      <c r="CZ239" s="40"/>
      <c r="DA239" s="11"/>
      <c r="DB239" s="11"/>
      <c r="DC239" s="11"/>
      <c r="DD239" s="11"/>
      <c r="DE239" s="11"/>
      <c r="DF239" s="11"/>
      <c r="DG239" s="11"/>
    </row>
    <row r="240" ht="15.75" customHeight="1">
      <c r="A240" s="41"/>
      <c r="B240" s="11"/>
      <c r="C240" s="11"/>
      <c r="D240" s="11"/>
      <c r="E240" s="11"/>
      <c r="F240" s="11"/>
      <c r="G240" s="11"/>
      <c r="H240" s="11"/>
      <c r="I240" s="41"/>
      <c r="J240" s="11"/>
      <c r="K240" s="11"/>
      <c r="L240" s="11"/>
      <c r="M240" s="11"/>
      <c r="N240" s="11"/>
      <c r="O240" s="11"/>
      <c r="P240" s="11"/>
      <c r="Q240" s="41"/>
      <c r="R240" s="11"/>
      <c r="S240" s="11"/>
      <c r="T240" s="11"/>
      <c r="U240" s="11"/>
      <c r="V240" s="11"/>
      <c r="W240" s="11"/>
      <c r="X240" s="11"/>
      <c r="Y240" s="4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40"/>
      <c r="CQ240" s="40"/>
      <c r="CR240" s="40"/>
      <c r="CS240" s="40"/>
      <c r="CT240" s="40"/>
      <c r="CU240" s="40"/>
      <c r="CV240" s="40"/>
      <c r="CW240" s="40"/>
      <c r="CX240" s="40"/>
      <c r="CY240" s="40"/>
      <c r="CZ240" s="40"/>
      <c r="DA240" s="11"/>
      <c r="DB240" s="11"/>
      <c r="DC240" s="11"/>
      <c r="DD240" s="11"/>
      <c r="DE240" s="11"/>
      <c r="DF240" s="11"/>
      <c r="DG240" s="11"/>
    </row>
    <row r="241" ht="15.75" customHeight="1">
      <c r="A241" s="41"/>
      <c r="B241" s="11"/>
      <c r="C241" s="11"/>
      <c r="D241" s="11"/>
      <c r="E241" s="11"/>
      <c r="F241" s="11"/>
      <c r="G241" s="11"/>
      <c r="H241" s="11"/>
      <c r="I241" s="41"/>
      <c r="J241" s="11"/>
      <c r="K241" s="11"/>
      <c r="L241" s="11"/>
      <c r="M241" s="11"/>
      <c r="N241" s="11"/>
      <c r="O241" s="11"/>
      <c r="P241" s="11"/>
      <c r="Q241" s="41"/>
      <c r="R241" s="11"/>
      <c r="S241" s="11"/>
      <c r="T241" s="11"/>
      <c r="U241" s="11"/>
      <c r="V241" s="11"/>
      <c r="W241" s="11"/>
      <c r="X241" s="11"/>
      <c r="Y241" s="4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40"/>
      <c r="CQ241" s="40"/>
      <c r="CR241" s="40"/>
      <c r="CS241" s="40"/>
      <c r="CT241" s="40"/>
      <c r="CU241" s="40"/>
      <c r="CV241" s="40"/>
      <c r="CW241" s="40"/>
      <c r="CX241" s="40"/>
      <c r="CY241" s="40"/>
      <c r="CZ241" s="40"/>
      <c r="DA241" s="11"/>
      <c r="DB241" s="11"/>
      <c r="DC241" s="11"/>
      <c r="DD241" s="11"/>
      <c r="DE241" s="11"/>
      <c r="DF241" s="11"/>
      <c r="DG241" s="11"/>
    </row>
    <row r="242" ht="15.75" customHeight="1">
      <c r="A242" s="41"/>
      <c r="B242" s="11"/>
      <c r="C242" s="11"/>
      <c r="D242" s="11"/>
      <c r="E242" s="11"/>
      <c r="F242" s="11"/>
      <c r="G242" s="11"/>
      <c r="H242" s="11"/>
      <c r="I242" s="41"/>
      <c r="J242" s="11"/>
      <c r="K242" s="11"/>
      <c r="L242" s="11"/>
      <c r="M242" s="11"/>
      <c r="N242" s="11"/>
      <c r="O242" s="11"/>
      <c r="P242" s="11"/>
      <c r="Q242" s="41"/>
      <c r="R242" s="11"/>
      <c r="S242" s="11"/>
      <c r="T242" s="11"/>
      <c r="U242" s="11"/>
      <c r="V242" s="11"/>
      <c r="W242" s="11"/>
      <c r="X242" s="11"/>
      <c r="Y242" s="4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40"/>
      <c r="CQ242" s="40"/>
      <c r="CR242" s="40"/>
      <c r="CS242" s="40"/>
      <c r="CT242" s="40"/>
      <c r="CU242" s="40"/>
      <c r="CV242" s="40"/>
      <c r="CW242" s="40"/>
      <c r="CX242" s="40"/>
      <c r="CY242" s="40"/>
      <c r="CZ242" s="40"/>
      <c r="DA242" s="11"/>
      <c r="DB242" s="11"/>
      <c r="DC242" s="11"/>
      <c r="DD242" s="11"/>
      <c r="DE242" s="11"/>
      <c r="DF242" s="11"/>
      <c r="DG242" s="11"/>
    </row>
    <row r="243" ht="15.75" customHeight="1">
      <c r="A243" s="41"/>
      <c r="B243" s="11"/>
      <c r="C243" s="11"/>
      <c r="D243" s="11"/>
      <c r="E243" s="11"/>
      <c r="F243" s="11"/>
      <c r="G243" s="11"/>
      <c r="H243" s="11"/>
      <c r="I243" s="41"/>
      <c r="J243" s="11"/>
      <c r="K243" s="11"/>
      <c r="L243" s="11"/>
      <c r="M243" s="11"/>
      <c r="N243" s="11"/>
      <c r="O243" s="11"/>
      <c r="P243" s="11"/>
      <c r="Q243" s="41"/>
      <c r="R243" s="11"/>
      <c r="S243" s="11"/>
      <c r="T243" s="11"/>
      <c r="U243" s="11"/>
      <c r="V243" s="11"/>
      <c r="W243" s="11"/>
      <c r="X243" s="11"/>
      <c r="Y243" s="4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40"/>
      <c r="CQ243" s="40"/>
      <c r="CR243" s="40"/>
      <c r="CS243" s="40"/>
      <c r="CT243" s="40"/>
      <c r="CU243" s="40"/>
      <c r="CV243" s="40"/>
      <c r="CW243" s="40"/>
      <c r="CX243" s="40"/>
      <c r="CY243" s="40"/>
      <c r="CZ243" s="40"/>
      <c r="DA243" s="11"/>
      <c r="DB243" s="11"/>
      <c r="DC243" s="11"/>
      <c r="DD243" s="11"/>
      <c r="DE243" s="11"/>
      <c r="DF243" s="11"/>
      <c r="DG243" s="11"/>
    </row>
    <row r="244" ht="15.75" customHeight="1">
      <c r="A244" s="41"/>
      <c r="B244" s="11"/>
      <c r="C244" s="11"/>
      <c r="D244" s="11"/>
      <c r="E244" s="11"/>
      <c r="F244" s="11"/>
      <c r="G244" s="11"/>
      <c r="H244" s="11"/>
      <c r="I244" s="41"/>
      <c r="J244" s="11"/>
      <c r="K244" s="11"/>
      <c r="L244" s="11"/>
      <c r="M244" s="11"/>
      <c r="N244" s="11"/>
      <c r="O244" s="11"/>
      <c r="P244" s="11"/>
      <c r="Q244" s="41"/>
      <c r="R244" s="11"/>
      <c r="S244" s="11"/>
      <c r="T244" s="11"/>
      <c r="U244" s="11"/>
      <c r="V244" s="11"/>
      <c r="W244" s="11"/>
      <c r="X244" s="11"/>
      <c r="Y244" s="4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40"/>
      <c r="CQ244" s="40"/>
      <c r="CR244" s="40"/>
      <c r="CS244" s="40"/>
      <c r="CT244" s="40"/>
      <c r="CU244" s="40"/>
      <c r="CV244" s="40"/>
      <c r="CW244" s="40"/>
      <c r="CX244" s="40"/>
      <c r="CY244" s="40"/>
      <c r="CZ244" s="40"/>
      <c r="DA244" s="11"/>
      <c r="DB244" s="11"/>
      <c r="DC244" s="11"/>
      <c r="DD244" s="11"/>
      <c r="DE244" s="11"/>
      <c r="DF244" s="11"/>
      <c r="DG244" s="11"/>
    </row>
    <row r="245" ht="15.75" customHeight="1">
      <c r="A245" s="41"/>
      <c r="B245" s="11"/>
      <c r="C245" s="11"/>
      <c r="D245" s="11"/>
      <c r="E245" s="11"/>
      <c r="F245" s="11"/>
      <c r="G245" s="11"/>
      <c r="H245" s="11"/>
      <c r="I245" s="41"/>
      <c r="J245" s="11"/>
      <c r="K245" s="11"/>
      <c r="L245" s="11"/>
      <c r="M245" s="11"/>
      <c r="N245" s="11"/>
      <c r="O245" s="11"/>
      <c r="P245" s="11"/>
      <c r="Q245" s="41"/>
      <c r="R245" s="11"/>
      <c r="S245" s="11"/>
      <c r="T245" s="11"/>
      <c r="U245" s="11"/>
      <c r="V245" s="11"/>
      <c r="W245" s="11"/>
      <c r="X245" s="11"/>
      <c r="Y245" s="4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40"/>
      <c r="CQ245" s="40"/>
      <c r="CR245" s="40"/>
      <c r="CS245" s="40"/>
      <c r="CT245" s="40"/>
      <c r="CU245" s="40"/>
      <c r="CV245" s="40"/>
      <c r="CW245" s="40"/>
      <c r="CX245" s="40"/>
      <c r="CY245" s="40"/>
      <c r="CZ245" s="40"/>
      <c r="DA245" s="11"/>
      <c r="DB245" s="11"/>
      <c r="DC245" s="11"/>
      <c r="DD245" s="11"/>
      <c r="DE245" s="11"/>
      <c r="DF245" s="11"/>
      <c r="DG245" s="11"/>
    </row>
    <row r="246" ht="15.75" customHeight="1">
      <c r="A246" s="41"/>
      <c r="B246" s="11"/>
      <c r="C246" s="11"/>
      <c r="D246" s="11"/>
      <c r="E246" s="11"/>
      <c r="F246" s="11"/>
      <c r="G246" s="11"/>
      <c r="H246" s="11"/>
      <c r="I246" s="41"/>
      <c r="J246" s="11"/>
      <c r="K246" s="11"/>
      <c r="L246" s="11"/>
      <c r="M246" s="11"/>
      <c r="N246" s="11"/>
      <c r="O246" s="11"/>
      <c r="P246" s="11"/>
      <c r="Q246" s="41"/>
      <c r="R246" s="11"/>
      <c r="S246" s="11"/>
      <c r="T246" s="11"/>
      <c r="U246" s="11"/>
      <c r="V246" s="11"/>
      <c r="W246" s="11"/>
      <c r="X246" s="11"/>
      <c r="Y246" s="4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40"/>
      <c r="CQ246" s="40"/>
      <c r="CR246" s="40"/>
      <c r="CS246" s="40"/>
      <c r="CT246" s="40"/>
      <c r="CU246" s="40"/>
      <c r="CV246" s="40"/>
      <c r="CW246" s="40"/>
      <c r="CX246" s="40"/>
      <c r="CY246" s="40"/>
      <c r="CZ246" s="40"/>
      <c r="DA246" s="11"/>
      <c r="DB246" s="11"/>
      <c r="DC246" s="11"/>
      <c r="DD246" s="11"/>
      <c r="DE246" s="11"/>
      <c r="DF246" s="11"/>
      <c r="DG246" s="11"/>
    </row>
    <row r="247" ht="15.75" customHeight="1">
      <c r="A247" s="41"/>
      <c r="B247" s="11"/>
      <c r="C247" s="11"/>
      <c r="D247" s="11"/>
      <c r="E247" s="11"/>
      <c r="F247" s="11"/>
      <c r="G247" s="11"/>
      <c r="H247" s="11"/>
      <c r="I247" s="41"/>
      <c r="J247" s="11"/>
      <c r="K247" s="11"/>
      <c r="L247" s="11"/>
      <c r="M247" s="11"/>
      <c r="N247" s="11"/>
      <c r="O247" s="11"/>
      <c r="P247" s="11"/>
      <c r="Q247" s="41"/>
      <c r="R247" s="11"/>
      <c r="S247" s="11"/>
      <c r="T247" s="11"/>
      <c r="U247" s="11"/>
      <c r="V247" s="11"/>
      <c r="W247" s="11"/>
      <c r="X247" s="11"/>
      <c r="Y247" s="4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40"/>
      <c r="CQ247" s="40"/>
      <c r="CR247" s="40"/>
      <c r="CS247" s="40"/>
      <c r="CT247" s="40"/>
      <c r="CU247" s="40"/>
      <c r="CV247" s="40"/>
      <c r="CW247" s="40"/>
      <c r="CX247" s="40"/>
      <c r="CY247" s="40"/>
      <c r="CZ247" s="40"/>
      <c r="DA247" s="11"/>
      <c r="DB247" s="11"/>
      <c r="DC247" s="11"/>
      <c r="DD247" s="11"/>
      <c r="DE247" s="11"/>
      <c r="DF247" s="11"/>
      <c r="DG247" s="11"/>
    </row>
    <row r="248" ht="15.75" customHeight="1">
      <c r="A248" s="41"/>
      <c r="B248" s="11"/>
      <c r="C248" s="11"/>
      <c r="D248" s="11"/>
      <c r="E248" s="11"/>
      <c r="F248" s="11"/>
      <c r="G248" s="11"/>
      <c r="H248" s="11"/>
      <c r="I248" s="41"/>
      <c r="J248" s="11"/>
      <c r="K248" s="11"/>
      <c r="L248" s="11"/>
      <c r="M248" s="11"/>
      <c r="N248" s="11"/>
      <c r="O248" s="11"/>
      <c r="P248" s="11"/>
      <c r="Q248" s="41"/>
      <c r="R248" s="11"/>
      <c r="S248" s="11"/>
      <c r="T248" s="11"/>
      <c r="U248" s="11"/>
      <c r="V248" s="11"/>
      <c r="W248" s="11"/>
      <c r="X248" s="11"/>
      <c r="Y248" s="4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40"/>
      <c r="CQ248" s="40"/>
      <c r="CR248" s="40"/>
      <c r="CS248" s="40"/>
      <c r="CT248" s="40"/>
      <c r="CU248" s="40"/>
      <c r="CV248" s="40"/>
      <c r="CW248" s="40"/>
      <c r="CX248" s="40"/>
      <c r="CY248" s="40"/>
      <c r="CZ248" s="40"/>
      <c r="DA248" s="11"/>
      <c r="DB248" s="11"/>
      <c r="DC248" s="11"/>
      <c r="DD248" s="11"/>
      <c r="DE248" s="11"/>
      <c r="DF248" s="11"/>
      <c r="DG248" s="11"/>
    </row>
    <row r="249" ht="15.75" customHeight="1">
      <c r="A249" s="41"/>
      <c r="B249" s="11"/>
      <c r="C249" s="11"/>
      <c r="D249" s="11"/>
      <c r="E249" s="11"/>
      <c r="F249" s="11"/>
      <c r="G249" s="11"/>
      <c r="H249" s="11"/>
      <c r="I249" s="41"/>
      <c r="J249" s="11"/>
      <c r="K249" s="11"/>
      <c r="L249" s="11"/>
      <c r="M249" s="11"/>
      <c r="N249" s="11"/>
      <c r="O249" s="11"/>
      <c r="P249" s="11"/>
      <c r="Q249" s="41"/>
      <c r="R249" s="11"/>
      <c r="S249" s="11"/>
      <c r="T249" s="11"/>
      <c r="U249" s="11"/>
      <c r="V249" s="11"/>
      <c r="W249" s="11"/>
      <c r="X249" s="11"/>
      <c r="Y249" s="4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40"/>
      <c r="CQ249" s="40"/>
      <c r="CR249" s="40"/>
      <c r="CS249" s="40"/>
      <c r="CT249" s="40"/>
      <c r="CU249" s="40"/>
      <c r="CV249" s="40"/>
      <c r="CW249" s="40"/>
      <c r="CX249" s="40"/>
      <c r="CY249" s="40"/>
      <c r="CZ249" s="40"/>
      <c r="DA249" s="11"/>
      <c r="DB249" s="11"/>
      <c r="DC249" s="11"/>
      <c r="DD249" s="11"/>
      <c r="DE249" s="11"/>
      <c r="DF249" s="11"/>
      <c r="DG249" s="11"/>
    </row>
    <row r="250" ht="15.75" customHeight="1">
      <c r="A250" s="41"/>
      <c r="B250" s="11"/>
      <c r="C250" s="11"/>
      <c r="D250" s="11"/>
      <c r="E250" s="11"/>
      <c r="F250" s="11"/>
      <c r="G250" s="11"/>
      <c r="H250" s="11"/>
      <c r="I250" s="41"/>
      <c r="J250" s="11"/>
      <c r="K250" s="11"/>
      <c r="L250" s="11"/>
      <c r="M250" s="11"/>
      <c r="N250" s="11"/>
      <c r="O250" s="11"/>
      <c r="P250" s="11"/>
      <c r="Q250" s="41"/>
      <c r="R250" s="11"/>
      <c r="S250" s="11"/>
      <c r="T250" s="11"/>
      <c r="U250" s="11"/>
      <c r="V250" s="11"/>
      <c r="W250" s="11"/>
      <c r="X250" s="11"/>
      <c r="Y250" s="4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40"/>
      <c r="CQ250" s="40"/>
      <c r="CR250" s="40"/>
      <c r="CS250" s="40"/>
      <c r="CT250" s="40"/>
      <c r="CU250" s="40"/>
      <c r="CV250" s="40"/>
      <c r="CW250" s="40"/>
      <c r="CX250" s="40"/>
      <c r="CY250" s="40"/>
      <c r="CZ250" s="40"/>
      <c r="DA250" s="11"/>
      <c r="DB250" s="11"/>
      <c r="DC250" s="11"/>
      <c r="DD250" s="11"/>
      <c r="DE250" s="11"/>
      <c r="DF250" s="11"/>
      <c r="DG250" s="11"/>
    </row>
    <row r="251" ht="15.75" customHeight="1">
      <c r="A251" s="41"/>
      <c r="B251" s="11"/>
      <c r="C251" s="11"/>
      <c r="D251" s="11"/>
      <c r="E251" s="11"/>
      <c r="F251" s="11"/>
      <c r="G251" s="11"/>
      <c r="H251" s="11"/>
      <c r="I251" s="41"/>
      <c r="J251" s="11"/>
      <c r="K251" s="11"/>
      <c r="L251" s="11"/>
      <c r="M251" s="11"/>
      <c r="N251" s="11"/>
      <c r="O251" s="11"/>
      <c r="P251" s="11"/>
      <c r="Q251" s="41"/>
      <c r="R251" s="11"/>
      <c r="S251" s="11"/>
      <c r="T251" s="11"/>
      <c r="U251" s="11"/>
      <c r="V251" s="11"/>
      <c r="W251" s="11"/>
      <c r="X251" s="11"/>
      <c r="Y251" s="4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40"/>
      <c r="CQ251" s="40"/>
      <c r="CR251" s="40"/>
      <c r="CS251" s="40"/>
      <c r="CT251" s="40"/>
      <c r="CU251" s="40"/>
      <c r="CV251" s="40"/>
      <c r="CW251" s="40"/>
      <c r="CX251" s="40"/>
      <c r="CY251" s="40"/>
      <c r="CZ251" s="40"/>
      <c r="DA251" s="11"/>
      <c r="DB251" s="11"/>
      <c r="DC251" s="11"/>
      <c r="DD251" s="11"/>
      <c r="DE251" s="11"/>
      <c r="DF251" s="11"/>
      <c r="DG251" s="11"/>
    </row>
    <row r="252" ht="15.75" customHeight="1">
      <c r="A252" s="41"/>
      <c r="B252" s="11"/>
      <c r="C252" s="11"/>
      <c r="D252" s="11"/>
      <c r="E252" s="11"/>
      <c r="F252" s="11"/>
      <c r="G252" s="11"/>
      <c r="H252" s="11"/>
      <c r="I252" s="41"/>
      <c r="J252" s="11"/>
      <c r="K252" s="11"/>
      <c r="L252" s="11"/>
      <c r="M252" s="11"/>
      <c r="N252" s="11"/>
      <c r="O252" s="11"/>
      <c r="P252" s="11"/>
      <c r="Q252" s="41"/>
      <c r="R252" s="11"/>
      <c r="S252" s="11"/>
      <c r="T252" s="11"/>
      <c r="U252" s="11"/>
      <c r="V252" s="11"/>
      <c r="W252" s="11"/>
      <c r="X252" s="11"/>
      <c r="Y252" s="4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40"/>
      <c r="CQ252" s="40"/>
      <c r="CR252" s="40"/>
      <c r="CS252" s="40"/>
      <c r="CT252" s="40"/>
      <c r="CU252" s="40"/>
      <c r="CV252" s="40"/>
      <c r="CW252" s="40"/>
      <c r="CX252" s="40"/>
      <c r="CY252" s="40"/>
      <c r="CZ252" s="40"/>
      <c r="DA252" s="11"/>
      <c r="DB252" s="11"/>
      <c r="DC252" s="11"/>
      <c r="DD252" s="11"/>
      <c r="DE252" s="11"/>
      <c r="DF252" s="11"/>
      <c r="DG252" s="11"/>
    </row>
    <row r="253" ht="15.75" customHeight="1">
      <c r="A253" s="41"/>
      <c r="B253" s="11"/>
      <c r="C253" s="11"/>
      <c r="D253" s="11"/>
      <c r="E253" s="11"/>
      <c r="F253" s="11"/>
      <c r="G253" s="11"/>
      <c r="H253" s="11"/>
      <c r="I253" s="41"/>
      <c r="J253" s="11"/>
      <c r="K253" s="11"/>
      <c r="L253" s="11"/>
      <c r="M253" s="11"/>
      <c r="N253" s="11"/>
      <c r="O253" s="11"/>
      <c r="P253" s="11"/>
      <c r="Q253" s="41"/>
      <c r="R253" s="11"/>
      <c r="S253" s="11"/>
      <c r="T253" s="11"/>
      <c r="U253" s="11"/>
      <c r="V253" s="11"/>
      <c r="W253" s="11"/>
      <c r="X253" s="11"/>
      <c r="Y253" s="4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40"/>
      <c r="CQ253" s="40"/>
      <c r="CR253" s="40"/>
      <c r="CS253" s="40"/>
      <c r="CT253" s="40"/>
      <c r="CU253" s="40"/>
      <c r="CV253" s="40"/>
      <c r="CW253" s="40"/>
      <c r="CX253" s="40"/>
      <c r="CY253" s="40"/>
      <c r="CZ253" s="40"/>
      <c r="DA253" s="11"/>
      <c r="DB253" s="11"/>
      <c r="DC253" s="11"/>
      <c r="DD253" s="11"/>
      <c r="DE253" s="11"/>
      <c r="DF253" s="11"/>
      <c r="DG253" s="11"/>
    </row>
    <row r="254" ht="15.75" customHeight="1">
      <c r="A254" s="41"/>
      <c r="B254" s="11"/>
      <c r="C254" s="11"/>
      <c r="D254" s="11"/>
      <c r="E254" s="11"/>
      <c r="F254" s="11"/>
      <c r="G254" s="11"/>
      <c r="H254" s="11"/>
      <c r="I254" s="41"/>
      <c r="J254" s="11"/>
      <c r="K254" s="11"/>
      <c r="L254" s="11"/>
      <c r="M254" s="11"/>
      <c r="N254" s="11"/>
      <c r="O254" s="11"/>
      <c r="P254" s="11"/>
      <c r="Q254" s="41"/>
      <c r="R254" s="11"/>
      <c r="S254" s="11"/>
      <c r="T254" s="11"/>
      <c r="U254" s="11"/>
      <c r="V254" s="11"/>
      <c r="W254" s="11"/>
      <c r="X254" s="11"/>
      <c r="Y254" s="4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40"/>
      <c r="CQ254" s="40"/>
      <c r="CR254" s="40"/>
      <c r="CS254" s="40"/>
      <c r="CT254" s="40"/>
      <c r="CU254" s="40"/>
      <c r="CV254" s="40"/>
      <c r="CW254" s="40"/>
      <c r="CX254" s="40"/>
      <c r="CY254" s="40"/>
      <c r="CZ254" s="40"/>
      <c r="DA254" s="11"/>
      <c r="DB254" s="11"/>
      <c r="DC254" s="11"/>
      <c r="DD254" s="11"/>
      <c r="DE254" s="11"/>
      <c r="DF254" s="11"/>
      <c r="DG254" s="11"/>
    </row>
    <row r="255" ht="15.75" customHeight="1">
      <c r="A255" s="41"/>
      <c r="B255" s="11"/>
      <c r="C255" s="11"/>
      <c r="D255" s="11"/>
      <c r="E255" s="11"/>
      <c r="F255" s="11"/>
      <c r="G255" s="11"/>
      <c r="H255" s="11"/>
      <c r="I255" s="41"/>
      <c r="J255" s="11"/>
      <c r="K255" s="11"/>
      <c r="L255" s="11"/>
      <c r="M255" s="11"/>
      <c r="N255" s="11"/>
      <c r="O255" s="11"/>
      <c r="P255" s="11"/>
      <c r="Q255" s="41"/>
      <c r="R255" s="11"/>
      <c r="S255" s="11"/>
      <c r="T255" s="11"/>
      <c r="U255" s="11"/>
      <c r="V255" s="11"/>
      <c r="W255" s="11"/>
      <c r="X255" s="11"/>
      <c r="Y255" s="4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40"/>
      <c r="CQ255" s="40"/>
      <c r="CR255" s="40"/>
      <c r="CS255" s="40"/>
      <c r="CT255" s="40"/>
      <c r="CU255" s="40"/>
      <c r="CV255" s="40"/>
      <c r="CW255" s="40"/>
      <c r="CX255" s="40"/>
      <c r="CY255" s="40"/>
      <c r="CZ255" s="40"/>
      <c r="DA255" s="11"/>
      <c r="DB255" s="11"/>
      <c r="DC255" s="11"/>
      <c r="DD255" s="11"/>
      <c r="DE255" s="11"/>
      <c r="DF255" s="11"/>
      <c r="DG255" s="11"/>
    </row>
    <row r="256" ht="15.75" customHeight="1">
      <c r="A256" s="41"/>
      <c r="B256" s="11"/>
      <c r="C256" s="11"/>
      <c r="D256" s="11"/>
      <c r="E256" s="11"/>
      <c r="F256" s="11"/>
      <c r="G256" s="11"/>
      <c r="H256" s="11"/>
      <c r="I256" s="41"/>
      <c r="J256" s="11"/>
      <c r="K256" s="11"/>
      <c r="L256" s="11"/>
      <c r="M256" s="11"/>
      <c r="N256" s="11"/>
      <c r="O256" s="11"/>
      <c r="P256" s="11"/>
      <c r="Q256" s="41"/>
      <c r="R256" s="11"/>
      <c r="S256" s="11"/>
      <c r="T256" s="11"/>
      <c r="U256" s="11"/>
      <c r="V256" s="11"/>
      <c r="W256" s="11"/>
      <c r="X256" s="11"/>
      <c r="Y256" s="4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40"/>
      <c r="CQ256" s="40"/>
      <c r="CR256" s="40"/>
      <c r="CS256" s="40"/>
      <c r="CT256" s="40"/>
      <c r="CU256" s="40"/>
      <c r="CV256" s="40"/>
      <c r="CW256" s="40"/>
      <c r="CX256" s="40"/>
      <c r="CY256" s="40"/>
      <c r="CZ256" s="40"/>
      <c r="DA256" s="11"/>
      <c r="DB256" s="11"/>
      <c r="DC256" s="11"/>
      <c r="DD256" s="11"/>
      <c r="DE256" s="11"/>
      <c r="DF256" s="11"/>
      <c r="DG256" s="11"/>
    </row>
    <row r="257" ht="15.75" customHeight="1">
      <c r="A257" s="41"/>
      <c r="B257" s="11"/>
      <c r="C257" s="11"/>
      <c r="D257" s="11"/>
      <c r="E257" s="11"/>
      <c r="F257" s="11"/>
      <c r="G257" s="11"/>
      <c r="H257" s="11"/>
      <c r="I257" s="41"/>
      <c r="J257" s="11"/>
      <c r="K257" s="11"/>
      <c r="L257" s="11"/>
      <c r="M257" s="11"/>
      <c r="N257" s="11"/>
      <c r="O257" s="11"/>
      <c r="P257" s="11"/>
      <c r="Q257" s="41"/>
      <c r="R257" s="11"/>
      <c r="S257" s="11"/>
      <c r="T257" s="11"/>
      <c r="U257" s="11"/>
      <c r="V257" s="11"/>
      <c r="W257" s="11"/>
      <c r="X257" s="11"/>
      <c r="Y257" s="4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40"/>
      <c r="CQ257" s="40"/>
      <c r="CR257" s="40"/>
      <c r="CS257" s="40"/>
      <c r="CT257" s="40"/>
      <c r="CU257" s="40"/>
      <c r="CV257" s="40"/>
      <c r="CW257" s="40"/>
      <c r="CX257" s="40"/>
      <c r="CY257" s="40"/>
      <c r="CZ257" s="40"/>
      <c r="DA257" s="11"/>
      <c r="DB257" s="11"/>
      <c r="DC257" s="11"/>
      <c r="DD257" s="11"/>
      <c r="DE257" s="11"/>
      <c r="DF257" s="11"/>
      <c r="DG257" s="11"/>
    </row>
    <row r="258" ht="15.75" customHeight="1">
      <c r="A258" s="41"/>
      <c r="B258" s="11"/>
      <c r="C258" s="11"/>
      <c r="D258" s="11"/>
      <c r="E258" s="11"/>
      <c r="F258" s="11"/>
      <c r="G258" s="11"/>
      <c r="H258" s="11"/>
      <c r="I258" s="41"/>
      <c r="J258" s="11"/>
      <c r="K258" s="11"/>
      <c r="L258" s="11"/>
      <c r="M258" s="11"/>
      <c r="N258" s="11"/>
      <c r="O258" s="11"/>
      <c r="P258" s="11"/>
      <c r="Q258" s="41"/>
      <c r="R258" s="11"/>
      <c r="S258" s="11"/>
      <c r="T258" s="11"/>
      <c r="U258" s="11"/>
      <c r="V258" s="11"/>
      <c r="W258" s="11"/>
      <c r="X258" s="11"/>
      <c r="Y258" s="4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40"/>
      <c r="CQ258" s="40"/>
      <c r="CR258" s="40"/>
      <c r="CS258" s="40"/>
      <c r="CT258" s="40"/>
      <c r="CU258" s="40"/>
      <c r="CV258" s="40"/>
      <c r="CW258" s="40"/>
      <c r="CX258" s="40"/>
      <c r="CY258" s="40"/>
      <c r="CZ258" s="40"/>
      <c r="DA258" s="11"/>
      <c r="DB258" s="11"/>
      <c r="DC258" s="11"/>
      <c r="DD258" s="11"/>
      <c r="DE258" s="11"/>
      <c r="DF258" s="11"/>
      <c r="DG258" s="11"/>
    </row>
    <row r="259" ht="15.75" customHeight="1">
      <c r="A259" s="41"/>
      <c r="B259" s="11"/>
      <c r="C259" s="11"/>
      <c r="D259" s="11"/>
      <c r="E259" s="11"/>
      <c r="F259" s="11"/>
      <c r="G259" s="11"/>
      <c r="H259" s="11"/>
      <c r="I259" s="41"/>
      <c r="J259" s="11"/>
      <c r="K259" s="11"/>
      <c r="L259" s="11"/>
      <c r="M259" s="11"/>
      <c r="N259" s="11"/>
      <c r="O259" s="11"/>
      <c r="P259" s="11"/>
      <c r="Q259" s="41"/>
      <c r="R259" s="11"/>
      <c r="S259" s="11"/>
      <c r="T259" s="11"/>
      <c r="U259" s="11"/>
      <c r="V259" s="11"/>
      <c r="W259" s="11"/>
      <c r="X259" s="11"/>
      <c r="Y259" s="4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40"/>
      <c r="CQ259" s="40"/>
      <c r="CR259" s="40"/>
      <c r="CS259" s="40"/>
      <c r="CT259" s="40"/>
      <c r="CU259" s="40"/>
      <c r="CV259" s="40"/>
      <c r="CW259" s="40"/>
      <c r="CX259" s="40"/>
      <c r="CY259" s="40"/>
      <c r="CZ259" s="40"/>
      <c r="DA259" s="11"/>
      <c r="DB259" s="11"/>
      <c r="DC259" s="11"/>
      <c r="DD259" s="11"/>
      <c r="DE259" s="11"/>
      <c r="DF259" s="11"/>
      <c r="DG259" s="11"/>
    </row>
    <row r="260" ht="15.75" customHeight="1">
      <c r="A260" s="41"/>
      <c r="B260" s="11"/>
      <c r="C260" s="11"/>
      <c r="D260" s="11"/>
      <c r="E260" s="11"/>
      <c r="F260" s="11"/>
      <c r="G260" s="11"/>
      <c r="H260" s="11"/>
      <c r="I260" s="41"/>
      <c r="J260" s="11"/>
      <c r="K260" s="11"/>
      <c r="L260" s="11"/>
      <c r="M260" s="11"/>
      <c r="N260" s="11"/>
      <c r="O260" s="11"/>
      <c r="P260" s="11"/>
      <c r="Q260" s="41"/>
      <c r="R260" s="11"/>
      <c r="S260" s="11"/>
      <c r="T260" s="11"/>
      <c r="U260" s="11"/>
      <c r="V260" s="11"/>
      <c r="W260" s="11"/>
      <c r="X260" s="11"/>
      <c r="Y260" s="4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40"/>
      <c r="CQ260" s="40"/>
      <c r="CR260" s="40"/>
      <c r="CS260" s="40"/>
      <c r="CT260" s="40"/>
      <c r="CU260" s="40"/>
      <c r="CV260" s="40"/>
      <c r="CW260" s="40"/>
      <c r="CX260" s="40"/>
      <c r="CY260" s="40"/>
      <c r="CZ260" s="40"/>
      <c r="DA260" s="11"/>
      <c r="DB260" s="11"/>
      <c r="DC260" s="11"/>
      <c r="DD260" s="11"/>
      <c r="DE260" s="11"/>
      <c r="DF260" s="11"/>
      <c r="DG260" s="11"/>
    </row>
    <row r="261" ht="15.75" customHeight="1">
      <c r="A261" s="41"/>
      <c r="B261" s="11"/>
      <c r="C261" s="11"/>
      <c r="D261" s="11"/>
      <c r="E261" s="11"/>
      <c r="F261" s="11"/>
      <c r="G261" s="11"/>
      <c r="H261" s="11"/>
      <c r="I261" s="41"/>
      <c r="J261" s="11"/>
      <c r="K261" s="11"/>
      <c r="L261" s="11"/>
      <c r="M261" s="11"/>
      <c r="N261" s="11"/>
      <c r="O261" s="11"/>
      <c r="P261" s="11"/>
      <c r="Q261" s="41"/>
      <c r="R261" s="11"/>
      <c r="S261" s="11"/>
      <c r="T261" s="11"/>
      <c r="U261" s="11"/>
      <c r="V261" s="11"/>
      <c r="W261" s="11"/>
      <c r="X261" s="11"/>
      <c r="Y261" s="4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40"/>
      <c r="CQ261" s="40"/>
      <c r="CR261" s="40"/>
      <c r="CS261" s="40"/>
      <c r="CT261" s="40"/>
      <c r="CU261" s="40"/>
      <c r="CV261" s="40"/>
      <c r="CW261" s="40"/>
      <c r="CX261" s="40"/>
      <c r="CY261" s="40"/>
      <c r="CZ261" s="40"/>
      <c r="DA261" s="11"/>
      <c r="DB261" s="11"/>
      <c r="DC261" s="11"/>
      <c r="DD261" s="11"/>
      <c r="DE261" s="11"/>
      <c r="DF261" s="11"/>
      <c r="DG261" s="11"/>
    </row>
    <row r="262" ht="15.75" customHeight="1">
      <c r="A262" s="41"/>
      <c r="B262" s="11"/>
      <c r="C262" s="11"/>
      <c r="D262" s="11"/>
      <c r="E262" s="11"/>
      <c r="F262" s="11"/>
      <c r="G262" s="11"/>
      <c r="H262" s="11"/>
      <c r="I262" s="41"/>
      <c r="J262" s="11"/>
      <c r="K262" s="11"/>
      <c r="L262" s="11"/>
      <c r="M262" s="11"/>
      <c r="N262" s="11"/>
      <c r="O262" s="11"/>
      <c r="P262" s="11"/>
      <c r="Q262" s="41"/>
      <c r="R262" s="11"/>
      <c r="S262" s="11"/>
      <c r="T262" s="11"/>
      <c r="U262" s="11"/>
      <c r="V262" s="11"/>
      <c r="W262" s="11"/>
      <c r="X262" s="11"/>
      <c r="Y262" s="4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40"/>
      <c r="CQ262" s="40"/>
      <c r="CR262" s="40"/>
      <c r="CS262" s="40"/>
      <c r="CT262" s="40"/>
      <c r="CU262" s="40"/>
      <c r="CV262" s="40"/>
      <c r="CW262" s="40"/>
      <c r="CX262" s="40"/>
      <c r="CY262" s="40"/>
      <c r="CZ262" s="40"/>
      <c r="DA262" s="11"/>
      <c r="DB262" s="11"/>
      <c r="DC262" s="11"/>
      <c r="DD262" s="11"/>
      <c r="DE262" s="11"/>
      <c r="DF262" s="11"/>
      <c r="DG262" s="11"/>
    </row>
    <row r="263" ht="15.75" customHeight="1">
      <c r="A263" s="41"/>
      <c r="B263" s="11"/>
      <c r="C263" s="11"/>
      <c r="D263" s="11"/>
      <c r="E263" s="11"/>
      <c r="F263" s="11"/>
      <c r="G263" s="11"/>
      <c r="H263" s="11"/>
      <c r="I263" s="41"/>
      <c r="J263" s="11"/>
      <c r="K263" s="11"/>
      <c r="L263" s="11"/>
      <c r="M263" s="11"/>
      <c r="N263" s="11"/>
      <c r="O263" s="11"/>
      <c r="P263" s="11"/>
      <c r="Q263" s="41"/>
      <c r="R263" s="11"/>
      <c r="S263" s="11"/>
      <c r="T263" s="11"/>
      <c r="U263" s="11"/>
      <c r="V263" s="11"/>
      <c r="W263" s="11"/>
      <c r="X263" s="11"/>
      <c r="Y263" s="4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40"/>
      <c r="CQ263" s="40"/>
      <c r="CR263" s="40"/>
      <c r="CS263" s="40"/>
      <c r="CT263" s="40"/>
      <c r="CU263" s="40"/>
      <c r="CV263" s="40"/>
      <c r="CW263" s="40"/>
      <c r="CX263" s="40"/>
      <c r="CY263" s="40"/>
      <c r="CZ263" s="40"/>
      <c r="DA263" s="11"/>
      <c r="DB263" s="11"/>
      <c r="DC263" s="11"/>
      <c r="DD263" s="11"/>
      <c r="DE263" s="11"/>
      <c r="DF263" s="11"/>
      <c r="DG263" s="11"/>
    </row>
    <row r="264" ht="15.75" customHeight="1">
      <c r="A264" s="41"/>
      <c r="B264" s="11"/>
      <c r="C264" s="11"/>
      <c r="D264" s="11"/>
      <c r="E264" s="11"/>
      <c r="F264" s="11"/>
      <c r="G264" s="11"/>
      <c r="H264" s="11"/>
      <c r="I264" s="41"/>
      <c r="J264" s="11"/>
      <c r="K264" s="11"/>
      <c r="L264" s="11"/>
      <c r="M264" s="11"/>
      <c r="N264" s="11"/>
      <c r="O264" s="11"/>
      <c r="P264" s="11"/>
      <c r="Q264" s="41"/>
      <c r="R264" s="11"/>
      <c r="S264" s="11"/>
      <c r="T264" s="11"/>
      <c r="U264" s="11"/>
      <c r="V264" s="11"/>
      <c r="W264" s="11"/>
      <c r="X264" s="11"/>
      <c r="Y264" s="4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40"/>
      <c r="CQ264" s="40"/>
      <c r="CR264" s="40"/>
      <c r="CS264" s="40"/>
      <c r="CT264" s="40"/>
      <c r="CU264" s="40"/>
      <c r="CV264" s="40"/>
      <c r="CW264" s="40"/>
      <c r="CX264" s="40"/>
      <c r="CY264" s="40"/>
      <c r="CZ264" s="40"/>
      <c r="DA264" s="11"/>
      <c r="DB264" s="11"/>
      <c r="DC264" s="11"/>
      <c r="DD264" s="11"/>
      <c r="DE264" s="11"/>
      <c r="DF264" s="11"/>
      <c r="DG264" s="11"/>
    </row>
    <row r="265" ht="15.75" customHeight="1">
      <c r="A265" s="41"/>
      <c r="B265" s="11"/>
      <c r="C265" s="11"/>
      <c r="D265" s="11"/>
      <c r="E265" s="11"/>
      <c r="F265" s="11"/>
      <c r="G265" s="11"/>
      <c r="H265" s="11"/>
      <c r="I265" s="41"/>
      <c r="J265" s="11"/>
      <c r="K265" s="11"/>
      <c r="L265" s="11"/>
      <c r="M265" s="11"/>
      <c r="N265" s="11"/>
      <c r="O265" s="11"/>
      <c r="P265" s="11"/>
      <c r="Q265" s="41"/>
      <c r="R265" s="11"/>
      <c r="S265" s="11"/>
      <c r="T265" s="11"/>
      <c r="U265" s="11"/>
      <c r="V265" s="11"/>
      <c r="W265" s="11"/>
      <c r="X265" s="11"/>
      <c r="Y265" s="4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40"/>
      <c r="CQ265" s="40"/>
      <c r="CR265" s="40"/>
      <c r="CS265" s="40"/>
      <c r="CT265" s="40"/>
      <c r="CU265" s="40"/>
      <c r="CV265" s="40"/>
      <c r="CW265" s="40"/>
      <c r="CX265" s="40"/>
      <c r="CY265" s="40"/>
      <c r="CZ265" s="40"/>
      <c r="DA265" s="11"/>
      <c r="DB265" s="11"/>
      <c r="DC265" s="11"/>
      <c r="DD265" s="11"/>
      <c r="DE265" s="11"/>
      <c r="DF265" s="11"/>
      <c r="DG265" s="11"/>
    </row>
    <row r="266" ht="15.75" customHeight="1">
      <c r="A266" s="41"/>
      <c r="B266" s="11"/>
      <c r="C266" s="11"/>
      <c r="D266" s="11"/>
      <c r="E266" s="11"/>
      <c r="F266" s="11"/>
      <c r="G266" s="11"/>
      <c r="H266" s="11"/>
      <c r="I266" s="41"/>
      <c r="J266" s="11"/>
      <c r="K266" s="11"/>
      <c r="L266" s="11"/>
      <c r="M266" s="11"/>
      <c r="N266" s="11"/>
      <c r="O266" s="11"/>
      <c r="P266" s="11"/>
      <c r="Q266" s="41"/>
      <c r="R266" s="11"/>
      <c r="S266" s="11"/>
      <c r="T266" s="11"/>
      <c r="U266" s="11"/>
      <c r="V266" s="11"/>
      <c r="W266" s="11"/>
      <c r="X266" s="11"/>
      <c r="Y266" s="4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40"/>
      <c r="CQ266" s="40"/>
      <c r="CR266" s="40"/>
      <c r="CS266" s="40"/>
      <c r="CT266" s="40"/>
      <c r="CU266" s="40"/>
      <c r="CV266" s="40"/>
      <c r="CW266" s="40"/>
      <c r="CX266" s="40"/>
      <c r="CY266" s="40"/>
      <c r="CZ266" s="40"/>
      <c r="DA266" s="11"/>
      <c r="DB266" s="11"/>
      <c r="DC266" s="11"/>
      <c r="DD266" s="11"/>
      <c r="DE266" s="11"/>
      <c r="DF266" s="11"/>
      <c r="DG266" s="11"/>
    </row>
    <row r="267" ht="15.75" customHeight="1">
      <c r="A267" s="41"/>
      <c r="B267" s="11"/>
      <c r="C267" s="11"/>
      <c r="D267" s="11"/>
      <c r="E267" s="11"/>
      <c r="F267" s="11"/>
      <c r="G267" s="11"/>
      <c r="H267" s="11"/>
      <c r="I267" s="41"/>
      <c r="J267" s="11"/>
      <c r="K267" s="11"/>
      <c r="L267" s="11"/>
      <c r="M267" s="11"/>
      <c r="N267" s="11"/>
      <c r="O267" s="11"/>
      <c r="P267" s="11"/>
      <c r="Q267" s="41"/>
      <c r="R267" s="11"/>
      <c r="S267" s="11"/>
      <c r="T267" s="11"/>
      <c r="U267" s="11"/>
      <c r="V267" s="11"/>
      <c r="W267" s="11"/>
      <c r="X267" s="11"/>
      <c r="Y267" s="4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40"/>
      <c r="CQ267" s="40"/>
      <c r="CR267" s="40"/>
      <c r="CS267" s="40"/>
      <c r="CT267" s="40"/>
      <c r="CU267" s="40"/>
      <c r="CV267" s="40"/>
      <c r="CW267" s="40"/>
      <c r="CX267" s="40"/>
      <c r="CY267" s="40"/>
      <c r="CZ267" s="40"/>
      <c r="DA267" s="11"/>
      <c r="DB267" s="11"/>
      <c r="DC267" s="11"/>
      <c r="DD267" s="11"/>
      <c r="DE267" s="11"/>
      <c r="DF267" s="11"/>
      <c r="DG267" s="11"/>
    </row>
    <row r="268" ht="15.75" customHeight="1">
      <c r="A268" s="41"/>
      <c r="B268" s="11"/>
      <c r="C268" s="11"/>
      <c r="D268" s="11"/>
      <c r="E268" s="11"/>
      <c r="F268" s="11"/>
      <c r="G268" s="11"/>
      <c r="H268" s="11"/>
      <c r="I268" s="41"/>
      <c r="J268" s="11"/>
      <c r="K268" s="11"/>
      <c r="L268" s="11"/>
      <c r="M268" s="11"/>
      <c r="N268" s="11"/>
      <c r="O268" s="11"/>
      <c r="P268" s="11"/>
      <c r="Q268" s="41"/>
      <c r="R268" s="11"/>
      <c r="S268" s="11"/>
      <c r="T268" s="11"/>
      <c r="U268" s="11"/>
      <c r="V268" s="11"/>
      <c r="W268" s="11"/>
      <c r="X268" s="11"/>
      <c r="Y268" s="4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40"/>
      <c r="CQ268" s="40"/>
      <c r="CR268" s="40"/>
      <c r="CS268" s="40"/>
      <c r="CT268" s="40"/>
      <c r="CU268" s="40"/>
      <c r="CV268" s="40"/>
      <c r="CW268" s="40"/>
      <c r="CX268" s="40"/>
      <c r="CY268" s="40"/>
      <c r="CZ268" s="40"/>
      <c r="DA268" s="11"/>
      <c r="DB268" s="11"/>
      <c r="DC268" s="11"/>
      <c r="DD268" s="11"/>
      <c r="DE268" s="11"/>
      <c r="DF268" s="11"/>
      <c r="DG268" s="11"/>
    </row>
    <row r="269" ht="15.75" customHeight="1">
      <c r="A269" s="41"/>
      <c r="B269" s="11"/>
      <c r="C269" s="11"/>
      <c r="D269" s="11"/>
      <c r="E269" s="11"/>
      <c r="F269" s="11"/>
      <c r="G269" s="11"/>
      <c r="H269" s="11"/>
      <c r="I269" s="41"/>
      <c r="J269" s="11"/>
      <c r="K269" s="11"/>
      <c r="L269" s="11"/>
      <c r="M269" s="11"/>
      <c r="N269" s="11"/>
      <c r="O269" s="11"/>
      <c r="P269" s="11"/>
      <c r="Q269" s="41"/>
      <c r="R269" s="11"/>
      <c r="S269" s="11"/>
      <c r="T269" s="11"/>
      <c r="U269" s="11"/>
      <c r="V269" s="11"/>
      <c r="W269" s="11"/>
      <c r="X269" s="11"/>
      <c r="Y269" s="4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40"/>
      <c r="CQ269" s="40"/>
      <c r="CR269" s="40"/>
      <c r="CS269" s="40"/>
      <c r="CT269" s="40"/>
      <c r="CU269" s="40"/>
      <c r="CV269" s="40"/>
      <c r="CW269" s="40"/>
      <c r="CX269" s="40"/>
      <c r="CY269" s="40"/>
      <c r="CZ269" s="40"/>
      <c r="DA269" s="11"/>
      <c r="DB269" s="11"/>
      <c r="DC269" s="11"/>
      <c r="DD269" s="11"/>
      <c r="DE269" s="11"/>
      <c r="DF269" s="11"/>
      <c r="DG269" s="11"/>
    </row>
    <row r="270" ht="15.75" customHeight="1">
      <c r="A270" s="41"/>
      <c r="B270" s="11"/>
      <c r="C270" s="11"/>
      <c r="D270" s="11"/>
      <c r="E270" s="11"/>
      <c r="F270" s="11"/>
      <c r="G270" s="11"/>
      <c r="H270" s="11"/>
      <c r="I270" s="41"/>
      <c r="J270" s="11"/>
      <c r="K270" s="11"/>
      <c r="L270" s="11"/>
      <c r="M270" s="11"/>
      <c r="N270" s="11"/>
      <c r="O270" s="11"/>
      <c r="P270" s="11"/>
      <c r="Q270" s="41"/>
      <c r="R270" s="11"/>
      <c r="S270" s="11"/>
      <c r="T270" s="11"/>
      <c r="U270" s="11"/>
      <c r="V270" s="11"/>
      <c r="W270" s="11"/>
      <c r="X270" s="11"/>
      <c r="Y270" s="4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40"/>
      <c r="CQ270" s="40"/>
      <c r="CR270" s="40"/>
      <c r="CS270" s="40"/>
      <c r="CT270" s="40"/>
      <c r="CU270" s="40"/>
      <c r="CV270" s="40"/>
      <c r="CW270" s="40"/>
      <c r="CX270" s="40"/>
      <c r="CY270" s="40"/>
      <c r="CZ270" s="40"/>
      <c r="DA270" s="11"/>
      <c r="DB270" s="11"/>
      <c r="DC270" s="11"/>
      <c r="DD270" s="11"/>
      <c r="DE270" s="11"/>
      <c r="DF270" s="11"/>
      <c r="DG270" s="11"/>
    </row>
    <row r="271" ht="15.75" customHeight="1">
      <c r="A271" s="41"/>
      <c r="B271" s="11"/>
      <c r="C271" s="11"/>
      <c r="D271" s="11"/>
      <c r="E271" s="11"/>
      <c r="F271" s="11"/>
      <c r="G271" s="11"/>
      <c r="H271" s="11"/>
      <c r="I271" s="41"/>
      <c r="J271" s="11"/>
      <c r="K271" s="11"/>
      <c r="L271" s="11"/>
      <c r="M271" s="11"/>
      <c r="N271" s="11"/>
      <c r="O271" s="11"/>
      <c r="P271" s="11"/>
      <c r="Q271" s="41"/>
      <c r="R271" s="11"/>
      <c r="S271" s="11"/>
      <c r="T271" s="11"/>
      <c r="U271" s="11"/>
      <c r="V271" s="11"/>
      <c r="W271" s="11"/>
      <c r="X271" s="11"/>
      <c r="Y271" s="4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40"/>
      <c r="CQ271" s="40"/>
      <c r="CR271" s="40"/>
      <c r="CS271" s="40"/>
      <c r="CT271" s="40"/>
      <c r="CU271" s="40"/>
      <c r="CV271" s="40"/>
      <c r="CW271" s="40"/>
      <c r="CX271" s="40"/>
      <c r="CY271" s="40"/>
      <c r="CZ271" s="40"/>
      <c r="DA271" s="11"/>
      <c r="DB271" s="11"/>
      <c r="DC271" s="11"/>
      <c r="DD271" s="11"/>
      <c r="DE271" s="11"/>
      <c r="DF271" s="11"/>
      <c r="DG271" s="11"/>
    </row>
    <row r="272" ht="15.75" customHeight="1">
      <c r="A272" s="41"/>
      <c r="B272" s="11"/>
      <c r="C272" s="11"/>
      <c r="D272" s="11"/>
      <c r="E272" s="11"/>
      <c r="F272" s="11"/>
      <c r="G272" s="11"/>
      <c r="H272" s="11"/>
      <c r="I272" s="41"/>
      <c r="J272" s="11"/>
      <c r="K272" s="11"/>
      <c r="L272" s="11"/>
      <c r="M272" s="11"/>
      <c r="N272" s="11"/>
      <c r="O272" s="11"/>
      <c r="P272" s="11"/>
      <c r="Q272" s="41"/>
      <c r="R272" s="11"/>
      <c r="S272" s="11"/>
      <c r="T272" s="11"/>
      <c r="U272" s="11"/>
      <c r="V272" s="11"/>
      <c r="W272" s="11"/>
      <c r="X272" s="11"/>
      <c r="Y272" s="4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40"/>
      <c r="CQ272" s="40"/>
      <c r="CR272" s="40"/>
      <c r="CS272" s="40"/>
      <c r="CT272" s="40"/>
      <c r="CU272" s="40"/>
      <c r="CV272" s="40"/>
      <c r="CW272" s="40"/>
      <c r="CX272" s="40"/>
      <c r="CY272" s="40"/>
      <c r="CZ272" s="40"/>
      <c r="DA272" s="11"/>
      <c r="DB272" s="11"/>
      <c r="DC272" s="11"/>
      <c r="DD272" s="11"/>
      <c r="DE272" s="11"/>
      <c r="DF272" s="11"/>
      <c r="DG272" s="11"/>
    </row>
    <row r="273" ht="15.75" customHeight="1">
      <c r="A273" s="41"/>
      <c r="B273" s="11"/>
      <c r="C273" s="11"/>
      <c r="D273" s="11"/>
      <c r="E273" s="11"/>
      <c r="F273" s="11"/>
      <c r="G273" s="11"/>
      <c r="H273" s="11"/>
      <c r="I273" s="41"/>
      <c r="J273" s="11"/>
      <c r="K273" s="11"/>
      <c r="L273" s="11"/>
      <c r="M273" s="11"/>
      <c r="N273" s="11"/>
      <c r="O273" s="11"/>
      <c r="P273" s="11"/>
      <c r="Q273" s="41"/>
      <c r="R273" s="11"/>
      <c r="S273" s="11"/>
      <c r="T273" s="11"/>
      <c r="U273" s="11"/>
      <c r="V273" s="11"/>
      <c r="W273" s="11"/>
      <c r="X273" s="11"/>
      <c r="Y273" s="4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40"/>
      <c r="CQ273" s="40"/>
      <c r="CR273" s="40"/>
      <c r="CS273" s="40"/>
      <c r="CT273" s="40"/>
      <c r="CU273" s="40"/>
      <c r="CV273" s="40"/>
      <c r="CW273" s="40"/>
      <c r="CX273" s="40"/>
      <c r="CY273" s="40"/>
      <c r="CZ273" s="40"/>
      <c r="DA273" s="11"/>
      <c r="DB273" s="11"/>
      <c r="DC273" s="11"/>
      <c r="DD273" s="11"/>
      <c r="DE273" s="11"/>
      <c r="DF273" s="11"/>
      <c r="DG273" s="11"/>
    </row>
    <row r="274" ht="15.75" customHeight="1">
      <c r="A274" s="41"/>
      <c r="B274" s="11"/>
      <c r="C274" s="11"/>
      <c r="D274" s="11"/>
      <c r="E274" s="11"/>
      <c r="F274" s="11"/>
      <c r="G274" s="11"/>
      <c r="H274" s="11"/>
      <c r="I274" s="41"/>
      <c r="J274" s="11"/>
      <c r="K274" s="11"/>
      <c r="L274" s="11"/>
      <c r="M274" s="11"/>
      <c r="N274" s="11"/>
      <c r="O274" s="11"/>
      <c r="P274" s="11"/>
      <c r="Q274" s="41"/>
      <c r="R274" s="11"/>
      <c r="S274" s="11"/>
      <c r="T274" s="11"/>
      <c r="U274" s="11"/>
      <c r="V274" s="11"/>
      <c r="W274" s="11"/>
      <c r="X274" s="11"/>
      <c r="Y274" s="4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40"/>
      <c r="CQ274" s="40"/>
      <c r="CR274" s="40"/>
      <c r="CS274" s="40"/>
      <c r="CT274" s="40"/>
      <c r="CU274" s="40"/>
      <c r="CV274" s="40"/>
      <c r="CW274" s="40"/>
      <c r="CX274" s="40"/>
      <c r="CY274" s="40"/>
      <c r="CZ274" s="40"/>
      <c r="DA274" s="11"/>
      <c r="DB274" s="11"/>
      <c r="DC274" s="11"/>
      <c r="DD274" s="11"/>
      <c r="DE274" s="11"/>
      <c r="DF274" s="11"/>
      <c r="DG274" s="11"/>
    </row>
    <row r="275" ht="15.75" customHeight="1">
      <c r="A275" s="41"/>
      <c r="B275" s="11"/>
      <c r="C275" s="11"/>
      <c r="D275" s="11"/>
      <c r="E275" s="11"/>
      <c r="F275" s="11"/>
      <c r="G275" s="11"/>
      <c r="H275" s="11"/>
      <c r="I275" s="41"/>
      <c r="J275" s="11"/>
      <c r="K275" s="11"/>
      <c r="L275" s="11"/>
      <c r="M275" s="11"/>
      <c r="N275" s="11"/>
      <c r="O275" s="11"/>
      <c r="P275" s="11"/>
      <c r="Q275" s="41"/>
      <c r="R275" s="11"/>
      <c r="S275" s="11"/>
      <c r="T275" s="11"/>
      <c r="U275" s="11"/>
      <c r="V275" s="11"/>
      <c r="W275" s="11"/>
      <c r="X275" s="11"/>
      <c r="Y275" s="4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40"/>
      <c r="CQ275" s="40"/>
      <c r="CR275" s="40"/>
      <c r="CS275" s="40"/>
      <c r="CT275" s="40"/>
      <c r="CU275" s="40"/>
      <c r="CV275" s="40"/>
      <c r="CW275" s="40"/>
      <c r="CX275" s="40"/>
      <c r="CY275" s="40"/>
      <c r="CZ275" s="40"/>
      <c r="DA275" s="11"/>
      <c r="DB275" s="11"/>
      <c r="DC275" s="11"/>
      <c r="DD275" s="11"/>
      <c r="DE275" s="11"/>
      <c r="DF275" s="11"/>
      <c r="DG275" s="11"/>
    </row>
    <row r="276" ht="15.75" customHeight="1">
      <c r="A276" s="41"/>
      <c r="B276" s="11"/>
      <c r="C276" s="11"/>
      <c r="D276" s="11"/>
      <c r="E276" s="11"/>
      <c r="F276" s="11"/>
      <c r="G276" s="11"/>
      <c r="H276" s="11"/>
      <c r="I276" s="41"/>
      <c r="J276" s="11"/>
      <c r="K276" s="11"/>
      <c r="L276" s="11"/>
      <c r="M276" s="11"/>
      <c r="N276" s="11"/>
      <c r="O276" s="11"/>
      <c r="P276" s="11"/>
      <c r="Q276" s="41"/>
      <c r="R276" s="11"/>
      <c r="S276" s="11"/>
      <c r="T276" s="11"/>
      <c r="U276" s="11"/>
      <c r="V276" s="11"/>
      <c r="W276" s="11"/>
      <c r="X276" s="11"/>
      <c r="Y276" s="4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40"/>
      <c r="CQ276" s="40"/>
      <c r="CR276" s="40"/>
      <c r="CS276" s="40"/>
      <c r="CT276" s="40"/>
      <c r="CU276" s="40"/>
      <c r="CV276" s="40"/>
      <c r="CW276" s="40"/>
      <c r="CX276" s="40"/>
      <c r="CY276" s="40"/>
      <c r="CZ276" s="40"/>
      <c r="DA276" s="11"/>
      <c r="DB276" s="11"/>
      <c r="DC276" s="11"/>
      <c r="DD276" s="11"/>
      <c r="DE276" s="11"/>
      <c r="DF276" s="11"/>
      <c r="DG276" s="11"/>
    </row>
    <row r="277" ht="15.75" customHeight="1">
      <c r="A277" s="41"/>
      <c r="B277" s="11"/>
      <c r="C277" s="11"/>
      <c r="D277" s="11"/>
      <c r="E277" s="11"/>
      <c r="F277" s="11"/>
      <c r="G277" s="11"/>
      <c r="H277" s="11"/>
      <c r="I277" s="41"/>
      <c r="J277" s="11"/>
      <c r="K277" s="11"/>
      <c r="L277" s="11"/>
      <c r="M277" s="11"/>
      <c r="N277" s="11"/>
      <c r="O277" s="11"/>
      <c r="P277" s="11"/>
      <c r="Q277" s="41"/>
      <c r="R277" s="11"/>
      <c r="S277" s="11"/>
      <c r="T277" s="11"/>
      <c r="U277" s="11"/>
      <c r="V277" s="11"/>
      <c r="W277" s="11"/>
      <c r="X277" s="11"/>
      <c r="Y277" s="4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40"/>
      <c r="CQ277" s="40"/>
      <c r="CR277" s="40"/>
      <c r="CS277" s="40"/>
      <c r="CT277" s="40"/>
      <c r="CU277" s="40"/>
      <c r="CV277" s="40"/>
      <c r="CW277" s="40"/>
      <c r="CX277" s="40"/>
      <c r="CY277" s="40"/>
      <c r="CZ277" s="40"/>
      <c r="DA277" s="11"/>
      <c r="DB277" s="11"/>
      <c r="DC277" s="11"/>
      <c r="DD277" s="11"/>
      <c r="DE277" s="11"/>
      <c r="DF277" s="11"/>
      <c r="DG277" s="11"/>
    </row>
    <row r="278" ht="15.75" customHeight="1">
      <c r="A278" s="41"/>
      <c r="B278" s="11"/>
      <c r="C278" s="11"/>
      <c r="D278" s="11"/>
      <c r="E278" s="11"/>
      <c r="F278" s="11"/>
      <c r="G278" s="11"/>
      <c r="H278" s="11"/>
      <c r="I278" s="41"/>
      <c r="J278" s="11"/>
      <c r="K278" s="11"/>
      <c r="L278" s="11"/>
      <c r="M278" s="11"/>
      <c r="N278" s="11"/>
      <c r="O278" s="11"/>
      <c r="P278" s="11"/>
      <c r="Q278" s="41"/>
      <c r="R278" s="11"/>
      <c r="S278" s="11"/>
      <c r="T278" s="11"/>
      <c r="U278" s="11"/>
      <c r="V278" s="11"/>
      <c r="W278" s="11"/>
      <c r="X278" s="11"/>
      <c r="Y278" s="4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40"/>
      <c r="CQ278" s="40"/>
      <c r="CR278" s="40"/>
      <c r="CS278" s="40"/>
      <c r="CT278" s="40"/>
      <c r="CU278" s="40"/>
      <c r="CV278" s="40"/>
      <c r="CW278" s="40"/>
      <c r="CX278" s="40"/>
      <c r="CY278" s="40"/>
      <c r="CZ278" s="40"/>
      <c r="DA278" s="11"/>
      <c r="DB278" s="11"/>
      <c r="DC278" s="11"/>
      <c r="DD278" s="11"/>
      <c r="DE278" s="11"/>
      <c r="DF278" s="11"/>
      <c r="DG278" s="11"/>
    </row>
    <row r="279" ht="15.75" customHeight="1">
      <c r="A279" s="41"/>
      <c r="B279" s="11"/>
      <c r="C279" s="11"/>
      <c r="D279" s="11"/>
      <c r="E279" s="11"/>
      <c r="F279" s="11"/>
      <c r="G279" s="11"/>
      <c r="H279" s="11"/>
      <c r="I279" s="41"/>
      <c r="J279" s="11"/>
      <c r="K279" s="11"/>
      <c r="L279" s="11"/>
      <c r="M279" s="11"/>
      <c r="N279" s="11"/>
      <c r="O279" s="11"/>
      <c r="P279" s="11"/>
      <c r="Q279" s="41"/>
      <c r="R279" s="11"/>
      <c r="S279" s="11"/>
      <c r="T279" s="11"/>
      <c r="U279" s="11"/>
      <c r="V279" s="11"/>
      <c r="W279" s="11"/>
      <c r="X279" s="11"/>
      <c r="Y279" s="4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40"/>
      <c r="CQ279" s="40"/>
      <c r="CR279" s="40"/>
      <c r="CS279" s="40"/>
      <c r="CT279" s="40"/>
      <c r="CU279" s="40"/>
      <c r="CV279" s="40"/>
      <c r="CW279" s="40"/>
      <c r="CX279" s="40"/>
      <c r="CY279" s="40"/>
      <c r="CZ279" s="40"/>
      <c r="DA279" s="11"/>
      <c r="DB279" s="11"/>
      <c r="DC279" s="11"/>
      <c r="DD279" s="11"/>
      <c r="DE279" s="11"/>
      <c r="DF279" s="11"/>
      <c r="DG279" s="11"/>
    </row>
    <row r="280" ht="15.75" customHeight="1">
      <c r="A280" s="41"/>
      <c r="B280" s="11"/>
      <c r="C280" s="11"/>
      <c r="D280" s="11"/>
      <c r="E280" s="11"/>
      <c r="F280" s="11"/>
      <c r="G280" s="11"/>
      <c r="H280" s="11"/>
      <c r="I280" s="41"/>
      <c r="J280" s="11"/>
      <c r="K280" s="11"/>
      <c r="L280" s="11"/>
      <c r="M280" s="11"/>
      <c r="N280" s="11"/>
      <c r="O280" s="11"/>
      <c r="P280" s="11"/>
      <c r="Q280" s="41"/>
      <c r="R280" s="11"/>
      <c r="S280" s="11"/>
      <c r="T280" s="11"/>
      <c r="U280" s="11"/>
      <c r="V280" s="11"/>
      <c r="W280" s="11"/>
      <c r="X280" s="11"/>
      <c r="Y280" s="4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40"/>
      <c r="CQ280" s="40"/>
      <c r="CR280" s="40"/>
      <c r="CS280" s="40"/>
      <c r="CT280" s="40"/>
      <c r="CU280" s="40"/>
      <c r="CV280" s="40"/>
      <c r="CW280" s="40"/>
      <c r="CX280" s="40"/>
      <c r="CY280" s="40"/>
      <c r="CZ280" s="40"/>
      <c r="DA280" s="11"/>
      <c r="DB280" s="11"/>
      <c r="DC280" s="11"/>
      <c r="DD280" s="11"/>
      <c r="DE280" s="11"/>
      <c r="DF280" s="11"/>
      <c r="DG280" s="11"/>
    </row>
    <row r="281" ht="15.75" customHeight="1">
      <c r="A281" s="41"/>
      <c r="B281" s="11"/>
      <c r="C281" s="11"/>
      <c r="D281" s="11"/>
      <c r="E281" s="11"/>
      <c r="F281" s="11"/>
      <c r="G281" s="11"/>
      <c r="H281" s="11"/>
      <c r="I281" s="41"/>
      <c r="J281" s="11"/>
      <c r="K281" s="11"/>
      <c r="L281" s="11"/>
      <c r="M281" s="11"/>
      <c r="N281" s="11"/>
      <c r="O281" s="11"/>
      <c r="P281" s="11"/>
      <c r="Q281" s="41"/>
      <c r="R281" s="11"/>
      <c r="S281" s="11"/>
      <c r="T281" s="11"/>
      <c r="U281" s="11"/>
      <c r="V281" s="11"/>
      <c r="W281" s="11"/>
      <c r="X281" s="11"/>
      <c r="Y281" s="4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40"/>
      <c r="CQ281" s="40"/>
      <c r="CR281" s="40"/>
      <c r="CS281" s="40"/>
      <c r="CT281" s="40"/>
      <c r="CU281" s="40"/>
      <c r="CV281" s="40"/>
      <c r="CW281" s="40"/>
      <c r="CX281" s="40"/>
      <c r="CY281" s="40"/>
      <c r="CZ281" s="40"/>
      <c r="DA281" s="11"/>
      <c r="DB281" s="11"/>
      <c r="DC281" s="11"/>
      <c r="DD281" s="11"/>
      <c r="DE281" s="11"/>
      <c r="DF281" s="11"/>
      <c r="DG281" s="11"/>
    </row>
    <row r="282" ht="15.75" customHeight="1">
      <c r="A282" s="41"/>
      <c r="B282" s="11"/>
      <c r="C282" s="11"/>
      <c r="D282" s="11"/>
      <c r="E282" s="11"/>
      <c r="F282" s="11"/>
      <c r="G282" s="11"/>
      <c r="H282" s="11"/>
      <c r="I282" s="41"/>
      <c r="J282" s="11"/>
      <c r="K282" s="11"/>
      <c r="L282" s="11"/>
      <c r="M282" s="11"/>
      <c r="N282" s="11"/>
      <c r="O282" s="11"/>
      <c r="P282" s="11"/>
      <c r="Q282" s="41"/>
      <c r="R282" s="11"/>
      <c r="S282" s="11"/>
      <c r="T282" s="11"/>
      <c r="U282" s="11"/>
      <c r="V282" s="11"/>
      <c r="W282" s="11"/>
      <c r="X282" s="11"/>
      <c r="Y282" s="4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40"/>
      <c r="CQ282" s="40"/>
      <c r="CR282" s="40"/>
      <c r="CS282" s="40"/>
      <c r="CT282" s="40"/>
      <c r="CU282" s="40"/>
      <c r="CV282" s="40"/>
      <c r="CW282" s="40"/>
      <c r="CX282" s="40"/>
      <c r="CY282" s="40"/>
      <c r="CZ282" s="40"/>
      <c r="DA282" s="11"/>
      <c r="DB282" s="11"/>
      <c r="DC282" s="11"/>
      <c r="DD282" s="11"/>
      <c r="DE282" s="11"/>
      <c r="DF282" s="11"/>
      <c r="DG282" s="11"/>
    </row>
    <row r="283" ht="15.75" customHeight="1">
      <c r="A283" s="41"/>
      <c r="B283" s="11"/>
      <c r="C283" s="11"/>
      <c r="D283" s="11"/>
      <c r="E283" s="11"/>
      <c r="F283" s="11"/>
      <c r="G283" s="11"/>
      <c r="H283" s="11"/>
      <c r="I283" s="41"/>
      <c r="J283" s="11"/>
      <c r="K283" s="11"/>
      <c r="L283" s="11"/>
      <c r="M283" s="11"/>
      <c r="N283" s="11"/>
      <c r="O283" s="11"/>
      <c r="P283" s="11"/>
      <c r="Q283" s="41"/>
      <c r="R283" s="11"/>
      <c r="S283" s="11"/>
      <c r="T283" s="11"/>
      <c r="U283" s="11"/>
      <c r="V283" s="11"/>
      <c r="W283" s="11"/>
      <c r="X283" s="11"/>
      <c r="Y283" s="4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40"/>
      <c r="CQ283" s="40"/>
      <c r="CR283" s="40"/>
      <c r="CS283" s="40"/>
      <c r="CT283" s="40"/>
      <c r="CU283" s="40"/>
      <c r="CV283" s="40"/>
      <c r="CW283" s="40"/>
      <c r="CX283" s="40"/>
      <c r="CY283" s="40"/>
      <c r="CZ283" s="40"/>
      <c r="DA283" s="11"/>
      <c r="DB283" s="11"/>
      <c r="DC283" s="11"/>
      <c r="DD283" s="11"/>
      <c r="DE283" s="11"/>
      <c r="DF283" s="11"/>
      <c r="DG283" s="11"/>
    </row>
    <row r="284" ht="15.75" customHeight="1">
      <c r="A284" s="41"/>
      <c r="B284" s="11"/>
      <c r="C284" s="11"/>
      <c r="D284" s="11"/>
      <c r="E284" s="11"/>
      <c r="F284" s="11"/>
      <c r="G284" s="11"/>
      <c r="H284" s="11"/>
      <c r="I284" s="41"/>
      <c r="J284" s="11"/>
      <c r="K284" s="11"/>
      <c r="L284" s="11"/>
      <c r="M284" s="11"/>
      <c r="N284" s="11"/>
      <c r="O284" s="11"/>
      <c r="P284" s="11"/>
      <c r="Q284" s="41"/>
      <c r="R284" s="11"/>
      <c r="S284" s="11"/>
      <c r="T284" s="11"/>
      <c r="U284" s="11"/>
      <c r="V284" s="11"/>
      <c r="W284" s="11"/>
      <c r="X284" s="11"/>
      <c r="Y284" s="4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40"/>
      <c r="CQ284" s="40"/>
      <c r="CR284" s="40"/>
      <c r="CS284" s="40"/>
      <c r="CT284" s="40"/>
      <c r="CU284" s="40"/>
      <c r="CV284" s="40"/>
      <c r="CW284" s="40"/>
      <c r="CX284" s="40"/>
      <c r="CY284" s="40"/>
      <c r="CZ284" s="40"/>
      <c r="DA284" s="11"/>
      <c r="DB284" s="11"/>
      <c r="DC284" s="11"/>
      <c r="DD284" s="11"/>
      <c r="DE284" s="11"/>
      <c r="DF284" s="11"/>
      <c r="DG284" s="11"/>
    </row>
    <row r="285" ht="15.75" customHeight="1">
      <c r="A285" s="41"/>
      <c r="B285" s="11"/>
      <c r="C285" s="11"/>
      <c r="D285" s="11"/>
      <c r="E285" s="11"/>
      <c r="F285" s="11"/>
      <c r="G285" s="11"/>
      <c r="H285" s="11"/>
      <c r="I285" s="41"/>
      <c r="J285" s="11"/>
      <c r="K285" s="11"/>
      <c r="L285" s="11"/>
      <c r="M285" s="11"/>
      <c r="N285" s="11"/>
      <c r="O285" s="11"/>
      <c r="P285" s="11"/>
      <c r="Q285" s="41"/>
      <c r="R285" s="11"/>
      <c r="S285" s="11"/>
      <c r="T285" s="11"/>
      <c r="U285" s="11"/>
      <c r="V285" s="11"/>
      <c r="W285" s="11"/>
      <c r="X285" s="11"/>
      <c r="Y285" s="4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40"/>
      <c r="CQ285" s="40"/>
      <c r="CR285" s="40"/>
      <c r="CS285" s="40"/>
      <c r="CT285" s="40"/>
      <c r="CU285" s="40"/>
      <c r="CV285" s="40"/>
      <c r="CW285" s="40"/>
      <c r="CX285" s="40"/>
      <c r="CY285" s="40"/>
      <c r="CZ285" s="40"/>
      <c r="DA285" s="11"/>
      <c r="DB285" s="11"/>
      <c r="DC285" s="11"/>
      <c r="DD285" s="11"/>
      <c r="DE285" s="11"/>
      <c r="DF285" s="11"/>
      <c r="DG285" s="11"/>
    </row>
    <row r="286" ht="15.75" customHeight="1">
      <c r="A286" s="41"/>
      <c r="B286" s="11"/>
      <c r="C286" s="11"/>
      <c r="D286" s="11"/>
      <c r="E286" s="11"/>
      <c r="F286" s="11"/>
      <c r="G286" s="11"/>
      <c r="H286" s="11"/>
      <c r="I286" s="41"/>
      <c r="J286" s="11"/>
      <c r="K286" s="11"/>
      <c r="L286" s="11"/>
      <c r="M286" s="11"/>
      <c r="N286" s="11"/>
      <c r="O286" s="11"/>
      <c r="P286" s="11"/>
      <c r="Q286" s="41"/>
      <c r="R286" s="11"/>
      <c r="S286" s="11"/>
      <c r="T286" s="11"/>
      <c r="U286" s="11"/>
      <c r="V286" s="11"/>
      <c r="W286" s="11"/>
      <c r="X286" s="11"/>
      <c r="Y286" s="4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40"/>
      <c r="CQ286" s="40"/>
      <c r="CR286" s="40"/>
      <c r="CS286" s="40"/>
      <c r="CT286" s="40"/>
      <c r="CU286" s="40"/>
      <c r="CV286" s="40"/>
      <c r="CW286" s="40"/>
      <c r="CX286" s="40"/>
      <c r="CY286" s="40"/>
      <c r="CZ286" s="40"/>
      <c r="DA286" s="11"/>
      <c r="DB286" s="11"/>
      <c r="DC286" s="11"/>
      <c r="DD286" s="11"/>
      <c r="DE286" s="11"/>
      <c r="DF286" s="11"/>
      <c r="DG286" s="11"/>
    </row>
    <row r="287" ht="15.75" customHeight="1">
      <c r="A287" s="41"/>
      <c r="B287" s="11"/>
      <c r="C287" s="11"/>
      <c r="D287" s="11"/>
      <c r="E287" s="11"/>
      <c r="F287" s="11"/>
      <c r="G287" s="11"/>
      <c r="H287" s="11"/>
      <c r="I287" s="41"/>
      <c r="J287" s="11"/>
      <c r="K287" s="11"/>
      <c r="L287" s="11"/>
      <c r="M287" s="11"/>
      <c r="N287" s="11"/>
      <c r="O287" s="11"/>
      <c r="P287" s="11"/>
      <c r="Q287" s="41"/>
      <c r="R287" s="11"/>
      <c r="S287" s="11"/>
      <c r="T287" s="11"/>
      <c r="U287" s="11"/>
      <c r="V287" s="11"/>
      <c r="W287" s="11"/>
      <c r="X287" s="11"/>
      <c r="Y287" s="4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40"/>
      <c r="CQ287" s="40"/>
      <c r="CR287" s="40"/>
      <c r="CS287" s="40"/>
      <c r="CT287" s="40"/>
      <c r="CU287" s="40"/>
      <c r="CV287" s="40"/>
      <c r="CW287" s="40"/>
      <c r="CX287" s="40"/>
      <c r="CY287" s="40"/>
      <c r="CZ287" s="40"/>
      <c r="DA287" s="11"/>
      <c r="DB287" s="11"/>
      <c r="DC287" s="11"/>
      <c r="DD287" s="11"/>
      <c r="DE287" s="11"/>
      <c r="DF287" s="11"/>
      <c r="DG287" s="11"/>
    </row>
    <row r="288" ht="15.75" customHeight="1">
      <c r="A288" s="41"/>
      <c r="B288" s="11"/>
      <c r="C288" s="11"/>
      <c r="D288" s="11"/>
      <c r="E288" s="11"/>
      <c r="F288" s="11"/>
      <c r="G288" s="11"/>
      <c r="H288" s="11"/>
      <c r="I288" s="41"/>
      <c r="J288" s="11"/>
      <c r="K288" s="11"/>
      <c r="L288" s="11"/>
      <c r="M288" s="11"/>
      <c r="N288" s="11"/>
      <c r="O288" s="11"/>
      <c r="P288" s="11"/>
      <c r="Q288" s="41"/>
      <c r="R288" s="11"/>
      <c r="S288" s="11"/>
      <c r="T288" s="11"/>
      <c r="U288" s="11"/>
      <c r="V288" s="11"/>
      <c r="W288" s="11"/>
      <c r="X288" s="11"/>
      <c r="Y288" s="4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40"/>
      <c r="CQ288" s="40"/>
      <c r="CR288" s="40"/>
      <c r="CS288" s="40"/>
      <c r="CT288" s="40"/>
      <c r="CU288" s="40"/>
      <c r="CV288" s="40"/>
      <c r="CW288" s="40"/>
      <c r="CX288" s="40"/>
      <c r="CY288" s="40"/>
      <c r="CZ288" s="40"/>
      <c r="DA288" s="11"/>
      <c r="DB288" s="11"/>
      <c r="DC288" s="11"/>
      <c r="DD288" s="11"/>
      <c r="DE288" s="11"/>
      <c r="DF288" s="11"/>
      <c r="DG288" s="11"/>
    </row>
    <row r="289" ht="15.75" customHeight="1">
      <c r="A289" s="41"/>
      <c r="B289" s="11"/>
      <c r="C289" s="11"/>
      <c r="D289" s="11"/>
      <c r="E289" s="11"/>
      <c r="F289" s="11"/>
      <c r="G289" s="11"/>
      <c r="H289" s="11"/>
      <c r="I289" s="41"/>
      <c r="J289" s="11"/>
      <c r="K289" s="11"/>
      <c r="L289" s="11"/>
      <c r="M289" s="11"/>
      <c r="N289" s="11"/>
      <c r="O289" s="11"/>
      <c r="P289" s="11"/>
      <c r="Q289" s="41"/>
      <c r="R289" s="11"/>
      <c r="S289" s="11"/>
      <c r="T289" s="11"/>
      <c r="U289" s="11"/>
      <c r="V289" s="11"/>
      <c r="W289" s="11"/>
      <c r="X289" s="11"/>
      <c r="Y289" s="4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40"/>
      <c r="CQ289" s="40"/>
      <c r="CR289" s="40"/>
      <c r="CS289" s="40"/>
      <c r="CT289" s="40"/>
      <c r="CU289" s="40"/>
      <c r="CV289" s="40"/>
      <c r="CW289" s="40"/>
      <c r="CX289" s="40"/>
      <c r="CY289" s="40"/>
      <c r="CZ289" s="40"/>
      <c r="DA289" s="11"/>
      <c r="DB289" s="11"/>
      <c r="DC289" s="11"/>
      <c r="DD289" s="11"/>
      <c r="DE289" s="11"/>
      <c r="DF289" s="11"/>
      <c r="DG289" s="11"/>
    </row>
    <row r="290" ht="15.75" customHeight="1">
      <c r="A290" s="41"/>
      <c r="B290" s="11"/>
      <c r="C290" s="11"/>
      <c r="D290" s="11"/>
      <c r="E290" s="11"/>
      <c r="F290" s="11"/>
      <c r="G290" s="11"/>
      <c r="H290" s="11"/>
      <c r="I290" s="41"/>
      <c r="J290" s="11"/>
      <c r="K290" s="11"/>
      <c r="L290" s="11"/>
      <c r="M290" s="11"/>
      <c r="N290" s="11"/>
      <c r="O290" s="11"/>
      <c r="P290" s="11"/>
      <c r="Q290" s="41"/>
      <c r="R290" s="11"/>
      <c r="S290" s="11"/>
      <c r="T290" s="11"/>
      <c r="U290" s="11"/>
      <c r="V290" s="11"/>
      <c r="W290" s="11"/>
      <c r="X290" s="11"/>
      <c r="Y290" s="4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40"/>
      <c r="CQ290" s="40"/>
      <c r="CR290" s="40"/>
      <c r="CS290" s="40"/>
      <c r="CT290" s="40"/>
      <c r="CU290" s="40"/>
      <c r="CV290" s="40"/>
      <c r="CW290" s="40"/>
      <c r="CX290" s="40"/>
      <c r="CY290" s="40"/>
      <c r="CZ290" s="40"/>
      <c r="DA290" s="11"/>
      <c r="DB290" s="11"/>
      <c r="DC290" s="11"/>
      <c r="DD290" s="11"/>
      <c r="DE290" s="11"/>
      <c r="DF290" s="11"/>
      <c r="DG290" s="11"/>
    </row>
    <row r="291" ht="15.75" customHeight="1">
      <c r="A291" s="41"/>
      <c r="B291" s="11"/>
      <c r="C291" s="11"/>
      <c r="D291" s="11"/>
      <c r="E291" s="11"/>
      <c r="F291" s="11"/>
      <c r="G291" s="11"/>
      <c r="H291" s="11"/>
      <c r="I291" s="41"/>
      <c r="J291" s="11"/>
      <c r="K291" s="11"/>
      <c r="L291" s="11"/>
      <c r="M291" s="11"/>
      <c r="N291" s="11"/>
      <c r="O291" s="11"/>
      <c r="P291" s="11"/>
      <c r="Q291" s="41"/>
      <c r="R291" s="11"/>
      <c r="S291" s="11"/>
      <c r="T291" s="11"/>
      <c r="U291" s="11"/>
      <c r="V291" s="11"/>
      <c r="W291" s="11"/>
      <c r="X291" s="11"/>
      <c r="Y291" s="4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40"/>
      <c r="CQ291" s="40"/>
      <c r="CR291" s="40"/>
      <c r="CS291" s="40"/>
      <c r="CT291" s="40"/>
      <c r="CU291" s="40"/>
      <c r="CV291" s="40"/>
      <c r="CW291" s="40"/>
      <c r="CX291" s="40"/>
      <c r="CY291" s="40"/>
      <c r="CZ291" s="40"/>
      <c r="DA291" s="11"/>
      <c r="DB291" s="11"/>
      <c r="DC291" s="11"/>
      <c r="DD291" s="11"/>
      <c r="DE291" s="11"/>
      <c r="DF291" s="11"/>
      <c r="DG291" s="11"/>
    </row>
    <row r="292" ht="15.75" customHeight="1">
      <c r="A292" s="41"/>
      <c r="B292" s="11"/>
      <c r="C292" s="11"/>
      <c r="D292" s="11"/>
      <c r="E292" s="11"/>
      <c r="F292" s="11"/>
      <c r="G292" s="11"/>
      <c r="H292" s="11"/>
      <c r="I292" s="41"/>
      <c r="J292" s="11"/>
      <c r="K292" s="11"/>
      <c r="L292" s="11"/>
      <c r="M292" s="11"/>
      <c r="N292" s="11"/>
      <c r="O292" s="11"/>
      <c r="P292" s="11"/>
      <c r="Q292" s="41"/>
      <c r="R292" s="11"/>
      <c r="S292" s="11"/>
      <c r="T292" s="11"/>
      <c r="U292" s="11"/>
      <c r="V292" s="11"/>
      <c r="W292" s="11"/>
      <c r="X292" s="11"/>
      <c r="Y292" s="4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40"/>
      <c r="CQ292" s="40"/>
      <c r="CR292" s="40"/>
      <c r="CS292" s="40"/>
      <c r="CT292" s="40"/>
      <c r="CU292" s="40"/>
      <c r="CV292" s="40"/>
      <c r="CW292" s="40"/>
      <c r="CX292" s="40"/>
      <c r="CY292" s="40"/>
      <c r="CZ292" s="40"/>
      <c r="DA292" s="11"/>
      <c r="DB292" s="11"/>
      <c r="DC292" s="11"/>
      <c r="DD292" s="11"/>
      <c r="DE292" s="11"/>
      <c r="DF292" s="11"/>
      <c r="DG292" s="11"/>
    </row>
    <row r="293" ht="15.75" customHeight="1">
      <c r="A293" s="41"/>
      <c r="B293" s="11"/>
      <c r="C293" s="11"/>
      <c r="D293" s="11"/>
      <c r="E293" s="11"/>
      <c r="F293" s="11"/>
      <c r="G293" s="11"/>
      <c r="H293" s="11"/>
      <c r="I293" s="41"/>
      <c r="J293" s="11"/>
      <c r="K293" s="11"/>
      <c r="L293" s="11"/>
      <c r="M293" s="11"/>
      <c r="N293" s="11"/>
      <c r="O293" s="11"/>
      <c r="P293" s="11"/>
      <c r="Q293" s="41"/>
      <c r="R293" s="11"/>
      <c r="S293" s="11"/>
      <c r="T293" s="11"/>
      <c r="U293" s="11"/>
      <c r="V293" s="11"/>
      <c r="W293" s="11"/>
      <c r="X293" s="11"/>
      <c r="Y293" s="4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40"/>
      <c r="CQ293" s="40"/>
      <c r="CR293" s="40"/>
      <c r="CS293" s="40"/>
      <c r="CT293" s="40"/>
      <c r="CU293" s="40"/>
      <c r="CV293" s="40"/>
      <c r="CW293" s="40"/>
      <c r="CX293" s="40"/>
      <c r="CY293" s="40"/>
      <c r="CZ293" s="40"/>
      <c r="DA293" s="11"/>
      <c r="DB293" s="11"/>
      <c r="DC293" s="11"/>
      <c r="DD293" s="11"/>
      <c r="DE293" s="11"/>
      <c r="DF293" s="11"/>
      <c r="DG293" s="11"/>
    </row>
    <row r="294" ht="15.75" customHeight="1">
      <c r="A294" s="41"/>
      <c r="B294" s="11"/>
      <c r="C294" s="11"/>
      <c r="D294" s="11"/>
      <c r="E294" s="11"/>
      <c r="F294" s="11"/>
      <c r="G294" s="11"/>
      <c r="H294" s="11"/>
      <c r="I294" s="41"/>
      <c r="J294" s="11"/>
      <c r="K294" s="11"/>
      <c r="L294" s="11"/>
      <c r="M294" s="11"/>
      <c r="N294" s="11"/>
      <c r="O294" s="11"/>
      <c r="P294" s="11"/>
      <c r="Q294" s="41"/>
      <c r="R294" s="11"/>
      <c r="S294" s="11"/>
      <c r="T294" s="11"/>
      <c r="U294" s="11"/>
      <c r="V294" s="11"/>
      <c r="W294" s="11"/>
      <c r="X294" s="11"/>
      <c r="Y294" s="4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40"/>
      <c r="CQ294" s="40"/>
      <c r="CR294" s="40"/>
      <c r="CS294" s="40"/>
      <c r="CT294" s="40"/>
      <c r="CU294" s="40"/>
      <c r="CV294" s="40"/>
      <c r="CW294" s="40"/>
      <c r="CX294" s="40"/>
      <c r="CY294" s="40"/>
      <c r="CZ294" s="40"/>
      <c r="DA294" s="11"/>
      <c r="DB294" s="11"/>
      <c r="DC294" s="11"/>
      <c r="DD294" s="11"/>
      <c r="DE294" s="11"/>
      <c r="DF294" s="11"/>
      <c r="DG294" s="11"/>
    </row>
    <row r="295" ht="15.75" customHeight="1">
      <c r="A295" s="41"/>
      <c r="B295" s="11"/>
      <c r="C295" s="11"/>
      <c r="D295" s="11"/>
      <c r="E295" s="11"/>
      <c r="F295" s="11"/>
      <c r="G295" s="11"/>
      <c r="H295" s="11"/>
      <c r="I295" s="41"/>
      <c r="J295" s="11"/>
      <c r="K295" s="11"/>
      <c r="L295" s="11"/>
      <c r="M295" s="11"/>
      <c r="N295" s="11"/>
      <c r="O295" s="11"/>
      <c r="P295" s="11"/>
      <c r="Q295" s="41"/>
      <c r="R295" s="11"/>
      <c r="S295" s="11"/>
      <c r="T295" s="11"/>
      <c r="U295" s="11"/>
      <c r="V295" s="11"/>
      <c r="W295" s="11"/>
      <c r="X295" s="11"/>
      <c r="Y295" s="4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40"/>
      <c r="CQ295" s="40"/>
      <c r="CR295" s="40"/>
      <c r="CS295" s="40"/>
      <c r="CT295" s="40"/>
      <c r="CU295" s="40"/>
      <c r="CV295" s="40"/>
      <c r="CW295" s="40"/>
      <c r="CX295" s="40"/>
      <c r="CY295" s="40"/>
      <c r="CZ295" s="40"/>
      <c r="DA295" s="11"/>
      <c r="DB295" s="11"/>
      <c r="DC295" s="11"/>
      <c r="DD295" s="11"/>
      <c r="DE295" s="11"/>
      <c r="DF295" s="11"/>
      <c r="DG295" s="11"/>
    </row>
    <row r="296" ht="15.75" customHeight="1">
      <c r="A296" s="41"/>
      <c r="B296" s="11"/>
      <c r="C296" s="11"/>
      <c r="D296" s="11"/>
      <c r="E296" s="11"/>
      <c r="F296" s="11"/>
      <c r="G296" s="11"/>
      <c r="H296" s="11"/>
      <c r="I296" s="41"/>
      <c r="J296" s="11"/>
      <c r="K296" s="11"/>
      <c r="L296" s="11"/>
      <c r="M296" s="11"/>
      <c r="N296" s="11"/>
      <c r="O296" s="11"/>
      <c r="P296" s="11"/>
      <c r="Q296" s="41"/>
      <c r="R296" s="11"/>
      <c r="S296" s="11"/>
      <c r="T296" s="11"/>
      <c r="U296" s="11"/>
      <c r="V296" s="11"/>
      <c r="W296" s="11"/>
      <c r="X296" s="11"/>
      <c r="Y296" s="4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40"/>
      <c r="CQ296" s="40"/>
      <c r="CR296" s="40"/>
      <c r="CS296" s="40"/>
      <c r="CT296" s="40"/>
      <c r="CU296" s="40"/>
      <c r="CV296" s="40"/>
      <c r="CW296" s="40"/>
      <c r="CX296" s="40"/>
      <c r="CY296" s="40"/>
      <c r="CZ296" s="40"/>
      <c r="DA296" s="11"/>
      <c r="DB296" s="11"/>
      <c r="DC296" s="11"/>
      <c r="DD296" s="11"/>
      <c r="DE296" s="11"/>
      <c r="DF296" s="11"/>
      <c r="DG296" s="11"/>
    </row>
    <row r="297" ht="15.75" customHeight="1">
      <c r="A297" s="41"/>
      <c r="B297" s="11"/>
      <c r="C297" s="11"/>
      <c r="D297" s="11"/>
      <c r="E297" s="11"/>
      <c r="F297" s="11"/>
      <c r="G297" s="11"/>
      <c r="H297" s="11"/>
      <c r="I297" s="41"/>
      <c r="J297" s="11"/>
      <c r="K297" s="11"/>
      <c r="L297" s="11"/>
      <c r="M297" s="11"/>
      <c r="N297" s="11"/>
      <c r="O297" s="11"/>
      <c r="P297" s="11"/>
      <c r="Q297" s="41"/>
      <c r="R297" s="11"/>
      <c r="S297" s="11"/>
      <c r="T297" s="11"/>
      <c r="U297" s="11"/>
      <c r="V297" s="11"/>
      <c r="W297" s="11"/>
      <c r="X297" s="11"/>
      <c r="Y297" s="4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40"/>
      <c r="CQ297" s="40"/>
      <c r="CR297" s="40"/>
      <c r="CS297" s="40"/>
      <c r="CT297" s="40"/>
      <c r="CU297" s="40"/>
      <c r="CV297" s="40"/>
      <c r="CW297" s="40"/>
      <c r="CX297" s="40"/>
      <c r="CY297" s="40"/>
      <c r="CZ297" s="40"/>
      <c r="DA297" s="11"/>
      <c r="DB297" s="11"/>
      <c r="DC297" s="11"/>
      <c r="DD297" s="11"/>
      <c r="DE297" s="11"/>
      <c r="DF297" s="11"/>
      <c r="DG297" s="11"/>
    </row>
    <row r="298" ht="15.75" customHeight="1">
      <c r="A298" s="41"/>
      <c r="B298" s="11"/>
      <c r="C298" s="11"/>
      <c r="D298" s="11"/>
      <c r="E298" s="11"/>
      <c r="F298" s="11"/>
      <c r="G298" s="11"/>
      <c r="H298" s="11"/>
      <c r="I298" s="41"/>
      <c r="J298" s="11"/>
      <c r="K298" s="11"/>
      <c r="L298" s="11"/>
      <c r="M298" s="11"/>
      <c r="N298" s="11"/>
      <c r="O298" s="11"/>
      <c r="P298" s="11"/>
      <c r="Q298" s="41"/>
      <c r="R298" s="11"/>
      <c r="S298" s="11"/>
      <c r="T298" s="11"/>
      <c r="U298" s="11"/>
      <c r="V298" s="11"/>
      <c r="W298" s="11"/>
      <c r="X298" s="11"/>
      <c r="Y298" s="4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40"/>
      <c r="CQ298" s="40"/>
      <c r="CR298" s="40"/>
      <c r="CS298" s="40"/>
      <c r="CT298" s="40"/>
      <c r="CU298" s="40"/>
      <c r="CV298" s="40"/>
      <c r="CW298" s="40"/>
      <c r="CX298" s="40"/>
      <c r="CY298" s="40"/>
      <c r="CZ298" s="40"/>
      <c r="DA298" s="11"/>
      <c r="DB298" s="11"/>
      <c r="DC298" s="11"/>
      <c r="DD298" s="11"/>
      <c r="DE298" s="11"/>
      <c r="DF298" s="11"/>
      <c r="DG298" s="11"/>
    </row>
    <row r="299" ht="15.75" customHeight="1">
      <c r="A299" s="41"/>
      <c r="B299" s="11"/>
      <c r="C299" s="11"/>
      <c r="D299" s="11"/>
      <c r="E299" s="11"/>
      <c r="F299" s="11"/>
      <c r="G299" s="11"/>
      <c r="H299" s="11"/>
      <c r="I299" s="41"/>
      <c r="J299" s="11"/>
      <c r="K299" s="11"/>
      <c r="L299" s="11"/>
      <c r="M299" s="11"/>
      <c r="N299" s="11"/>
      <c r="O299" s="11"/>
      <c r="P299" s="11"/>
      <c r="Q299" s="41"/>
      <c r="R299" s="11"/>
      <c r="S299" s="11"/>
      <c r="T299" s="11"/>
      <c r="U299" s="11"/>
      <c r="V299" s="11"/>
      <c r="W299" s="11"/>
      <c r="X299" s="11"/>
      <c r="Y299" s="4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40"/>
      <c r="CQ299" s="40"/>
      <c r="CR299" s="40"/>
      <c r="CS299" s="40"/>
      <c r="CT299" s="40"/>
      <c r="CU299" s="40"/>
      <c r="CV299" s="40"/>
      <c r="CW299" s="40"/>
      <c r="CX299" s="40"/>
      <c r="CY299" s="40"/>
      <c r="CZ299" s="40"/>
      <c r="DA299" s="11"/>
      <c r="DB299" s="11"/>
      <c r="DC299" s="11"/>
      <c r="DD299" s="11"/>
      <c r="DE299" s="11"/>
      <c r="DF299" s="11"/>
      <c r="DG299" s="11"/>
    </row>
    <row r="300" ht="15.75" customHeight="1">
      <c r="A300" s="41"/>
      <c r="B300" s="11"/>
      <c r="C300" s="11"/>
      <c r="D300" s="11"/>
      <c r="E300" s="11"/>
      <c r="F300" s="11"/>
      <c r="G300" s="11"/>
      <c r="H300" s="11"/>
      <c r="I300" s="41"/>
      <c r="J300" s="11"/>
      <c r="K300" s="11"/>
      <c r="L300" s="11"/>
      <c r="M300" s="11"/>
      <c r="N300" s="11"/>
      <c r="O300" s="11"/>
      <c r="P300" s="11"/>
      <c r="Q300" s="41"/>
      <c r="R300" s="11"/>
      <c r="S300" s="11"/>
      <c r="T300" s="11"/>
      <c r="U300" s="11"/>
      <c r="V300" s="11"/>
      <c r="W300" s="11"/>
      <c r="X300" s="11"/>
      <c r="Y300" s="4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40"/>
      <c r="CQ300" s="40"/>
      <c r="CR300" s="40"/>
      <c r="CS300" s="40"/>
      <c r="CT300" s="40"/>
      <c r="CU300" s="40"/>
      <c r="CV300" s="40"/>
      <c r="CW300" s="40"/>
      <c r="CX300" s="40"/>
      <c r="CY300" s="40"/>
      <c r="CZ300" s="40"/>
      <c r="DA300" s="11"/>
      <c r="DB300" s="11"/>
      <c r="DC300" s="11"/>
      <c r="DD300" s="11"/>
      <c r="DE300" s="11"/>
      <c r="DF300" s="11"/>
      <c r="DG300" s="11"/>
    </row>
    <row r="301" ht="15.75" customHeight="1">
      <c r="A301" s="41"/>
      <c r="B301" s="11"/>
      <c r="C301" s="11"/>
      <c r="D301" s="11"/>
      <c r="E301" s="11"/>
      <c r="F301" s="11"/>
      <c r="G301" s="11"/>
      <c r="H301" s="11"/>
      <c r="I301" s="41"/>
      <c r="J301" s="11"/>
      <c r="K301" s="11"/>
      <c r="L301" s="11"/>
      <c r="M301" s="11"/>
      <c r="N301" s="11"/>
      <c r="O301" s="11"/>
      <c r="P301" s="11"/>
      <c r="Q301" s="41"/>
      <c r="R301" s="11"/>
      <c r="S301" s="11"/>
      <c r="T301" s="11"/>
      <c r="U301" s="11"/>
      <c r="V301" s="11"/>
      <c r="W301" s="11"/>
      <c r="X301" s="11"/>
      <c r="Y301" s="4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40"/>
      <c r="CQ301" s="40"/>
      <c r="CR301" s="40"/>
      <c r="CS301" s="40"/>
      <c r="CT301" s="40"/>
      <c r="CU301" s="40"/>
      <c r="CV301" s="40"/>
      <c r="CW301" s="40"/>
      <c r="CX301" s="40"/>
      <c r="CY301" s="40"/>
      <c r="CZ301" s="40"/>
      <c r="DA301" s="11"/>
      <c r="DB301" s="11"/>
      <c r="DC301" s="11"/>
      <c r="DD301" s="11"/>
      <c r="DE301" s="11"/>
      <c r="DF301" s="11"/>
      <c r="DG301" s="11"/>
    </row>
    <row r="302" ht="15.75" customHeight="1">
      <c r="A302" s="41"/>
      <c r="B302" s="11"/>
      <c r="C302" s="11"/>
      <c r="D302" s="11"/>
      <c r="E302" s="11"/>
      <c r="F302" s="11"/>
      <c r="G302" s="11"/>
      <c r="H302" s="11"/>
      <c r="I302" s="41"/>
      <c r="J302" s="11"/>
      <c r="K302" s="11"/>
      <c r="L302" s="11"/>
      <c r="M302" s="11"/>
      <c r="N302" s="11"/>
      <c r="O302" s="11"/>
      <c r="P302" s="11"/>
      <c r="Q302" s="41"/>
      <c r="R302" s="11"/>
      <c r="S302" s="11"/>
      <c r="T302" s="11"/>
      <c r="U302" s="11"/>
      <c r="V302" s="11"/>
      <c r="W302" s="11"/>
      <c r="X302" s="11"/>
      <c r="Y302" s="4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40"/>
      <c r="CQ302" s="40"/>
      <c r="CR302" s="40"/>
      <c r="CS302" s="40"/>
      <c r="CT302" s="40"/>
      <c r="CU302" s="40"/>
      <c r="CV302" s="40"/>
      <c r="CW302" s="40"/>
      <c r="CX302" s="40"/>
      <c r="CY302" s="40"/>
      <c r="CZ302" s="40"/>
      <c r="DA302" s="11"/>
      <c r="DB302" s="11"/>
      <c r="DC302" s="11"/>
      <c r="DD302" s="11"/>
      <c r="DE302" s="11"/>
      <c r="DF302" s="11"/>
      <c r="DG302" s="11"/>
    </row>
    <row r="303" ht="15.75" customHeight="1">
      <c r="A303" s="41"/>
      <c r="B303" s="11"/>
      <c r="C303" s="11"/>
      <c r="D303" s="11"/>
      <c r="E303" s="11"/>
      <c r="F303" s="11"/>
      <c r="G303" s="11"/>
      <c r="H303" s="11"/>
      <c r="I303" s="41"/>
      <c r="J303" s="11"/>
      <c r="K303" s="11"/>
      <c r="L303" s="11"/>
      <c r="M303" s="11"/>
      <c r="N303" s="11"/>
      <c r="O303" s="11"/>
      <c r="P303" s="11"/>
      <c r="Q303" s="41"/>
      <c r="R303" s="11"/>
      <c r="S303" s="11"/>
      <c r="T303" s="11"/>
      <c r="U303" s="11"/>
      <c r="V303" s="11"/>
      <c r="W303" s="11"/>
      <c r="X303" s="11"/>
      <c r="Y303" s="4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40"/>
      <c r="CQ303" s="40"/>
      <c r="CR303" s="40"/>
      <c r="CS303" s="40"/>
      <c r="CT303" s="40"/>
      <c r="CU303" s="40"/>
      <c r="CV303" s="40"/>
      <c r="CW303" s="40"/>
      <c r="CX303" s="40"/>
      <c r="CY303" s="40"/>
      <c r="CZ303" s="40"/>
      <c r="DA303" s="11"/>
      <c r="DB303" s="11"/>
      <c r="DC303" s="11"/>
      <c r="DD303" s="11"/>
      <c r="DE303" s="11"/>
      <c r="DF303" s="11"/>
      <c r="DG303" s="11"/>
    </row>
    <row r="304" ht="15.75" customHeight="1">
      <c r="A304" s="41"/>
      <c r="B304" s="11"/>
      <c r="C304" s="11"/>
      <c r="D304" s="11"/>
      <c r="E304" s="11"/>
      <c r="F304" s="11"/>
      <c r="G304" s="11"/>
      <c r="H304" s="11"/>
      <c r="I304" s="41"/>
      <c r="J304" s="11"/>
      <c r="K304" s="11"/>
      <c r="L304" s="11"/>
      <c r="M304" s="11"/>
      <c r="N304" s="11"/>
      <c r="O304" s="11"/>
      <c r="P304" s="11"/>
      <c r="Q304" s="41"/>
      <c r="R304" s="11"/>
      <c r="S304" s="11"/>
      <c r="T304" s="11"/>
      <c r="U304" s="11"/>
      <c r="V304" s="11"/>
      <c r="W304" s="11"/>
      <c r="X304" s="11"/>
      <c r="Y304" s="4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40"/>
      <c r="CQ304" s="40"/>
      <c r="CR304" s="40"/>
      <c r="CS304" s="40"/>
      <c r="CT304" s="40"/>
      <c r="CU304" s="40"/>
      <c r="CV304" s="40"/>
      <c r="CW304" s="40"/>
      <c r="CX304" s="40"/>
      <c r="CY304" s="40"/>
      <c r="CZ304" s="40"/>
      <c r="DA304" s="11"/>
      <c r="DB304" s="11"/>
      <c r="DC304" s="11"/>
      <c r="DD304" s="11"/>
      <c r="DE304" s="11"/>
      <c r="DF304" s="11"/>
      <c r="DG304" s="11"/>
    </row>
    <row r="305" ht="15.75" customHeight="1">
      <c r="A305" s="41"/>
      <c r="B305" s="11"/>
      <c r="C305" s="11"/>
      <c r="D305" s="11"/>
      <c r="E305" s="11"/>
      <c r="F305" s="11"/>
      <c r="G305" s="11"/>
      <c r="H305" s="11"/>
      <c r="I305" s="41"/>
      <c r="J305" s="11"/>
      <c r="K305" s="11"/>
      <c r="L305" s="11"/>
      <c r="M305" s="11"/>
      <c r="N305" s="11"/>
      <c r="O305" s="11"/>
      <c r="P305" s="11"/>
      <c r="Q305" s="41"/>
      <c r="R305" s="11"/>
      <c r="S305" s="11"/>
      <c r="T305" s="11"/>
      <c r="U305" s="11"/>
      <c r="V305" s="11"/>
      <c r="W305" s="11"/>
      <c r="X305" s="11"/>
      <c r="Y305" s="4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40"/>
      <c r="CQ305" s="40"/>
      <c r="CR305" s="40"/>
      <c r="CS305" s="40"/>
      <c r="CT305" s="40"/>
      <c r="CU305" s="40"/>
      <c r="CV305" s="40"/>
      <c r="CW305" s="40"/>
      <c r="CX305" s="40"/>
      <c r="CY305" s="40"/>
      <c r="CZ305" s="40"/>
      <c r="DA305" s="11"/>
      <c r="DB305" s="11"/>
      <c r="DC305" s="11"/>
      <c r="DD305" s="11"/>
      <c r="DE305" s="11"/>
      <c r="DF305" s="11"/>
      <c r="DG305" s="11"/>
    </row>
    <row r="306" ht="15.75" customHeight="1">
      <c r="A306" s="41"/>
      <c r="B306" s="11"/>
      <c r="C306" s="11"/>
      <c r="D306" s="11"/>
      <c r="E306" s="11"/>
      <c r="F306" s="11"/>
      <c r="G306" s="11"/>
      <c r="H306" s="11"/>
      <c r="I306" s="41"/>
      <c r="J306" s="11"/>
      <c r="K306" s="11"/>
      <c r="L306" s="11"/>
      <c r="M306" s="11"/>
      <c r="N306" s="11"/>
      <c r="O306" s="11"/>
      <c r="P306" s="11"/>
      <c r="Q306" s="41"/>
      <c r="R306" s="11"/>
      <c r="S306" s="11"/>
      <c r="T306" s="11"/>
      <c r="U306" s="11"/>
      <c r="V306" s="11"/>
      <c r="W306" s="11"/>
      <c r="X306" s="11"/>
      <c r="Y306" s="4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40"/>
      <c r="CQ306" s="40"/>
      <c r="CR306" s="40"/>
      <c r="CS306" s="40"/>
      <c r="CT306" s="40"/>
      <c r="CU306" s="40"/>
      <c r="CV306" s="40"/>
      <c r="CW306" s="40"/>
      <c r="CX306" s="40"/>
      <c r="CY306" s="40"/>
      <c r="CZ306" s="40"/>
      <c r="DA306" s="11"/>
      <c r="DB306" s="11"/>
      <c r="DC306" s="11"/>
      <c r="DD306" s="11"/>
      <c r="DE306" s="11"/>
      <c r="DF306" s="11"/>
      <c r="DG306" s="11"/>
    </row>
    <row r="307" ht="15.75" customHeight="1">
      <c r="A307" s="41"/>
      <c r="B307" s="11"/>
      <c r="C307" s="11"/>
      <c r="D307" s="11"/>
      <c r="E307" s="11"/>
      <c r="F307" s="11"/>
      <c r="G307" s="11"/>
      <c r="H307" s="11"/>
      <c r="I307" s="41"/>
      <c r="J307" s="11"/>
      <c r="K307" s="11"/>
      <c r="L307" s="11"/>
      <c r="M307" s="11"/>
      <c r="N307" s="11"/>
      <c r="O307" s="11"/>
      <c r="P307" s="11"/>
      <c r="Q307" s="41"/>
      <c r="R307" s="11"/>
      <c r="S307" s="11"/>
      <c r="T307" s="11"/>
      <c r="U307" s="11"/>
      <c r="V307" s="11"/>
      <c r="W307" s="11"/>
      <c r="X307" s="11"/>
      <c r="Y307" s="4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40"/>
      <c r="CQ307" s="40"/>
      <c r="CR307" s="40"/>
      <c r="CS307" s="40"/>
      <c r="CT307" s="40"/>
      <c r="CU307" s="40"/>
      <c r="CV307" s="40"/>
      <c r="CW307" s="40"/>
      <c r="CX307" s="40"/>
      <c r="CY307" s="40"/>
      <c r="CZ307" s="40"/>
      <c r="DA307" s="11"/>
      <c r="DB307" s="11"/>
      <c r="DC307" s="11"/>
      <c r="DD307" s="11"/>
      <c r="DE307" s="11"/>
      <c r="DF307" s="11"/>
      <c r="DG307" s="11"/>
    </row>
    <row r="308" ht="15.75" customHeight="1">
      <c r="A308" s="41"/>
      <c r="B308" s="11"/>
      <c r="C308" s="11"/>
      <c r="D308" s="11"/>
      <c r="E308" s="11"/>
      <c r="F308" s="11"/>
      <c r="G308" s="11"/>
      <c r="H308" s="11"/>
      <c r="I308" s="41"/>
      <c r="J308" s="11"/>
      <c r="K308" s="11"/>
      <c r="L308" s="11"/>
      <c r="M308" s="11"/>
      <c r="N308" s="11"/>
      <c r="O308" s="11"/>
      <c r="P308" s="11"/>
      <c r="Q308" s="41"/>
      <c r="R308" s="11"/>
      <c r="S308" s="11"/>
      <c r="T308" s="11"/>
      <c r="U308" s="11"/>
      <c r="V308" s="11"/>
      <c r="W308" s="11"/>
      <c r="X308" s="11"/>
      <c r="Y308" s="4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40"/>
      <c r="CQ308" s="40"/>
      <c r="CR308" s="40"/>
      <c r="CS308" s="40"/>
      <c r="CT308" s="40"/>
      <c r="CU308" s="40"/>
      <c r="CV308" s="40"/>
      <c r="CW308" s="40"/>
      <c r="CX308" s="40"/>
      <c r="CY308" s="40"/>
      <c r="CZ308" s="40"/>
      <c r="DA308" s="11"/>
      <c r="DB308" s="11"/>
      <c r="DC308" s="11"/>
      <c r="DD308" s="11"/>
      <c r="DE308" s="11"/>
      <c r="DF308" s="11"/>
      <c r="DG308" s="11"/>
    </row>
    <row r="309" ht="15.75" customHeight="1">
      <c r="A309" s="41"/>
      <c r="B309" s="11"/>
      <c r="C309" s="11"/>
      <c r="D309" s="11"/>
      <c r="E309" s="11"/>
      <c r="F309" s="11"/>
      <c r="G309" s="11"/>
      <c r="H309" s="11"/>
      <c r="I309" s="41"/>
      <c r="J309" s="11"/>
      <c r="K309" s="11"/>
      <c r="L309" s="11"/>
      <c r="M309" s="11"/>
      <c r="N309" s="11"/>
      <c r="O309" s="11"/>
      <c r="P309" s="11"/>
      <c r="Q309" s="41"/>
      <c r="R309" s="11"/>
      <c r="S309" s="11"/>
      <c r="T309" s="11"/>
      <c r="U309" s="11"/>
      <c r="V309" s="11"/>
      <c r="W309" s="11"/>
      <c r="X309" s="11"/>
      <c r="Y309" s="4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40"/>
      <c r="CQ309" s="40"/>
      <c r="CR309" s="40"/>
      <c r="CS309" s="40"/>
      <c r="CT309" s="40"/>
      <c r="CU309" s="40"/>
      <c r="CV309" s="40"/>
      <c r="CW309" s="40"/>
      <c r="CX309" s="40"/>
      <c r="CY309" s="40"/>
      <c r="CZ309" s="40"/>
      <c r="DA309" s="11"/>
      <c r="DB309" s="11"/>
      <c r="DC309" s="11"/>
      <c r="DD309" s="11"/>
      <c r="DE309" s="11"/>
      <c r="DF309" s="11"/>
      <c r="DG309" s="11"/>
    </row>
    <row r="310" ht="15.75" customHeight="1">
      <c r="A310" s="41"/>
      <c r="B310" s="11"/>
      <c r="C310" s="11"/>
      <c r="D310" s="11"/>
      <c r="E310" s="11"/>
      <c r="F310" s="11"/>
      <c r="G310" s="11"/>
      <c r="H310" s="11"/>
      <c r="I310" s="41"/>
      <c r="J310" s="11"/>
      <c r="K310" s="11"/>
      <c r="L310" s="11"/>
      <c r="M310" s="11"/>
      <c r="N310" s="11"/>
      <c r="O310" s="11"/>
      <c r="P310" s="11"/>
      <c r="Q310" s="41"/>
      <c r="R310" s="11"/>
      <c r="S310" s="11"/>
      <c r="T310" s="11"/>
      <c r="U310" s="11"/>
      <c r="V310" s="11"/>
      <c r="W310" s="11"/>
      <c r="X310" s="11"/>
      <c r="Y310" s="4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40"/>
      <c r="CQ310" s="40"/>
      <c r="CR310" s="40"/>
      <c r="CS310" s="40"/>
      <c r="CT310" s="40"/>
      <c r="CU310" s="40"/>
      <c r="CV310" s="40"/>
      <c r="CW310" s="40"/>
      <c r="CX310" s="40"/>
      <c r="CY310" s="40"/>
      <c r="CZ310" s="40"/>
      <c r="DA310" s="11"/>
      <c r="DB310" s="11"/>
      <c r="DC310" s="11"/>
      <c r="DD310" s="11"/>
      <c r="DE310" s="11"/>
      <c r="DF310" s="11"/>
      <c r="DG310" s="11"/>
    </row>
    <row r="311" ht="15.75" customHeight="1">
      <c r="A311" s="41"/>
      <c r="B311" s="11"/>
      <c r="C311" s="11"/>
      <c r="D311" s="11"/>
      <c r="E311" s="11"/>
      <c r="F311" s="11"/>
      <c r="G311" s="11"/>
      <c r="H311" s="11"/>
      <c r="I311" s="41"/>
      <c r="J311" s="11"/>
      <c r="K311" s="11"/>
      <c r="L311" s="11"/>
      <c r="M311" s="11"/>
      <c r="N311" s="11"/>
      <c r="O311" s="11"/>
      <c r="P311" s="11"/>
      <c r="Q311" s="41"/>
      <c r="R311" s="11"/>
      <c r="S311" s="11"/>
      <c r="T311" s="11"/>
      <c r="U311" s="11"/>
      <c r="V311" s="11"/>
      <c r="W311" s="11"/>
      <c r="X311" s="11"/>
      <c r="Y311" s="4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40"/>
      <c r="CQ311" s="40"/>
      <c r="CR311" s="40"/>
      <c r="CS311" s="40"/>
      <c r="CT311" s="40"/>
      <c r="CU311" s="40"/>
      <c r="CV311" s="40"/>
      <c r="CW311" s="40"/>
      <c r="CX311" s="40"/>
      <c r="CY311" s="40"/>
      <c r="CZ311" s="40"/>
      <c r="DA311" s="11"/>
      <c r="DB311" s="11"/>
      <c r="DC311" s="11"/>
      <c r="DD311" s="11"/>
      <c r="DE311" s="11"/>
      <c r="DF311" s="11"/>
      <c r="DG311" s="11"/>
    </row>
    <row r="312" ht="15.75" customHeight="1">
      <c r="A312" s="41"/>
      <c r="B312" s="11"/>
      <c r="C312" s="11"/>
      <c r="D312" s="11"/>
      <c r="E312" s="11"/>
      <c r="F312" s="11"/>
      <c r="G312" s="11"/>
      <c r="H312" s="11"/>
      <c r="I312" s="41"/>
      <c r="J312" s="11"/>
      <c r="K312" s="11"/>
      <c r="L312" s="11"/>
      <c r="M312" s="11"/>
      <c r="N312" s="11"/>
      <c r="O312" s="11"/>
      <c r="P312" s="11"/>
      <c r="Q312" s="41"/>
      <c r="R312" s="11"/>
      <c r="S312" s="11"/>
      <c r="T312" s="11"/>
      <c r="U312" s="11"/>
      <c r="V312" s="11"/>
      <c r="W312" s="11"/>
      <c r="X312" s="11"/>
      <c r="Y312" s="4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40"/>
      <c r="CQ312" s="40"/>
      <c r="CR312" s="40"/>
      <c r="CS312" s="40"/>
      <c r="CT312" s="40"/>
      <c r="CU312" s="40"/>
      <c r="CV312" s="40"/>
      <c r="CW312" s="40"/>
      <c r="CX312" s="40"/>
      <c r="CY312" s="40"/>
      <c r="CZ312" s="40"/>
      <c r="DA312" s="11"/>
      <c r="DB312" s="11"/>
      <c r="DC312" s="11"/>
      <c r="DD312" s="11"/>
      <c r="DE312" s="11"/>
      <c r="DF312" s="11"/>
      <c r="DG312" s="11"/>
    </row>
    <row r="313" ht="15.75" customHeight="1">
      <c r="A313" s="41"/>
      <c r="B313" s="11"/>
      <c r="C313" s="11"/>
      <c r="D313" s="11"/>
      <c r="E313" s="11"/>
      <c r="F313" s="11"/>
      <c r="G313" s="11"/>
      <c r="H313" s="11"/>
      <c r="I313" s="41"/>
      <c r="J313" s="11"/>
      <c r="K313" s="11"/>
      <c r="L313" s="11"/>
      <c r="M313" s="11"/>
      <c r="N313" s="11"/>
      <c r="O313" s="11"/>
      <c r="P313" s="11"/>
      <c r="Q313" s="41"/>
      <c r="R313" s="11"/>
      <c r="S313" s="11"/>
      <c r="T313" s="11"/>
      <c r="U313" s="11"/>
      <c r="V313" s="11"/>
      <c r="W313" s="11"/>
      <c r="X313" s="11"/>
      <c r="Y313" s="4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40"/>
      <c r="CQ313" s="40"/>
      <c r="CR313" s="40"/>
      <c r="CS313" s="40"/>
      <c r="CT313" s="40"/>
      <c r="CU313" s="40"/>
      <c r="CV313" s="40"/>
      <c r="CW313" s="40"/>
      <c r="CX313" s="40"/>
      <c r="CY313" s="40"/>
      <c r="CZ313" s="40"/>
      <c r="DA313" s="11"/>
      <c r="DB313" s="11"/>
      <c r="DC313" s="11"/>
      <c r="DD313" s="11"/>
      <c r="DE313" s="11"/>
      <c r="DF313" s="11"/>
      <c r="DG313" s="11"/>
    </row>
    <row r="314" ht="15.75" customHeight="1">
      <c r="A314" s="41"/>
      <c r="B314" s="11"/>
      <c r="C314" s="11"/>
      <c r="D314" s="11"/>
      <c r="E314" s="11"/>
      <c r="F314" s="11"/>
      <c r="G314" s="11"/>
      <c r="H314" s="11"/>
      <c r="I314" s="41"/>
      <c r="J314" s="11"/>
      <c r="K314" s="11"/>
      <c r="L314" s="11"/>
      <c r="M314" s="11"/>
      <c r="N314" s="11"/>
      <c r="O314" s="11"/>
      <c r="P314" s="11"/>
      <c r="Q314" s="41"/>
      <c r="R314" s="11"/>
      <c r="S314" s="11"/>
      <c r="T314" s="11"/>
      <c r="U314" s="11"/>
      <c r="V314" s="11"/>
      <c r="W314" s="11"/>
      <c r="X314" s="11"/>
      <c r="Y314" s="4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40"/>
      <c r="CQ314" s="40"/>
      <c r="CR314" s="40"/>
      <c r="CS314" s="40"/>
      <c r="CT314" s="40"/>
      <c r="CU314" s="40"/>
      <c r="CV314" s="40"/>
      <c r="CW314" s="40"/>
      <c r="CX314" s="40"/>
      <c r="CY314" s="40"/>
      <c r="CZ314" s="40"/>
      <c r="DA314" s="11"/>
      <c r="DB314" s="11"/>
      <c r="DC314" s="11"/>
      <c r="DD314" s="11"/>
      <c r="DE314" s="11"/>
      <c r="DF314" s="11"/>
      <c r="DG314" s="11"/>
    </row>
    <row r="315" ht="15.75" customHeight="1">
      <c r="A315" s="41"/>
      <c r="B315" s="11"/>
      <c r="C315" s="11"/>
      <c r="D315" s="11"/>
      <c r="E315" s="11"/>
      <c r="F315" s="11"/>
      <c r="G315" s="11"/>
      <c r="H315" s="11"/>
      <c r="I315" s="41"/>
      <c r="J315" s="11"/>
      <c r="K315" s="11"/>
      <c r="L315" s="11"/>
      <c r="M315" s="11"/>
      <c r="N315" s="11"/>
      <c r="O315" s="11"/>
      <c r="P315" s="11"/>
      <c r="Q315" s="41"/>
      <c r="R315" s="11"/>
      <c r="S315" s="11"/>
      <c r="T315" s="11"/>
      <c r="U315" s="11"/>
      <c r="V315" s="11"/>
      <c r="W315" s="11"/>
      <c r="X315" s="11"/>
      <c r="Y315" s="4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40"/>
      <c r="CQ315" s="40"/>
      <c r="CR315" s="40"/>
      <c r="CS315" s="40"/>
      <c r="CT315" s="40"/>
      <c r="CU315" s="40"/>
      <c r="CV315" s="40"/>
      <c r="CW315" s="40"/>
      <c r="CX315" s="40"/>
      <c r="CY315" s="40"/>
      <c r="CZ315" s="40"/>
      <c r="DA315" s="11"/>
      <c r="DB315" s="11"/>
      <c r="DC315" s="11"/>
      <c r="DD315" s="11"/>
      <c r="DE315" s="11"/>
      <c r="DF315" s="11"/>
      <c r="DG315" s="11"/>
    </row>
    <row r="316" ht="15.75" customHeight="1">
      <c r="A316" s="41"/>
      <c r="B316" s="11"/>
      <c r="C316" s="11"/>
      <c r="D316" s="11"/>
      <c r="E316" s="11"/>
      <c r="F316" s="11"/>
      <c r="G316" s="11"/>
      <c r="H316" s="11"/>
      <c r="I316" s="41"/>
      <c r="J316" s="11"/>
      <c r="K316" s="11"/>
      <c r="L316" s="11"/>
      <c r="M316" s="11"/>
      <c r="N316" s="11"/>
      <c r="O316" s="11"/>
      <c r="P316" s="11"/>
      <c r="Q316" s="41"/>
      <c r="R316" s="11"/>
      <c r="S316" s="11"/>
      <c r="T316" s="11"/>
      <c r="U316" s="11"/>
      <c r="V316" s="11"/>
      <c r="W316" s="11"/>
      <c r="X316" s="11"/>
      <c r="Y316" s="4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40"/>
      <c r="CQ316" s="40"/>
      <c r="CR316" s="40"/>
      <c r="CS316" s="40"/>
      <c r="CT316" s="40"/>
      <c r="CU316" s="40"/>
      <c r="CV316" s="40"/>
      <c r="CW316" s="40"/>
      <c r="CX316" s="40"/>
      <c r="CY316" s="40"/>
      <c r="CZ316" s="40"/>
      <c r="DA316" s="11"/>
      <c r="DB316" s="11"/>
      <c r="DC316" s="11"/>
      <c r="DD316" s="11"/>
      <c r="DE316" s="11"/>
      <c r="DF316" s="11"/>
      <c r="DG316" s="11"/>
    </row>
    <row r="317" ht="15.75" customHeight="1">
      <c r="A317" s="41"/>
      <c r="B317" s="11"/>
      <c r="C317" s="11"/>
      <c r="D317" s="11"/>
      <c r="E317" s="11"/>
      <c r="F317" s="11"/>
      <c r="G317" s="11"/>
      <c r="H317" s="11"/>
      <c r="I317" s="41"/>
      <c r="J317" s="11"/>
      <c r="K317" s="11"/>
      <c r="L317" s="11"/>
      <c r="M317" s="11"/>
      <c r="N317" s="11"/>
      <c r="O317" s="11"/>
      <c r="P317" s="11"/>
      <c r="Q317" s="41"/>
      <c r="R317" s="11"/>
      <c r="S317" s="11"/>
      <c r="T317" s="11"/>
      <c r="U317" s="11"/>
      <c r="V317" s="11"/>
      <c r="W317" s="11"/>
      <c r="X317" s="11"/>
      <c r="Y317" s="4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40"/>
      <c r="CQ317" s="40"/>
      <c r="CR317" s="40"/>
      <c r="CS317" s="40"/>
      <c r="CT317" s="40"/>
      <c r="CU317" s="40"/>
      <c r="CV317" s="40"/>
      <c r="CW317" s="40"/>
      <c r="CX317" s="40"/>
      <c r="CY317" s="40"/>
      <c r="CZ317" s="40"/>
      <c r="DA317" s="11"/>
      <c r="DB317" s="11"/>
      <c r="DC317" s="11"/>
      <c r="DD317" s="11"/>
      <c r="DE317" s="11"/>
      <c r="DF317" s="11"/>
      <c r="DG317" s="11"/>
    </row>
    <row r="318" ht="15.75" customHeight="1">
      <c r="A318" s="41"/>
      <c r="B318" s="11"/>
      <c r="C318" s="11"/>
      <c r="D318" s="11"/>
      <c r="E318" s="11"/>
      <c r="F318" s="11"/>
      <c r="G318" s="11"/>
      <c r="H318" s="11"/>
      <c r="I318" s="41"/>
      <c r="J318" s="11"/>
      <c r="K318" s="11"/>
      <c r="L318" s="11"/>
      <c r="M318" s="11"/>
      <c r="N318" s="11"/>
      <c r="O318" s="11"/>
      <c r="P318" s="11"/>
      <c r="Q318" s="41"/>
      <c r="R318" s="11"/>
      <c r="S318" s="11"/>
      <c r="T318" s="11"/>
      <c r="U318" s="11"/>
      <c r="V318" s="11"/>
      <c r="W318" s="11"/>
      <c r="X318" s="11"/>
      <c r="Y318" s="4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40"/>
      <c r="CQ318" s="40"/>
      <c r="CR318" s="40"/>
      <c r="CS318" s="40"/>
      <c r="CT318" s="40"/>
      <c r="CU318" s="40"/>
      <c r="CV318" s="40"/>
      <c r="CW318" s="40"/>
      <c r="CX318" s="40"/>
      <c r="CY318" s="40"/>
      <c r="CZ318" s="40"/>
      <c r="DA318" s="11"/>
      <c r="DB318" s="11"/>
      <c r="DC318" s="11"/>
      <c r="DD318" s="11"/>
      <c r="DE318" s="11"/>
      <c r="DF318" s="11"/>
      <c r="DG318" s="11"/>
    </row>
    <row r="319" ht="15.75" customHeight="1">
      <c r="A319" s="41"/>
      <c r="B319" s="11"/>
      <c r="C319" s="11"/>
      <c r="D319" s="11"/>
      <c r="E319" s="11"/>
      <c r="F319" s="11"/>
      <c r="G319" s="11"/>
      <c r="H319" s="11"/>
      <c r="I319" s="41"/>
      <c r="J319" s="11"/>
      <c r="K319" s="11"/>
      <c r="L319" s="11"/>
      <c r="M319" s="11"/>
      <c r="N319" s="11"/>
      <c r="O319" s="11"/>
      <c r="P319" s="11"/>
      <c r="Q319" s="41"/>
      <c r="R319" s="11"/>
      <c r="S319" s="11"/>
      <c r="T319" s="11"/>
      <c r="U319" s="11"/>
      <c r="V319" s="11"/>
      <c r="W319" s="11"/>
      <c r="X319" s="11"/>
      <c r="Y319" s="4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40"/>
      <c r="CQ319" s="40"/>
      <c r="CR319" s="40"/>
      <c r="CS319" s="40"/>
      <c r="CT319" s="40"/>
      <c r="CU319" s="40"/>
      <c r="CV319" s="40"/>
      <c r="CW319" s="40"/>
      <c r="CX319" s="40"/>
      <c r="CY319" s="40"/>
      <c r="CZ319" s="40"/>
      <c r="DA319" s="11"/>
      <c r="DB319" s="11"/>
      <c r="DC319" s="11"/>
      <c r="DD319" s="11"/>
      <c r="DE319" s="11"/>
      <c r="DF319" s="11"/>
      <c r="DG319" s="11"/>
    </row>
    <row r="320" ht="15.75" customHeight="1">
      <c r="A320" s="41"/>
      <c r="B320" s="11"/>
      <c r="C320" s="11"/>
      <c r="D320" s="11"/>
      <c r="E320" s="11"/>
      <c r="F320" s="11"/>
      <c r="G320" s="11"/>
      <c r="H320" s="11"/>
      <c r="I320" s="41"/>
      <c r="J320" s="11"/>
      <c r="K320" s="11"/>
      <c r="L320" s="11"/>
      <c r="M320" s="11"/>
      <c r="N320" s="11"/>
      <c r="O320" s="11"/>
      <c r="P320" s="11"/>
      <c r="Q320" s="41"/>
      <c r="R320" s="11"/>
      <c r="S320" s="11"/>
      <c r="T320" s="11"/>
      <c r="U320" s="11"/>
      <c r="V320" s="11"/>
      <c r="W320" s="11"/>
      <c r="X320" s="11"/>
      <c r="Y320" s="4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40"/>
      <c r="CQ320" s="40"/>
      <c r="CR320" s="40"/>
      <c r="CS320" s="40"/>
      <c r="CT320" s="40"/>
      <c r="CU320" s="40"/>
      <c r="CV320" s="40"/>
      <c r="CW320" s="40"/>
      <c r="CX320" s="40"/>
      <c r="CY320" s="40"/>
      <c r="CZ320" s="40"/>
      <c r="DA320" s="11"/>
      <c r="DB320" s="11"/>
      <c r="DC320" s="11"/>
      <c r="DD320" s="11"/>
      <c r="DE320" s="11"/>
      <c r="DF320" s="11"/>
      <c r="DG320" s="11"/>
    </row>
    <row r="321" ht="15.75" customHeight="1">
      <c r="A321" s="41"/>
      <c r="B321" s="11"/>
      <c r="C321" s="11"/>
      <c r="D321" s="11"/>
      <c r="E321" s="11"/>
      <c r="F321" s="11"/>
      <c r="G321" s="11"/>
      <c r="H321" s="11"/>
      <c r="I321" s="41"/>
      <c r="J321" s="11"/>
      <c r="K321" s="11"/>
      <c r="L321" s="11"/>
      <c r="M321" s="11"/>
      <c r="N321" s="11"/>
      <c r="O321" s="11"/>
      <c r="P321" s="11"/>
      <c r="Q321" s="41"/>
      <c r="R321" s="11"/>
      <c r="S321" s="11"/>
      <c r="T321" s="11"/>
      <c r="U321" s="11"/>
      <c r="V321" s="11"/>
      <c r="W321" s="11"/>
      <c r="X321" s="11"/>
      <c r="Y321" s="4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40"/>
      <c r="CQ321" s="40"/>
      <c r="CR321" s="40"/>
      <c r="CS321" s="40"/>
      <c r="CT321" s="40"/>
      <c r="CU321" s="40"/>
      <c r="CV321" s="40"/>
      <c r="CW321" s="40"/>
      <c r="CX321" s="40"/>
      <c r="CY321" s="40"/>
      <c r="CZ321" s="40"/>
      <c r="DA321" s="11"/>
      <c r="DB321" s="11"/>
      <c r="DC321" s="11"/>
      <c r="DD321" s="11"/>
      <c r="DE321" s="11"/>
      <c r="DF321" s="11"/>
      <c r="DG321" s="11"/>
    </row>
    <row r="322" ht="15.75" customHeight="1">
      <c r="A322" s="41"/>
      <c r="B322" s="11"/>
      <c r="C322" s="11"/>
      <c r="D322" s="11"/>
      <c r="E322" s="11"/>
      <c r="F322" s="11"/>
      <c r="G322" s="11"/>
      <c r="H322" s="11"/>
      <c r="I322" s="41"/>
      <c r="J322" s="11"/>
      <c r="K322" s="11"/>
      <c r="L322" s="11"/>
      <c r="M322" s="11"/>
      <c r="N322" s="11"/>
      <c r="O322" s="11"/>
      <c r="P322" s="11"/>
      <c r="Q322" s="41"/>
      <c r="R322" s="11"/>
      <c r="S322" s="11"/>
      <c r="T322" s="11"/>
      <c r="U322" s="11"/>
      <c r="V322" s="11"/>
      <c r="W322" s="11"/>
      <c r="X322" s="11"/>
      <c r="Y322" s="4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40"/>
      <c r="CQ322" s="40"/>
      <c r="CR322" s="40"/>
      <c r="CS322" s="40"/>
      <c r="CT322" s="40"/>
      <c r="CU322" s="40"/>
      <c r="CV322" s="40"/>
      <c r="CW322" s="40"/>
      <c r="CX322" s="40"/>
      <c r="CY322" s="40"/>
      <c r="CZ322" s="40"/>
      <c r="DA322" s="11"/>
      <c r="DB322" s="11"/>
      <c r="DC322" s="11"/>
      <c r="DD322" s="11"/>
      <c r="DE322" s="11"/>
      <c r="DF322" s="11"/>
      <c r="DG322" s="11"/>
    </row>
    <row r="323" ht="15.75" customHeight="1">
      <c r="A323" s="41"/>
      <c r="B323" s="11"/>
      <c r="C323" s="11"/>
      <c r="D323" s="11"/>
      <c r="E323" s="11"/>
      <c r="F323" s="11"/>
      <c r="G323" s="11"/>
      <c r="H323" s="11"/>
      <c r="I323" s="41"/>
      <c r="J323" s="11"/>
      <c r="K323" s="11"/>
      <c r="L323" s="11"/>
      <c r="M323" s="11"/>
      <c r="N323" s="11"/>
      <c r="O323" s="11"/>
      <c r="P323" s="11"/>
      <c r="Q323" s="41"/>
      <c r="R323" s="11"/>
      <c r="S323" s="11"/>
      <c r="T323" s="11"/>
      <c r="U323" s="11"/>
      <c r="V323" s="11"/>
      <c r="W323" s="11"/>
      <c r="X323" s="11"/>
      <c r="Y323" s="4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40"/>
      <c r="CQ323" s="40"/>
      <c r="CR323" s="40"/>
      <c r="CS323" s="40"/>
      <c r="CT323" s="40"/>
      <c r="CU323" s="40"/>
      <c r="CV323" s="40"/>
      <c r="CW323" s="40"/>
      <c r="CX323" s="40"/>
      <c r="CY323" s="40"/>
      <c r="CZ323" s="40"/>
      <c r="DA323" s="11"/>
      <c r="DB323" s="11"/>
      <c r="DC323" s="11"/>
      <c r="DD323" s="11"/>
      <c r="DE323" s="11"/>
      <c r="DF323" s="11"/>
      <c r="DG323" s="11"/>
    </row>
    <row r="324" ht="15.75" customHeight="1">
      <c r="A324" s="41"/>
      <c r="B324" s="11"/>
      <c r="C324" s="11"/>
      <c r="D324" s="11"/>
      <c r="E324" s="11"/>
      <c r="F324" s="11"/>
      <c r="G324" s="11"/>
      <c r="H324" s="11"/>
      <c r="I324" s="41"/>
      <c r="J324" s="11"/>
      <c r="K324" s="11"/>
      <c r="L324" s="11"/>
      <c r="M324" s="11"/>
      <c r="N324" s="11"/>
      <c r="O324" s="11"/>
      <c r="P324" s="11"/>
      <c r="Q324" s="41"/>
      <c r="R324" s="11"/>
      <c r="S324" s="11"/>
      <c r="T324" s="11"/>
      <c r="U324" s="11"/>
      <c r="V324" s="11"/>
      <c r="W324" s="11"/>
      <c r="X324" s="11"/>
      <c r="Y324" s="4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40"/>
      <c r="CQ324" s="40"/>
      <c r="CR324" s="40"/>
      <c r="CS324" s="40"/>
      <c r="CT324" s="40"/>
      <c r="CU324" s="40"/>
      <c r="CV324" s="40"/>
      <c r="CW324" s="40"/>
      <c r="CX324" s="40"/>
      <c r="CY324" s="40"/>
      <c r="CZ324" s="40"/>
      <c r="DA324" s="11"/>
      <c r="DB324" s="11"/>
      <c r="DC324" s="11"/>
      <c r="DD324" s="11"/>
      <c r="DE324" s="11"/>
      <c r="DF324" s="11"/>
      <c r="DG324" s="11"/>
    </row>
    <row r="325" ht="15.75" customHeight="1">
      <c r="A325" s="41"/>
      <c r="B325" s="11"/>
      <c r="C325" s="11"/>
      <c r="D325" s="11"/>
      <c r="E325" s="11"/>
      <c r="F325" s="11"/>
      <c r="G325" s="11"/>
      <c r="H325" s="11"/>
      <c r="I325" s="41"/>
      <c r="J325" s="11"/>
      <c r="K325" s="11"/>
      <c r="L325" s="11"/>
      <c r="M325" s="11"/>
      <c r="N325" s="11"/>
      <c r="O325" s="11"/>
      <c r="P325" s="11"/>
      <c r="Q325" s="41"/>
      <c r="R325" s="11"/>
      <c r="S325" s="11"/>
      <c r="T325" s="11"/>
      <c r="U325" s="11"/>
      <c r="V325" s="11"/>
      <c r="W325" s="11"/>
      <c r="X325" s="11"/>
      <c r="Y325" s="4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40"/>
      <c r="CQ325" s="40"/>
      <c r="CR325" s="40"/>
      <c r="CS325" s="40"/>
      <c r="CT325" s="40"/>
      <c r="CU325" s="40"/>
      <c r="CV325" s="40"/>
      <c r="CW325" s="40"/>
      <c r="CX325" s="40"/>
      <c r="CY325" s="40"/>
      <c r="CZ325" s="40"/>
      <c r="DA325" s="11"/>
      <c r="DB325" s="11"/>
      <c r="DC325" s="11"/>
      <c r="DD325" s="11"/>
      <c r="DE325" s="11"/>
      <c r="DF325" s="11"/>
      <c r="DG325" s="11"/>
    </row>
    <row r="326" ht="15.75" customHeight="1">
      <c r="A326" s="41"/>
      <c r="B326" s="11"/>
      <c r="C326" s="11"/>
      <c r="D326" s="11"/>
      <c r="E326" s="11"/>
      <c r="F326" s="11"/>
      <c r="G326" s="11"/>
      <c r="H326" s="11"/>
      <c r="I326" s="41"/>
      <c r="J326" s="11"/>
      <c r="K326" s="11"/>
      <c r="L326" s="11"/>
      <c r="M326" s="11"/>
      <c r="N326" s="11"/>
      <c r="O326" s="11"/>
      <c r="P326" s="11"/>
      <c r="Q326" s="41"/>
      <c r="R326" s="11"/>
      <c r="S326" s="11"/>
      <c r="T326" s="11"/>
      <c r="U326" s="11"/>
      <c r="V326" s="11"/>
      <c r="W326" s="11"/>
      <c r="X326" s="11"/>
      <c r="Y326" s="4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40"/>
      <c r="CQ326" s="40"/>
      <c r="CR326" s="40"/>
      <c r="CS326" s="40"/>
      <c r="CT326" s="40"/>
      <c r="CU326" s="40"/>
      <c r="CV326" s="40"/>
      <c r="CW326" s="40"/>
      <c r="CX326" s="40"/>
      <c r="CY326" s="40"/>
      <c r="CZ326" s="40"/>
      <c r="DA326" s="11"/>
      <c r="DB326" s="11"/>
      <c r="DC326" s="11"/>
      <c r="DD326" s="11"/>
      <c r="DE326" s="11"/>
      <c r="DF326" s="11"/>
      <c r="DG326" s="11"/>
    </row>
    <row r="327" ht="15.75" customHeight="1">
      <c r="A327" s="41"/>
      <c r="B327" s="11"/>
      <c r="C327" s="11"/>
      <c r="D327" s="11"/>
      <c r="E327" s="11"/>
      <c r="F327" s="11"/>
      <c r="G327" s="11"/>
      <c r="H327" s="11"/>
      <c r="I327" s="41"/>
      <c r="J327" s="11"/>
      <c r="K327" s="11"/>
      <c r="L327" s="11"/>
      <c r="M327" s="11"/>
      <c r="N327" s="11"/>
      <c r="O327" s="11"/>
      <c r="P327" s="11"/>
      <c r="Q327" s="41"/>
      <c r="R327" s="11"/>
      <c r="S327" s="11"/>
      <c r="T327" s="11"/>
      <c r="U327" s="11"/>
      <c r="V327" s="11"/>
      <c r="W327" s="11"/>
      <c r="X327" s="11"/>
      <c r="Y327" s="4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40"/>
      <c r="CQ327" s="40"/>
      <c r="CR327" s="40"/>
      <c r="CS327" s="40"/>
      <c r="CT327" s="40"/>
      <c r="CU327" s="40"/>
      <c r="CV327" s="40"/>
      <c r="CW327" s="40"/>
      <c r="CX327" s="40"/>
      <c r="CY327" s="40"/>
      <c r="CZ327" s="40"/>
      <c r="DA327" s="11"/>
      <c r="DB327" s="11"/>
      <c r="DC327" s="11"/>
      <c r="DD327" s="11"/>
      <c r="DE327" s="11"/>
      <c r="DF327" s="11"/>
      <c r="DG327" s="11"/>
    </row>
    <row r="328" ht="15.75" customHeight="1">
      <c r="A328" s="41"/>
      <c r="B328" s="11"/>
      <c r="C328" s="11"/>
      <c r="D328" s="11"/>
      <c r="E328" s="11"/>
      <c r="F328" s="11"/>
      <c r="G328" s="11"/>
      <c r="H328" s="11"/>
      <c r="I328" s="41"/>
      <c r="J328" s="11"/>
      <c r="K328" s="11"/>
      <c r="L328" s="11"/>
      <c r="M328" s="11"/>
      <c r="N328" s="11"/>
      <c r="O328" s="11"/>
      <c r="P328" s="11"/>
      <c r="Q328" s="41"/>
      <c r="R328" s="11"/>
      <c r="S328" s="11"/>
      <c r="T328" s="11"/>
      <c r="U328" s="11"/>
      <c r="V328" s="11"/>
      <c r="W328" s="11"/>
      <c r="X328" s="11"/>
      <c r="Y328" s="4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40"/>
      <c r="CQ328" s="40"/>
      <c r="CR328" s="40"/>
      <c r="CS328" s="40"/>
      <c r="CT328" s="40"/>
      <c r="CU328" s="40"/>
      <c r="CV328" s="40"/>
      <c r="CW328" s="40"/>
      <c r="CX328" s="40"/>
      <c r="CY328" s="40"/>
      <c r="CZ328" s="40"/>
      <c r="DA328" s="11"/>
      <c r="DB328" s="11"/>
      <c r="DC328" s="11"/>
      <c r="DD328" s="11"/>
      <c r="DE328" s="11"/>
      <c r="DF328" s="11"/>
      <c r="DG328" s="11"/>
    </row>
    <row r="329" ht="15.75" customHeight="1">
      <c r="A329" s="41"/>
      <c r="B329" s="11"/>
      <c r="C329" s="11"/>
      <c r="D329" s="11"/>
      <c r="E329" s="11"/>
      <c r="F329" s="11"/>
      <c r="G329" s="11"/>
      <c r="H329" s="11"/>
      <c r="I329" s="41"/>
      <c r="J329" s="11"/>
      <c r="K329" s="11"/>
      <c r="L329" s="11"/>
      <c r="M329" s="11"/>
      <c r="N329" s="11"/>
      <c r="O329" s="11"/>
      <c r="P329" s="11"/>
      <c r="Q329" s="41"/>
      <c r="R329" s="11"/>
      <c r="S329" s="11"/>
      <c r="T329" s="11"/>
      <c r="U329" s="11"/>
      <c r="V329" s="11"/>
      <c r="W329" s="11"/>
      <c r="X329" s="11"/>
      <c r="Y329" s="4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40"/>
      <c r="CQ329" s="40"/>
      <c r="CR329" s="40"/>
      <c r="CS329" s="40"/>
      <c r="CT329" s="40"/>
      <c r="CU329" s="40"/>
      <c r="CV329" s="40"/>
      <c r="CW329" s="40"/>
      <c r="CX329" s="40"/>
      <c r="CY329" s="40"/>
      <c r="CZ329" s="40"/>
      <c r="DA329" s="11"/>
      <c r="DB329" s="11"/>
      <c r="DC329" s="11"/>
      <c r="DD329" s="11"/>
      <c r="DE329" s="11"/>
      <c r="DF329" s="11"/>
      <c r="DG329" s="11"/>
    </row>
    <row r="330" ht="15.75" customHeight="1">
      <c r="A330" s="41"/>
      <c r="B330" s="11"/>
      <c r="C330" s="11"/>
      <c r="D330" s="11"/>
      <c r="E330" s="11"/>
      <c r="F330" s="11"/>
      <c r="G330" s="11"/>
      <c r="H330" s="11"/>
      <c r="I330" s="41"/>
      <c r="J330" s="11"/>
      <c r="K330" s="11"/>
      <c r="L330" s="11"/>
      <c r="M330" s="11"/>
      <c r="N330" s="11"/>
      <c r="O330" s="11"/>
      <c r="P330" s="11"/>
      <c r="Q330" s="41"/>
      <c r="R330" s="11"/>
      <c r="S330" s="11"/>
      <c r="T330" s="11"/>
      <c r="U330" s="11"/>
      <c r="V330" s="11"/>
      <c r="W330" s="11"/>
      <c r="X330" s="11"/>
      <c r="Y330" s="4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40"/>
      <c r="CQ330" s="40"/>
      <c r="CR330" s="40"/>
      <c r="CS330" s="40"/>
      <c r="CT330" s="40"/>
      <c r="CU330" s="40"/>
      <c r="CV330" s="40"/>
      <c r="CW330" s="40"/>
      <c r="CX330" s="40"/>
      <c r="CY330" s="40"/>
      <c r="CZ330" s="40"/>
      <c r="DA330" s="11"/>
      <c r="DB330" s="11"/>
      <c r="DC330" s="11"/>
      <c r="DD330" s="11"/>
      <c r="DE330" s="11"/>
      <c r="DF330" s="11"/>
      <c r="DG330" s="11"/>
    </row>
    <row r="331" ht="15.75" customHeight="1">
      <c r="A331" s="41"/>
      <c r="B331" s="11"/>
      <c r="C331" s="11"/>
      <c r="D331" s="11"/>
      <c r="E331" s="11"/>
      <c r="F331" s="11"/>
      <c r="G331" s="11"/>
      <c r="H331" s="11"/>
      <c r="I331" s="41"/>
      <c r="J331" s="11"/>
      <c r="K331" s="11"/>
      <c r="L331" s="11"/>
      <c r="M331" s="11"/>
      <c r="N331" s="11"/>
      <c r="O331" s="11"/>
      <c r="P331" s="11"/>
      <c r="Q331" s="41"/>
      <c r="R331" s="11"/>
      <c r="S331" s="11"/>
      <c r="T331" s="11"/>
      <c r="U331" s="11"/>
      <c r="V331" s="11"/>
      <c r="W331" s="11"/>
      <c r="X331" s="11"/>
      <c r="Y331" s="4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40"/>
      <c r="CQ331" s="40"/>
      <c r="CR331" s="40"/>
      <c r="CS331" s="40"/>
      <c r="CT331" s="40"/>
      <c r="CU331" s="40"/>
      <c r="CV331" s="40"/>
      <c r="CW331" s="40"/>
      <c r="CX331" s="40"/>
      <c r="CY331" s="40"/>
      <c r="CZ331" s="40"/>
      <c r="DA331" s="11"/>
      <c r="DB331" s="11"/>
      <c r="DC331" s="11"/>
      <c r="DD331" s="11"/>
      <c r="DE331" s="11"/>
      <c r="DF331" s="11"/>
      <c r="DG331" s="11"/>
    </row>
    <row r="332" ht="15.75" customHeight="1">
      <c r="A332" s="41"/>
      <c r="B332" s="11"/>
      <c r="C332" s="11"/>
      <c r="D332" s="11"/>
      <c r="E332" s="11"/>
      <c r="F332" s="11"/>
      <c r="G332" s="11"/>
      <c r="H332" s="11"/>
      <c r="I332" s="41"/>
      <c r="J332" s="11"/>
      <c r="K332" s="11"/>
      <c r="L332" s="11"/>
      <c r="M332" s="11"/>
      <c r="N332" s="11"/>
      <c r="O332" s="11"/>
      <c r="P332" s="11"/>
      <c r="Q332" s="41"/>
      <c r="R332" s="11"/>
      <c r="S332" s="11"/>
      <c r="T332" s="11"/>
      <c r="U332" s="11"/>
      <c r="V332" s="11"/>
      <c r="W332" s="11"/>
      <c r="X332" s="11"/>
      <c r="Y332" s="4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40"/>
      <c r="CQ332" s="40"/>
      <c r="CR332" s="40"/>
      <c r="CS332" s="40"/>
      <c r="CT332" s="40"/>
      <c r="CU332" s="40"/>
      <c r="CV332" s="40"/>
      <c r="CW332" s="40"/>
      <c r="CX332" s="40"/>
      <c r="CY332" s="40"/>
      <c r="CZ332" s="40"/>
      <c r="DA332" s="11"/>
      <c r="DB332" s="11"/>
      <c r="DC332" s="11"/>
      <c r="DD332" s="11"/>
      <c r="DE332" s="11"/>
      <c r="DF332" s="11"/>
      <c r="DG332" s="11"/>
    </row>
    <row r="333" ht="15.75" customHeight="1">
      <c r="A333" s="41"/>
      <c r="B333" s="11"/>
      <c r="C333" s="11"/>
      <c r="D333" s="11"/>
      <c r="E333" s="11"/>
      <c r="F333" s="11"/>
      <c r="G333" s="11"/>
      <c r="H333" s="11"/>
      <c r="I333" s="41"/>
      <c r="J333" s="11"/>
      <c r="K333" s="11"/>
      <c r="L333" s="11"/>
      <c r="M333" s="11"/>
      <c r="N333" s="11"/>
      <c r="O333" s="11"/>
      <c r="P333" s="11"/>
      <c r="Q333" s="41"/>
      <c r="R333" s="11"/>
      <c r="S333" s="11"/>
      <c r="T333" s="11"/>
      <c r="U333" s="11"/>
      <c r="V333" s="11"/>
      <c r="W333" s="11"/>
      <c r="X333" s="11"/>
      <c r="Y333" s="4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40"/>
      <c r="CQ333" s="40"/>
      <c r="CR333" s="40"/>
      <c r="CS333" s="40"/>
      <c r="CT333" s="40"/>
      <c r="CU333" s="40"/>
      <c r="CV333" s="40"/>
      <c r="CW333" s="40"/>
      <c r="CX333" s="40"/>
      <c r="CY333" s="40"/>
      <c r="CZ333" s="40"/>
      <c r="DA333" s="11"/>
      <c r="DB333" s="11"/>
      <c r="DC333" s="11"/>
      <c r="DD333" s="11"/>
      <c r="DE333" s="11"/>
      <c r="DF333" s="11"/>
      <c r="DG333" s="11"/>
    </row>
    <row r="334" ht="15.75" customHeight="1">
      <c r="A334" s="41"/>
      <c r="B334" s="11"/>
      <c r="C334" s="11"/>
      <c r="D334" s="11"/>
      <c r="E334" s="11"/>
      <c r="F334" s="11"/>
      <c r="G334" s="11"/>
      <c r="H334" s="11"/>
      <c r="I334" s="41"/>
      <c r="J334" s="11"/>
      <c r="K334" s="11"/>
      <c r="L334" s="11"/>
      <c r="M334" s="11"/>
      <c r="N334" s="11"/>
      <c r="O334" s="11"/>
      <c r="P334" s="11"/>
      <c r="Q334" s="41"/>
      <c r="R334" s="11"/>
      <c r="S334" s="11"/>
      <c r="T334" s="11"/>
      <c r="U334" s="11"/>
      <c r="V334" s="11"/>
      <c r="W334" s="11"/>
      <c r="X334" s="11"/>
      <c r="Y334" s="4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40"/>
      <c r="CQ334" s="40"/>
      <c r="CR334" s="40"/>
      <c r="CS334" s="40"/>
      <c r="CT334" s="40"/>
      <c r="CU334" s="40"/>
      <c r="CV334" s="40"/>
      <c r="CW334" s="40"/>
      <c r="CX334" s="40"/>
      <c r="CY334" s="40"/>
      <c r="CZ334" s="40"/>
      <c r="DA334" s="11"/>
      <c r="DB334" s="11"/>
      <c r="DC334" s="11"/>
      <c r="DD334" s="11"/>
      <c r="DE334" s="11"/>
      <c r="DF334" s="11"/>
      <c r="DG334" s="11"/>
    </row>
    <row r="335" ht="15.75" customHeight="1">
      <c r="A335" s="41"/>
      <c r="B335" s="11"/>
      <c r="C335" s="11"/>
      <c r="D335" s="11"/>
      <c r="E335" s="11"/>
      <c r="F335" s="11"/>
      <c r="G335" s="11"/>
      <c r="H335" s="11"/>
      <c r="I335" s="41"/>
      <c r="J335" s="11"/>
      <c r="K335" s="11"/>
      <c r="L335" s="11"/>
      <c r="M335" s="11"/>
      <c r="N335" s="11"/>
      <c r="O335" s="11"/>
      <c r="P335" s="11"/>
      <c r="Q335" s="41"/>
      <c r="R335" s="11"/>
      <c r="S335" s="11"/>
      <c r="T335" s="11"/>
      <c r="U335" s="11"/>
      <c r="V335" s="11"/>
      <c r="W335" s="11"/>
      <c r="X335" s="11"/>
      <c r="Y335" s="4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40"/>
      <c r="CQ335" s="40"/>
      <c r="CR335" s="40"/>
      <c r="CS335" s="40"/>
      <c r="CT335" s="40"/>
      <c r="CU335" s="40"/>
      <c r="CV335" s="40"/>
      <c r="CW335" s="40"/>
      <c r="CX335" s="40"/>
      <c r="CY335" s="40"/>
      <c r="CZ335" s="40"/>
      <c r="DA335" s="11"/>
      <c r="DB335" s="11"/>
      <c r="DC335" s="11"/>
      <c r="DD335" s="11"/>
      <c r="DE335" s="11"/>
      <c r="DF335" s="11"/>
      <c r="DG335" s="11"/>
    </row>
    <row r="336" ht="15.75" customHeight="1">
      <c r="A336" s="41"/>
      <c r="B336" s="11"/>
      <c r="C336" s="11"/>
      <c r="D336" s="11"/>
      <c r="E336" s="11"/>
      <c r="F336" s="11"/>
      <c r="G336" s="11"/>
      <c r="H336" s="11"/>
      <c r="I336" s="41"/>
      <c r="J336" s="11"/>
      <c r="K336" s="11"/>
      <c r="L336" s="11"/>
      <c r="M336" s="11"/>
      <c r="N336" s="11"/>
      <c r="O336" s="11"/>
      <c r="P336" s="11"/>
      <c r="Q336" s="41"/>
      <c r="R336" s="11"/>
      <c r="S336" s="11"/>
      <c r="T336" s="11"/>
      <c r="U336" s="11"/>
      <c r="V336" s="11"/>
      <c r="W336" s="11"/>
      <c r="X336" s="11"/>
      <c r="Y336" s="4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40"/>
      <c r="CQ336" s="40"/>
      <c r="CR336" s="40"/>
      <c r="CS336" s="40"/>
      <c r="CT336" s="40"/>
      <c r="CU336" s="40"/>
      <c r="CV336" s="40"/>
      <c r="CW336" s="40"/>
      <c r="CX336" s="40"/>
      <c r="CY336" s="40"/>
      <c r="CZ336" s="40"/>
      <c r="DA336" s="11"/>
      <c r="DB336" s="11"/>
      <c r="DC336" s="11"/>
      <c r="DD336" s="11"/>
      <c r="DE336" s="11"/>
      <c r="DF336" s="11"/>
      <c r="DG336" s="11"/>
    </row>
    <row r="337" ht="15.75" customHeight="1">
      <c r="A337" s="41"/>
      <c r="B337" s="11"/>
      <c r="C337" s="11"/>
      <c r="D337" s="11"/>
      <c r="E337" s="11"/>
      <c r="F337" s="11"/>
      <c r="G337" s="11"/>
      <c r="H337" s="11"/>
      <c r="I337" s="41"/>
      <c r="J337" s="11"/>
      <c r="K337" s="11"/>
      <c r="L337" s="11"/>
      <c r="M337" s="11"/>
      <c r="N337" s="11"/>
      <c r="O337" s="11"/>
      <c r="P337" s="11"/>
      <c r="Q337" s="41"/>
      <c r="R337" s="11"/>
      <c r="S337" s="11"/>
      <c r="T337" s="11"/>
      <c r="U337" s="11"/>
      <c r="V337" s="11"/>
      <c r="W337" s="11"/>
      <c r="X337" s="11"/>
      <c r="Y337" s="4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40"/>
      <c r="CQ337" s="40"/>
      <c r="CR337" s="40"/>
      <c r="CS337" s="40"/>
      <c r="CT337" s="40"/>
      <c r="CU337" s="40"/>
      <c r="CV337" s="40"/>
      <c r="CW337" s="40"/>
      <c r="CX337" s="40"/>
      <c r="CY337" s="40"/>
      <c r="CZ337" s="40"/>
      <c r="DA337" s="11"/>
      <c r="DB337" s="11"/>
      <c r="DC337" s="11"/>
      <c r="DD337" s="11"/>
      <c r="DE337" s="11"/>
      <c r="DF337" s="11"/>
      <c r="DG337" s="11"/>
    </row>
    <row r="338" ht="15.75" customHeight="1">
      <c r="A338" s="41"/>
      <c r="B338" s="11"/>
      <c r="C338" s="11"/>
      <c r="D338" s="11"/>
      <c r="E338" s="11"/>
      <c r="F338" s="11"/>
      <c r="G338" s="11"/>
      <c r="H338" s="11"/>
      <c r="I338" s="41"/>
      <c r="J338" s="11"/>
      <c r="K338" s="11"/>
      <c r="L338" s="11"/>
      <c r="M338" s="11"/>
      <c r="N338" s="11"/>
      <c r="O338" s="11"/>
      <c r="P338" s="11"/>
      <c r="Q338" s="41"/>
      <c r="R338" s="11"/>
      <c r="S338" s="11"/>
      <c r="T338" s="11"/>
      <c r="U338" s="11"/>
      <c r="V338" s="11"/>
      <c r="W338" s="11"/>
      <c r="X338" s="11"/>
      <c r="Y338" s="4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40"/>
      <c r="CQ338" s="40"/>
      <c r="CR338" s="40"/>
      <c r="CS338" s="40"/>
      <c r="CT338" s="40"/>
      <c r="CU338" s="40"/>
      <c r="CV338" s="40"/>
      <c r="CW338" s="40"/>
      <c r="CX338" s="40"/>
      <c r="CY338" s="40"/>
      <c r="CZ338" s="40"/>
      <c r="DA338" s="11"/>
      <c r="DB338" s="11"/>
      <c r="DC338" s="11"/>
      <c r="DD338" s="11"/>
      <c r="DE338" s="11"/>
      <c r="DF338" s="11"/>
      <c r="DG338" s="11"/>
    </row>
    <row r="339" ht="15.75" customHeight="1">
      <c r="A339" s="41"/>
      <c r="B339" s="11"/>
      <c r="C339" s="11"/>
      <c r="D339" s="11"/>
      <c r="E339" s="11"/>
      <c r="F339" s="11"/>
      <c r="G339" s="11"/>
      <c r="H339" s="11"/>
      <c r="I339" s="41"/>
      <c r="J339" s="11"/>
      <c r="K339" s="11"/>
      <c r="L339" s="11"/>
      <c r="M339" s="11"/>
      <c r="N339" s="11"/>
      <c r="O339" s="11"/>
      <c r="P339" s="11"/>
      <c r="Q339" s="41"/>
      <c r="R339" s="11"/>
      <c r="S339" s="11"/>
      <c r="T339" s="11"/>
      <c r="U339" s="11"/>
      <c r="V339" s="11"/>
      <c r="W339" s="11"/>
      <c r="X339" s="11"/>
      <c r="Y339" s="4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40"/>
      <c r="CQ339" s="40"/>
      <c r="CR339" s="40"/>
      <c r="CS339" s="40"/>
      <c r="CT339" s="40"/>
      <c r="CU339" s="40"/>
      <c r="CV339" s="40"/>
      <c r="CW339" s="40"/>
      <c r="CX339" s="40"/>
      <c r="CY339" s="40"/>
      <c r="CZ339" s="40"/>
      <c r="DA339" s="11"/>
      <c r="DB339" s="11"/>
      <c r="DC339" s="11"/>
      <c r="DD339" s="11"/>
      <c r="DE339" s="11"/>
      <c r="DF339" s="11"/>
      <c r="DG339" s="11"/>
    </row>
    <row r="340" ht="15.75" customHeight="1">
      <c r="A340" s="41"/>
      <c r="B340" s="11"/>
      <c r="C340" s="11"/>
      <c r="D340" s="11"/>
      <c r="E340" s="11"/>
      <c r="F340" s="11"/>
      <c r="G340" s="11"/>
      <c r="H340" s="11"/>
      <c r="I340" s="41"/>
      <c r="J340" s="11"/>
      <c r="K340" s="11"/>
      <c r="L340" s="11"/>
      <c r="M340" s="11"/>
      <c r="N340" s="11"/>
      <c r="O340" s="11"/>
      <c r="P340" s="11"/>
      <c r="Q340" s="41"/>
      <c r="R340" s="11"/>
      <c r="S340" s="11"/>
      <c r="T340" s="11"/>
      <c r="U340" s="11"/>
      <c r="V340" s="11"/>
      <c r="W340" s="11"/>
      <c r="X340" s="11"/>
      <c r="Y340" s="4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40"/>
      <c r="CQ340" s="40"/>
      <c r="CR340" s="40"/>
      <c r="CS340" s="40"/>
      <c r="CT340" s="40"/>
      <c r="CU340" s="40"/>
      <c r="CV340" s="40"/>
      <c r="CW340" s="40"/>
      <c r="CX340" s="40"/>
      <c r="CY340" s="40"/>
      <c r="CZ340" s="40"/>
      <c r="DA340" s="11"/>
      <c r="DB340" s="11"/>
      <c r="DC340" s="11"/>
      <c r="DD340" s="11"/>
      <c r="DE340" s="11"/>
      <c r="DF340" s="11"/>
      <c r="DG340" s="11"/>
    </row>
    <row r="341" ht="15.75" customHeight="1">
      <c r="A341" s="41"/>
      <c r="B341" s="11"/>
      <c r="C341" s="11"/>
      <c r="D341" s="11"/>
      <c r="E341" s="11"/>
      <c r="F341" s="11"/>
      <c r="G341" s="11"/>
      <c r="H341" s="11"/>
      <c r="I341" s="41"/>
      <c r="J341" s="11"/>
      <c r="K341" s="11"/>
      <c r="L341" s="11"/>
      <c r="M341" s="11"/>
      <c r="N341" s="11"/>
      <c r="O341" s="11"/>
      <c r="P341" s="11"/>
      <c r="Q341" s="41"/>
      <c r="R341" s="11"/>
      <c r="S341" s="11"/>
      <c r="T341" s="11"/>
      <c r="U341" s="11"/>
      <c r="V341" s="11"/>
      <c r="W341" s="11"/>
      <c r="X341" s="11"/>
      <c r="Y341" s="4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40"/>
      <c r="CQ341" s="40"/>
      <c r="CR341" s="40"/>
      <c r="CS341" s="40"/>
      <c r="CT341" s="40"/>
      <c r="CU341" s="40"/>
      <c r="CV341" s="40"/>
      <c r="CW341" s="40"/>
      <c r="CX341" s="40"/>
      <c r="CY341" s="40"/>
      <c r="CZ341" s="40"/>
      <c r="DA341" s="11"/>
      <c r="DB341" s="11"/>
      <c r="DC341" s="11"/>
      <c r="DD341" s="11"/>
      <c r="DE341" s="11"/>
      <c r="DF341" s="11"/>
      <c r="DG341" s="11"/>
    </row>
    <row r="342" ht="15.75" customHeight="1">
      <c r="A342" s="41"/>
      <c r="B342" s="11"/>
      <c r="C342" s="11"/>
      <c r="D342" s="11"/>
      <c r="E342" s="11"/>
      <c r="F342" s="11"/>
      <c r="G342" s="11"/>
      <c r="H342" s="11"/>
      <c r="I342" s="41"/>
      <c r="J342" s="11"/>
      <c r="K342" s="11"/>
      <c r="L342" s="11"/>
      <c r="M342" s="11"/>
      <c r="N342" s="11"/>
      <c r="O342" s="11"/>
      <c r="P342" s="11"/>
      <c r="Q342" s="41"/>
      <c r="R342" s="11"/>
      <c r="S342" s="11"/>
      <c r="T342" s="11"/>
      <c r="U342" s="11"/>
      <c r="V342" s="11"/>
      <c r="W342" s="11"/>
      <c r="X342" s="11"/>
      <c r="Y342" s="4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40"/>
      <c r="CQ342" s="40"/>
      <c r="CR342" s="40"/>
      <c r="CS342" s="40"/>
      <c r="CT342" s="40"/>
      <c r="CU342" s="40"/>
      <c r="CV342" s="40"/>
      <c r="CW342" s="40"/>
      <c r="CX342" s="40"/>
      <c r="CY342" s="40"/>
      <c r="CZ342" s="40"/>
      <c r="DA342" s="11"/>
      <c r="DB342" s="11"/>
      <c r="DC342" s="11"/>
      <c r="DD342" s="11"/>
      <c r="DE342" s="11"/>
      <c r="DF342" s="11"/>
      <c r="DG342" s="11"/>
    </row>
    <row r="343" ht="15.75" customHeight="1">
      <c r="A343" s="41"/>
      <c r="B343" s="11"/>
      <c r="C343" s="11"/>
      <c r="D343" s="11"/>
      <c r="E343" s="11"/>
      <c r="F343" s="11"/>
      <c r="G343" s="11"/>
      <c r="H343" s="11"/>
      <c r="I343" s="41"/>
      <c r="J343" s="11"/>
      <c r="K343" s="11"/>
      <c r="L343" s="11"/>
      <c r="M343" s="11"/>
      <c r="N343" s="11"/>
      <c r="O343" s="11"/>
      <c r="P343" s="11"/>
      <c r="Q343" s="41"/>
      <c r="R343" s="11"/>
      <c r="S343" s="11"/>
      <c r="T343" s="11"/>
      <c r="U343" s="11"/>
      <c r="V343" s="11"/>
      <c r="W343" s="11"/>
      <c r="X343" s="11"/>
      <c r="Y343" s="4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40"/>
      <c r="CQ343" s="40"/>
      <c r="CR343" s="40"/>
      <c r="CS343" s="40"/>
      <c r="CT343" s="40"/>
      <c r="CU343" s="40"/>
      <c r="CV343" s="40"/>
      <c r="CW343" s="40"/>
      <c r="CX343" s="40"/>
      <c r="CY343" s="40"/>
      <c r="CZ343" s="40"/>
      <c r="DA343" s="11"/>
      <c r="DB343" s="11"/>
      <c r="DC343" s="11"/>
      <c r="DD343" s="11"/>
      <c r="DE343" s="11"/>
      <c r="DF343" s="11"/>
      <c r="DG343" s="11"/>
    </row>
    <row r="344" ht="15.75" customHeight="1">
      <c r="A344" s="41"/>
      <c r="B344" s="11"/>
      <c r="C344" s="11"/>
      <c r="D344" s="11"/>
      <c r="E344" s="11"/>
      <c r="F344" s="11"/>
      <c r="G344" s="11"/>
      <c r="H344" s="11"/>
      <c r="I344" s="41"/>
      <c r="J344" s="11"/>
      <c r="K344" s="11"/>
      <c r="L344" s="11"/>
      <c r="M344" s="11"/>
      <c r="N344" s="11"/>
      <c r="O344" s="11"/>
      <c r="P344" s="11"/>
      <c r="Q344" s="41"/>
      <c r="R344" s="11"/>
      <c r="S344" s="11"/>
      <c r="T344" s="11"/>
      <c r="U344" s="11"/>
      <c r="V344" s="11"/>
      <c r="W344" s="11"/>
      <c r="X344" s="11"/>
      <c r="Y344" s="4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40"/>
      <c r="CQ344" s="40"/>
      <c r="CR344" s="40"/>
      <c r="CS344" s="40"/>
      <c r="CT344" s="40"/>
      <c r="CU344" s="40"/>
      <c r="CV344" s="40"/>
      <c r="CW344" s="40"/>
      <c r="CX344" s="40"/>
      <c r="CY344" s="40"/>
      <c r="CZ344" s="40"/>
      <c r="DA344" s="11"/>
      <c r="DB344" s="11"/>
      <c r="DC344" s="11"/>
      <c r="DD344" s="11"/>
      <c r="DE344" s="11"/>
      <c r="DF344" s="11"/>
      <c r="DG344" s="11"/>
    </row>
    <row r="345" ht="15.75" customHeight="1">
      <c r="A345" s="41"/>
      <c r="B345" s="11"/>
      <c r="C345" s="11"/>
      <c r="D345" s="11"/>
      <c r="E345" s="11"/>
      <c r="F345" s="11"/>
      <c r="G345" s="11"/>
      <c r="H345" s="11"/>
      <c r="I345" s="41"/>
      <c r="J345" s="11"/>
      <c r="K345" s="11"/>
      <c r="L345" s="11"/>
      <c r="M345" s="11"/>
      <c r="N345" s="11"/>
      <c r="O345" s="11"/>
      <c r="P345" s="11"/>
      <c r="Q345" s="41"/>
      <c r="R345" s="11"/>
      <c r="S345" s="11"/>
      <c r="T345" s="11"/>
      <c r="U345" s="11"/>
      <c r="V345" s="11"/>
      <c r="W345" s="11"/>
      <c r="X345" s="11"/>
      <c r="Y345" s="4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40"/>
      <c r="CQ345" s="40"/>
      <c r="CR345" s="40"/>
      <c r="CS345" s="40"/>
      <c r="CT345" s="40"/>
      <c r="CU345" s="40"/>
      <c r="CV345" s="40"/>
      <c r="CW345" s="40"/>
      <c r="CX345" s="40"/>
      <c r="CY345" s="40"/>
      <c r="CZ345" s="40"/>
      <c r="DA345" s="11"/>
      <c r="DB345" s="11"/>
      <c r="DC345" s="11"/>
      <c r="DD345" s="11"/>
      <c r="DE345" s="11"/>
      <c r="DF345" s="11"/>
      <c r="DG345" s="11"/>
    </row>
    <row r="346" ht="15.75" customHeight="1">
      <c r="A346" s="41"/>
      <c r="B346" s="11"/>
      <c r="C346" s="11"/>
      <c r="D346" s="11"/>
      <c r="E346" s="11"/>
      <c r="F346" s="11"/>
      <c r="G346" s="11"/>
      <c r="H346" s="11"/>
      <c r="I346" s="41"/>
      <c r="J346" s="11"/>
      <c r="K346" s="11"/>
      <c r="L346" s="11"/>
      <c r="M346" s="11"/>
      <c r="N346" s="11"/>
      <c r="O346" s="11"/>
      <c r="P346" s="11"/>
      <c r="Q346" s="41"/>
      <c r="R346" s="11"/>
      <c r="S346" s="11"/>
      <c r="T346" s="11"/>
      <c r="U346" s="11"/>
      <c r="V346" s="11"/>
      <c r="W346" s="11"/>
      <c r="X346" s="11"/>
      <c r="Y346" s="4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40"/>
      <c r="CQ346" s="40"/>
      <c r="CR346" s="40"/>
      <c r="CS346" s="40"/>
      <c r="CT346" s="40"/>
      <c r="CU346" s="40"/>
      <c r="CV346" s="40"/>
      <c r="CW346" s="40"/>
      <c r="CX346" s="40"/>
      <c r="CY346" s="40"/>
      <c r="CZ346" s="40"/>
      <c r="DA346" s="11"/>
      <c r="DB346" s="11"/>
      <c r="DC346" s="11"/>
      <c r="DD346" s="11"/>
      <c r="DE346" s="11"/>
      <c r="DF346" s="11"/>
      <c r="DG346" s="11"/>
    </row>
    <row r="347" ht="15.75" customHeight="1">
      <c r="A347" s="41"/>
      <c r="B347" s="11"/>
      <c r="C347" s="11"/>
      <c r="D347" s="11"/>
      <c r="E347" s="11"/>
      <c r="F347" s="11"/>
      <c r="G347" s="11"/>
      <c r="H347" s="11"/>
      <c r="I347" s="41"/>
      <c r="J347" s="11"/>
      <c r="K347" s="11"/>
      <c r="L347" s="11"/>
      <c r="M347" s="11"/>
      <c r="N347" s="11"/>
      <c r="O347" s="11"/>
      <c r="P347" s="11"/>
      <c r="Q347" s="41"/>
      <c r="R347" s="11"/>
      <c r="S347" s="11"/>
      <c r="T347" s="11"/>
      <c r="U347" s="11"/>
      <c r="V347" s="11"/>
      <c r="W347" s="11"/>
      <c r="X347" s="11"/>
      <c r="Y347" s="4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40"/>
      <c r="CQ347" s="40"/>
      <c r="CR347" s="40"/>
      <c r="CS347" s="40"/>
      <c r="CT347" s="40"/>
      <c r="CU347" s="40"/>
      <c r="CV347" s="40"/>
      <c r="CW347" s="40"/>
      <c r="CX347" s="40"/>
      <c r="CY347" s="40"/>
      <c r="CZ347" s="40"/>
      <c r="DA347" s="11"/>
      <c r="DB347" s="11"/>
      <c r="DC347" s="11"/>
      <c r="DD347" s="11"/>
      <c r="DE347" s="11"/>
      <c r="DF347" s="11"/>
      <c r="DG347" s="11"/>
    </row>
    <row r="348" ht="15.75" customHeight="1">
      <c r="A348" s="41"/>
      <c r="B348" s="11"/>
      <c r="C348" s="11"/>
      <c r="D348" s="11"/>
      <c r="E348" s="11"/>
      <c r="F348" s="11"/>
      <c r="G348" s="11"/>
      <c r="H348" s="11"/>
      <c r="I348" s="41"/>
      <c r="J348" s="11"/>
      <c r="K348" s="11"/>
      <c r="L348" s="11"/>
      <c r="M348" s="11"/>
      <c r="N348" s="11"/>
      <c r="O348" s="11"/>
      <c r="P348" s="11"/>
      <c r="Q348" s="41"/>
      <c r="R348" s="11"/>
      <c r="S348" s="11"/>
      <c r="T348" s="11"/>
      <c r="U348" s="11"/>
      <c r="V348" s="11"/>
      <c r="W348" s="11"/>
      <c r="X348" s="11"/>
      <c r="Y348" s="4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40"/>
      <c r="CQ348" s="40"/>
      <c r="CR348" s="40"/>
      <c r="CS348" s="40"/>
      <c r="CT348" s="40"/>
      <c r="CU348" s="40"/>
      <c r="CV348" s="40"/>
      <c r="CW348" s="40"/>
      <c r="CX348" s="40"/>
      <c r="CY348" s="40"/>
      <c r="CZ348" s="40"/>
      <c r="DA348" s="11"/>
      <c r="DB348" s="11"/>
      <c r="DC348" s="11"/>
      <c r="DD348" s="11"/>
      <c r="DE348" s="11"/>
      <c r="DF348" s="11"/>
      <c r="DG348" s="11"/>
    </row>
    <row r="349" ht="15.75" customHeight="1">
      <c r="A349" s="41"/>
      <c r="B349" s="11"/>
      <c r="C349" s="11"/>
      <c r="D349" s="11"/>
      <c r="E349" s="11"/>
      <c r="F349" s="11"/>
      <c r="G349" s="11"/>
      <c r="H349" s="11"/>
      <c r="I349" s="41"/>
      <c r="J349" s="11"/>
      <c r="K349" s="11"/>
      <c r="L349" s="11"/>
      <c r="M349" s="11"/>
      <c r="N349" s="11"/>
      <c r="O349" s="11"/>
      <c r="P349" s="11"/>
      <c r="Q349" s="41"/>
      <c r="R349" s="11"/>
      <c r="S349" s="11"/>
      <c r="T349" s="11"/>
      <c r="U349" s="11"/>
      <c r="V349" s="11"/>
      <c r="W349" s="11"/>
      <c r="X349" s="11"/>
      <c r="Y349" s="4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40"/>
      <c r="CQ349" s="40"/>
      <c r="CR349" s="40"/>
      <c r="CS349" s="40"/>
      <c r="CT349" s="40"/>
      <c r="CU349" s="40"/>
      <c r="CV349" s="40"/>
      <c r="CW349" s="40"/>
      <c r="CX349" s="40"/>
      <c r="CY349" s="40"/>
      <c r="CZ349" s="40"/>
      <c r="DA349" s="11"/>
      <c r="DB349" s="11"/>
      <c r="DC349" s="11"/>
      <c r="DD349" s="11"/>
      <c r="DE349" s="11"/>
      <c r="DF349" s="11"/>
      <c r="DG349" s="11"/>
    </row>
    <row r="350" ht="15.75" customHeight="1">
      <c r="A350" s="41"/>
      <c r="B350" s="11"/>
      <c r="C350" s="11"/>
      <c r="D350" s="11"/>
      <c r="E350" s="11"/>
      <c r="F350" s="11"/>
      <c r="G350" s="11"/>
      <c r="H350" s="11"/>
      <c r="I350" s="41"/>
      <c r="J350" s="11"/>
      <c r="K350" s="11"/>
      <c r="L350" s="11"/>
      <c r="M350" s="11"/>
      <c r="N350" s="11"/>
      <c r="O350" s="11"/>
      <c r="P350" s="11"/>
      <c r="Q350" s="41"/>
      <c r="R350" s="11"/>
      <c r="S350" s="11"/>
      <c r="T350" s="11"/>
      <c r="U350" s="11"/>
      <c r="V350" s="11"/>
      <c r="W350" s="11"/>
      <c r="X350" s="11"/>
      <c r="Y350" s="4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40"/>
      <c r="CQ350" s="40"/>
      <c r="CR350" s="40"/>
      <c r="CS350" s="40"/>
      <c r="CT350" s="40"/>
      <c r="CU350" s="40"/>
      <c r="CV350" s="40"/>
      <c r="CW350" s="40"/>
      <c r="CX350" s="40"/>
      <c r="CY350" s="40"/>
      <c r="CZ350" s="40"/>
      <c r="DA350" s="11"/>
      <c r="DB350" s="11"/>
      <c r="DC350" s="11"/>
      <c r="DD350" s="11"/>
      <c r="DE350" s="11"/>
      <c r="DF350" s="11"/>
      <c r="DG350" s="11"/>
    </row>
    <row r="351" ht="15.75" customHeight="1">
      <c r="A351" s="41"/>
      <c r="B351" s="11"/>
      <c r="C351" s="11"/>
      <c r="D351" s="11"/>
      <c r="E351" s="11"/>
      <c r="F351" s="11"/>
      <c r="G351" s="11"/>
      <c r="H351" s="11"/>
      <c r="I351" s="41"/>
      <c r="J351" s="11"/>
      <c r="K351" s="11"/>
      <c r="L351" s="11"/>
      <c r="M351" s="11"/>
      <c r="N351" s="11"/>
      <c r="O351" s="11"/>
      <c r="P351" s="11"/>
      <c r="Q351" s="41"/>
      <c r="R351" s="11"/>
      <c r="S351" s="11"/>
      <c r="T351" s="11"/>
      <c r="U351" s="11"/>
      <c r="V351" s="11"/>
      <c r="W351" s="11"/>
      <c r="X351" s="11"/>
      <c r="Y351" s="4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40"/>
      <c r="CQ351" s="40"/>
      <c r="CR351" s="40"/>
      <c r="CS351" s="40"/>
      <c r="CT351" s="40"/>
      <c r="CU351" s="40"/>
      <c r="CV351" s="40"/>
      <c r="CW351" s="40"/>
      <c r="CX351" s="40"/>
      <c r="CY351" s="40"/>
      <c r="CZ351" s="40"/>
      <c r="DA351" s="11"/>
      <c r="DB351" s="11"/>
      <c r="DC351" s="11"/>
      <c r="DD351" s="11"/>
      <c r="DE351" s="11"/>
      <c r="DF351" s="11"/>
      <c r="DG351" s="11"/>
    </row>
    <row r="352" ht="15.75" customHeight="1">
      <c r="A352" s="41"/>
      <c r="B352" s="11"/>
      <c r="C352" s="11"/>
      <c r="D352" s="11"/>
      <c r="E352" s="11"/>
      <c r="F352" s="11"/>
      <c r="G352" s="11"/>
      <c r="H352" s="11"/>
      <c r="I352" s="41"/>
      <c r="J352" s="11"/>
      <c r="K352" s="11"/>
      <c r="L352" s="11"/>
      <c r="M352" s="11"/>
      <c r="N352" s="11"/>
      <c r="O352" s="11"/>
      <c r="P352" s="11"/>
      <c r="Q352" s="41"/>
      <c r="R352" s="11"/>
      <c r="S352" s="11"/>
      <c r="T352" s="11"/>
      <c r="U352" s="11"/>
      <c r="V352" s="11"/>
      <c r="W352" s="11"/>
      <c r="X352" s="11"/>
      <c r="Y352" s="4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40"/>
      <c r="CQ352" s="40"/>
      <c r="CR352" s="40"/>
      <c r="CS352" s="40"/>
      <c r="CT352" s="40"/>
      <c r="CU352" s="40"/>
      <c r="CV352" s="40"/>
      <c r="CW352" s="40"/>
      <c r="CX352" s="40"/>
      <c r="CY352" s="40"/>
      <c r="CZ352" s="40"/>
      <c r="DA352" s="11"/>
      <c r="DB352" s="11"/>
      <c r="DC352" s="11"/>
      <c r="DD352" s="11"/>
      <c r="DE352" s="11"/>
      <c r="DF352" s="11"/>
      <c r="DG352" s="11"/>
    </row>
    <row r="353" ht="15.75" customHeight="1">
      <c r="A353" s="41"/>
      <c r="B353" s="11"/>
      <c r="C353" s="11"/>
      <c r="D353" s="11"/>
      <c r="E353" s="11"/>
      <c r="F353" s="11"/>
      <c r="G353" s="11"/>
      <c r="H353" s="11"/>
      <c r="I353" s="41"/>
      <c r="J353" s="11"/>
      <c r="K353" s="11"/>
      <c r="L353" s="11"/>
      <c r="M353" s="11"/>
      <c r="N353" s="11"/>
      <c r="O353" s="11"/>
      <c r="P353" s="11"/>
      <c r="Q353" s="41"/>
      <c r="R353" s="11"/>
      <c r="S353" s="11"/>
      <c r="T353" s="11"/>
      <c r="U353" s="11"/>
      <c r="V353" s="11"/>
      <c r="W353" s="11"/>
      <c r="X353" s="11"/>
      <c r="Y353" s="4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40"/>
      <c r="CQ353" s="40"/>
      <c r="CR353" s="40"/>
      <c r="CS353" s="40"/>
      <c r="CT353" s="40"/>
      <c r="CU353" s="40"/>
      <c r="CV353" s="40"/>
      <c r="CW353" s="40"/>
      <c r="CX353" s="40"/>
      <c r="CY353" s="40"/>
      <c r="CZ353" s="40"/>
      <c r="DA353" s="11"/>
      <c r="DB353" s="11"/>
      <c r="DC353" s="11"/>
      <c r="DD353" s="11"/>
      <c r="DE353" s="11"/>
      <c r="DF353" s="11"/>
      <c r="DG353" s="11"/>
    </row>
    <row r="354" ht="15.75" customHeight="1">
      <c r="A354" s="41"/>
      <c r="B354" s="11"/>
      <c r="C354" s="11"/>
      <c r="D354" s="11"/>
      <c r="E354" s="11"/>
      <c r="F354" s="11"/>
      <c r="G354" s="11"/>
      <c r="H354" s="11"/>
      <c r="I354" s="41"/>
      <c r="J354" s="11"/>
      <c r="K354" s="11"/>
      <c r="L354" s="11"/>
      <c r="M354" s="11"/>
      <c r="N354" s="11"/>
      <c r="O354" s="11"/>
      <c r="P354" s="11"/>
      <c r="Q354" s="41"/>
      <c r="R354" s="11"/>
      <c r="S354" s="11"/>
      <c r="T354" s="11"/>
      <c r="U354" s="11"/>
      <c r="V354" s="11"/>
      <c r="W354" s="11"/>
      <c r="X354" s="11"/>
      <c r="Y354" s="4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40"/>
      <c r="CQ354" s="40"/>
      <c r="CR354" s="40"/>
      <c r="CS354" s="40"/>
      <c r="CT354" s="40"/>
      <c r="CU354" s="40"/>
      <c r="CV354" s="40"/>
      <c r="CW354" s="40"/>
      <c r="CX354" s="40"/>
      <c r="CY354" s="40"/>
      <c r="CZ354" s="40"/>
      <c r="DA354" s="11"/>
      <c r="DB354" s="11"/>
      <c r="DC354" s="11"/>
      <c r="DD354" s="11"/>
      <c r="DE354" s="11"/>
      <c r="DF354" s="11"/>
      <c r="DG354" s="11"/>
    </row>
    <row r="355" ht="15.75" customHeight="1">
      <c r="A355" s="41"/>
      <c r="B355" s="11"/>
      <c r="C355" s="11"/>
      <c r="D355" s="11"/>
      <c r="E355" s="11"/>
      <c r="F355" s="11"/>
      <c r="G355" s="11"/>
      <c r="H355" s="11"/>
      <c r="I355" s="41"/>
      <c r="J355" s="11"/>
      <c r="K355" s="11"/>
      <c r="L355" s="11"/>
      <c r="M355" s="11"/>
      <c r="N355" s="11"/>
      <c r="O355" s="11"/>
      <c r="P355" s="11"/>
      <c r="Q355" s="41"/>
      <c r="R355" s="11"/>
      <c r="S355" s="11"/>
      <c r="T355" s="11"/>
      <c r="U355" s="11"/>
      <c r="V355" s="11"/>
      <c r="W355" s="11"/>
      <c r="X355" s="11"/>
      <c r="Y355" s="4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40"/>
      <c r="CQ355" s="40"/>
      <c r="CR355" s="40"/>
      <c r="CS355" s="40"/>
      <c r="CT355" s="40"/>
      <c r="CU355" s="40"/>
      <c r="CV355" s="40"/>
      <c r="CW355" s="40"/>
      <c r="CX355" s="40"/>
      <c r="CY355" s="40"/>
      <c r="CZ355" s="40"/>
      <c r="DA355" s="11"/>
      <c r="DB355" s="11"/>
      <c r="DC355" s="11"/>
      <c r="DD355" s="11"/>
      <c r="DE355" s="11"/>
      <c r="DF355" s="11"/>
      <c r="DG355" s="11"/>
    </row>
    <row r="356" ht="15.75" customHeight="1">
      <c r="A356" s="41"/>
      <c r="B356" s="11"/>
      <c r="C356" s="11"/>
      <c r="D356" s="11"/>
      <c r="E356" s="11"/>
      <c r="F356" s="11"/>
      <c r="G356" s="11"/>
      <c r="H356" s="11"/>
      <c r="I356" s="41"/>
      <c r="J356" s="11"/>
      <c r="K356" s="11"/>
      <c r="L356" s="11"/>
      <c r="M356" s="11"/>
      <c r="N356" s="11"/>
      <c r="O356" s="11"/>
      <c r="P356" s="11"/>
      <c r="Q356" s="41"/>
      <c r="R356" s="11"/>
      <c r="S356" s="11"/>
      <c r="T356" s="11"/>
      <c r="U356" s="11"/>
      <c r="V356" s="11"/>
      <c r="W356" s="11"/>
      <c r="X356" s="11"/>
      <c r="Y356" s="4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40"/>
      <c r="CQ356" s="40"/>
      <c r="CR356" s="40"/>
      <c r="CS356" s="40"/>
      <c r="CT356" s="40"/>
      <c r="CU356" s="40"/>
      <c r="CV356" s="40"/>
      <c r="CW356" s="40"/>
      <c r="CX356" s="40"/>
      <c r="CY356" s="40"/>
      <c r="CZ356" s="40"/>
      <c r="DA356" s="11"/>
      <c r="DB356" s="11"/>
      <c r="DC356" s="11"/>
      <c r="DD356" s="11"/>
      <c r="DE356" s="11"/>
      <c r="DF356" s="11"/>
      <c r="DG356" s="11"/>
    </row>
    <row r="357" ht="15.75" customHeight="1">
      <c r="A357" s="41"/>
      <c r="B357" s="11"/>
      <c r="C357" s="11"/>
      <c r="D357" s="11"/>
      <c r="E357" s="11"/>
      <c r="F357" s="11"/>
      <c r="G357" s="11"/>
      <c r="H357" s="11"/>
      <c r="I357" s="41"/>
      <c r="J357" s="11"/>
      <c r="K357" s="11"/>
      <c r="L357" s="11"/>
      <c r="M357" s="11"/>
      <c r="N357" s="11"/>
      <c r="O357" s="11"/>
      <c r="P357" s="11"/>
      <c r="Q357" s="41"/>
      <c r="R357" s="11"/>
      <c r="S357" s="11"/>
      <c r="T357" s="11"/>
      <c r="U357" s="11"/>
      <c r="V357" s="11"/>
      <c r="W357" s="11"/>
      <c r="X357" s="11"/>
      <c r="Y357" s="4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40"/>
      <c r="CQ357" s="40"/>
      <c r="CR357" s="40"/>
      <c r="CS357" s="40"/>
      <c r="CT357" s="40"/>
      <c r="CU357" s="40"/>
      <c r="CV357" s="40"/>
      <c r="CW357" s="40"/>
      <c r="CX357" s="40"/>
      <c r="CY357" s="40"/>
      <c r="CZ357" s="40"/>
      <c r="DA357" s="11"/>
      <c r="DB357" s="11"/>
      <c r="DC357" s="11"/>
      <c r="DD357" s="11"/>
      <c r="DE357" s="11"/>
      <c r="DF357" s="11"/>
      <c r="DG357" s="11"/>
    </row>
    <row r="358" ht="15.75" customHeight="1">
      <c r="A358" s="41"/>
      <c r="B358" s="11"/>
      <c r="C358" s="11"/>
      <c r="D358" s="11"/>
      <c r="E358" s="11"/>
      <c r="F358" s="11"/>
      <c r="G358" s="11"/>
      <c r="H358" s="11"/>
      <c r="I358" s="41"/>
      <c r="J358" s="11"/>
      <c r="K358" s="11"/>
      <c r="L358" s="11"/>
      <c r="M358" s="11"/>
      <c r="N358" s="11"/>
      <c r="O358" s="11"/>
      <c r="P358" s="11"/>
      <c r="Q358" s="41"/>
      <c r="R358" s="11"/>
      <c r="S358" s="11"/>
      <c r="T358" s="11"/>
      <c r="U358" s="11"/>
      <c r="V358" s="11"/>
      <c r="W358" s="11"/>
      <c r="X358" s="11"/>
      <c r="Y358" s="4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40"/>
      <c r="CQ358" s="40"/>
      <c r="CR358" s="40"/>
      <c r="CS358" s="40"/>
      <c r="CT358" s="40"/>
      <c r="CU358" s="40"/>
      <c r="CV358" s="40"/>
      <c r="CW358" s="40"/>
      <c r="CX358" s="40"/>
      <c r="CY358" s="40"/>
      <c r="CZ358" s="40"/>
      <c r="DA358" s="11"/>
      <c r="DB358" s="11"/>
      <c r="DC358" s="11"/>
      <c r="DD358" s="11"/>
      <c r="DE358" s="11"/>
      <c r="DF358" s="11"/>
      <c r="DG358" s="11"/>
    </row>
    <row r="359" ht="15.75" customHeight="1">
      <c r="A359" s="41"/>
      <c r="B359" s="11"/>
      <c r="C359" s="11"/>
      <c r="D359" s="11"/>
      <c r="E359" s="11"/>
      <c r="F359" s="11"/>
      <c r="G359" s="11"/>
      <c r="H359" s="11"/>
      <c r="I359" s="41"/>
      <c r="J359" s="11"/>
      <c r="K359" s="11"/>
      <c r="L359" s="11"/>
      <c r="M359" s="11"/>
      <c r="N359" s="11"/>
      <c r="O359" s="11"/>
      <c r="P359" s="11"/>
      <c r="Q359" s="41"/>
      <c r="R359" s="11"/>
      <c r="S359" s="11"/>
      <c r="T359" s="11"/>
      <c r="U359" s="11"/>
      <c r="V359" s="11"/>
      <c r="W359" s="11"/>
      <c r="X359" s="11"/>
      <c r="Y359" s="4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40"/>
      <c r="CQ359" s="40"/>
      <c r="CR359" s="40"/>
      <c r="CS359" s="40"/>
      <c r="CT359" s="40"/>
      <c r="CU359" s="40"/>
      <c r="CV359" s="40"/>
      <c r="CW359" s="40"/>
      <c r="CX359" s="40"/>
      <c r="CY359" s="40"/>
      <c r="CZ359" s="40"/>
      <c r="DA359" s="11"/>
      <c r="DB359" s="11"/>
      <c r="DC359" s="11"/>
      <c r="DD359" s="11"/>
      <c r="DE359" s="11"/>
      <c r="DF359" s="11"/>
      <c r="DG359" s="11"/>
    </row>
    <row r="360" ht="15.75" customHeight="1">
      <c r="A360" s="41"/>
      <c r="B360" s="11"/>
      <c r="C360" s="11"/>
      <c r="D360" s="11"/>
      <c r="E360" s="11"/>
      <c r="F360" s="11"/>
      <c r="G360" s="11"/>
      <c r="H360" s="11"/>
      <c r="I360" s="41"/>
      <c r="J360" s="11"/>
      <c r="K360" s="11"/>
      <c r="L360" s="11"/>
      <c r="M360" s="11"/>
      <c r="N360" s="11"/>
      <c r="O360" s="11"/>
      <c r="P360" s="11"/>
      <c r="Q360" s="41"/>
      <c r="R360" s="11"/>
      <c r="S360" s="11"/>
      <c r="T360" s="11"/>
      <c r="U360" s="11"/>
      <c r="V360" s="11"/>
      <c r="W360" s="11"/>
      <c r="X360" s="11"/>
      <c r="Y360" s="4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40"/>
      <c r="CQ360" s="40"/>
      <c r="CR360" s="40"/>
      <c r="CS360" s="40"/>
      <c r="CT360" s="40"/>
      <c r="CU360" s="40"/>
      <c r="CV360" s="40"/>
      <c r="CW360" s="40"/>
      <c r="CX360" s="40"/>
      <c r="CY360" s="40"/>
      <c r="CZ360" s="40"/>
      <c r="DA360" s="11"/>
      <c r="DB360" s="11"/>
      <c r="DC360" s="11"/>
      <c r="DD360" s="11"/>
      <c r="DE360" s="11"/>
      <c r="DF360" s="11"/>
      <c r="DG360" s="11"/>
    </row>
    <row r="361" ht="15.75" customHeight="1">
      <c r="A361" s="41"/>
      <c r="B361" s="11"/>
      <c r="C361" s="11"/>
      <c r="D361" s="11"/>
      <c r="E361" s="11"/>
      <c r="F361" s="11"/>
      <c r="G361" s="11"/>
      <c r="H361" s="11"/>
      <c r="I361" s="41"/>
      <c r="J361" s="11"/>
      <c r="K361" s="11"/>
      <c r="L361" s="11"/>
      <c r="M361" s="11"/>
      <c r="N361" s="11"/>
      <c r="O361" s="11"/>
      <c r="P361" s="11"/>
      <c r="Q361" s="41"/>
      <c r="R361" s="11"/>
      <c r="S361" s="11"/>
      <c r="T361" s="11"/>
      <c r="U361" s="11"/>
      <c r="V361" s="11"/>
      <c r="W361" s="11"/>
      <c r="X361" s="11"/>
      <c r="Y361" s="4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40"/>
      <c r="CQ361" s="40"/>
      <c r="CR361" s="40"/>
      <c r="CS361" s="40"/>
      <c r="CT361" s="40"/>
      <c r="CU361" s="40"/>
      <c r="CV361" s="40"/>
      <c r="CW361" s="40"/>
      <c r="CX361" s="40"/>
      <c r="CY361" s="40"/>
      <c r="CZ361" s="40"/>
      <c r="DA361" s="11"/>
      <c r="DB361" s="11"/>
      <c r="DC361" s="11"/>
      <c r="DD361" s="11"/>
      <c r="DE361" s="11"/>
      <c r="DF361" s="11"/>
      <c r="DG361" s="11"/>
    </row>
    <row r="362" ht="15.75" customHeight="1">
      <c r="A362" s="41"/>
      <c r="B362" s="11"/>
      <c r="C362" s="11"/>
      <c r="D362" s="11"/>
      <c r="E362" s="11"/>
      <c r="F362" s="11"/>
      <c r="G362" s="11"/>
      <c r="H362" s="11"/>
      <c r="I362" s="41"/>
      <c r="J362" s="11"/>
      <c r="K362" s="11"/>
      <c r="L362" s="11"/>
      <c r="M362" s="11"/>
      <c r="N362" s="11"/>
      <c r="O362" s="11"/>
      <c r="P362" s="11"/>
      <c r="Q362" s="41"/>
      <c r="R362" s="11"/>
      <c r="S362" s="11"/>
      <c r="T362" s="11"/>
      <c r="U362" s="11"/>
      <c r="V362" s="11"/>
      <c r="W362" s="11"/>
      <c r="X362" s="11"/>
      <c r="Y362" s="4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40"/>
      <c r="CQ362" s="40"/>
      <c r="CR362" s="40"/>
      <c r="CS362" s="40"/>
      <c r="CT362" s="40"/>
      <c r="CU362" s="40"/>
      <c r="CV362" s="40"/>
      <c r="CW362" s="40"/>
      <c r="CX362" s="40"/>
      <c r="CY362" s="40"/>
      <c r="CZ362" s="40"/>
      <c r="DA362" s="11"/>
      <c r="DB362" s="11"/>
      <c r="DC362" s="11"/>
      <c r="DD362" s="11"/>
      <c r="DE362" s="11"/>
      <c r="DF362" s="11"/>
      <c r="DG362" s="11"/>
    </row>
    <row r="363" ht="15.75" customHeight="1">
      <c r="A363" s="41"/>
      <c r="B363" s="11"/>
      <c r="C363" s="11"/>
      <c r="D363" s="11"/>
      <c r="E363" s="11"/>
      <c r="F363" s="11"/>
      <c r="G363" s="11"/>
      <c r="H363" s="11"/>
      <c r="I363" s="41"/>
      <c r="J363" s="11"/>
      <c r="K363" s="11"/>
      <c r="L363" s="11"/>
      <c r="M363" s="11"/>
      <c r="N363" s="11"/>
      <c r="O363" s="11"/>
      <c r="P363" s="11"/>
      <c r="Q363" s="41"/>
      <c r="R363" s="11"/>
      <c r="S363" s="11"/>
      <c r="T363" s="11"/>
      <c r="U363" s="11"/>
      <c r="V363" s="11"/>
      <c r="W363" s="11"/>
      <c r="X363" s="11"/>
      <c r="Y363" s="4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40"/>
      <c r="CQ363" s="40"/>
      <c r="CR363" s="40"/>
      <c r="CS363" s="40"/>
      <c r="CT363" s="40"/>
      <c r="CU363" s="40"/>
      <c r="CV363" s="40"/>
      <c r="CW363" s="40"/>
      <c r="CX363" s="40"/>
      <c r="CY363" s="40"/>
      <c r="CZ363" s="40"/>
      <c r="DA363" s="11"/>
      <c r="DB363" s="11"/>
      <c r="DC363" s="11"/>
      <c r="DD363" s="11"/>
      <c r="DE363" s="11"/>
      <c r="DF363" s="11"/>
      <c r="DG363" s="11"/>
    </row>
    <row r="364" ht="15.75" customHeight="1">
      <c r="A364" s="41"/>
      <c r="B364" s="11"/>
      <c r="C364" s="11"/>
      <c r="D364" s="11"/>
      <c r="E364" s="11"/>
      <c r="F364" s="11"/>
      <c r="G364" s="11"/>
      <c r="H364" s="11"/>
      <c r="I364" s="41"/>
      <c r="J364" s="11"/>
      <c r="K364" s="11"/>
      <c r="L364" s="11"/>
      <c r="M364" s="11"/>
      <c r="N364" s="11"/>
      <c r="O364" s="11"/>
      <c r="P364" s="11"/>
      <c r="Q364" s="41"/>
      <c r="R364" s="11"/>
      <c r="S364" s="11"/>
      <c r="T364" s="11"/>
      <c r="U364" s="11"/>
      <c r="V364" s="11"/>
      <c r="W364" s="11"/>
      <c r="X364" s="11"/>
      <c r="Y364" s="4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40"/>
      <c r="CQ364" s="40"/>
      <c r="CR364" s="40"/>
      <c r="CS364" s="40"/>
      <c r="CT364" s="40"/>
      <c r="CU364" s="40"/>
      <c r="CV364" s="40"/>
      <c r="CW364" s="40"/>
      <c r="CX364" s="40"/>
      <c r="CY364" s="40"/>
      <c r="CZ364" s="40"/>
      <c r="DA364" s="11"/>
      <c r="DB364" s="11"/>
      <c r="DC364" s="11"/>
      <c r="DD364" s="11"/>
      <c r="DE364" s="11"/>
      <c r="DF364" s="11"/>
      <c r="DG364" s="11"/>
    </row>
    <row r="365" ht="15.75" customHeight="1">
      <c r="A365" s="41"/>
      <c r="B365" s="11"/>
      <c r="C365" s="11"/>
      <c r="D365" s="11"/>
      <c r="E365" s="11"/>
      <c r="F365" s="11"/>
      <c r="G365" s="11"/>
      <c r="H365" s="11"/>
      <c r="I365" s="41"/>
      <c r="J365" s="11"/>
      <c r="K365" s="11"/>
      <c r="L365" s="11"/>
      <c r="M365" s="11"/>
      <c r="N365" s="11"/>
      <c r="O365" s="11"/>
      <c r="P365" s="11"/>
      <c r="Q365" s="41"/>
      <c r="R365" s="11"/>
      <c r="S365" s="11"/>
      <c r="T365" s="11"/>
      <c r="U365" s="11"/>
      <c r="V365" s="11"/>
      <c r="W365" s="11"/>
      <c r="X365" s="11"/>
      <c r="Y365" s="4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40"/>
      <c r="CQ365" s="40"/>
      <c r="CR365" s="40"/>
      <c r="CS365" s="40"/>
      <c r="CT365" s="40"/>
      <c r="CU365" s="40"/>
      <c r="CV365" s="40"/>
      <c r="CW365" s="40"/>
      <c r="CX365" s="40"/>
      <c r="CY365" s="40"/>
      <c r="CZ365" s="40"/>
      <c r="DA365" s="11"/>
      <c r="DB365" s="11"/>
      <c r="DC365" s="11"/>
      <c r="DD365" s="11"/>
      <c r="DE365" s="11"/>
      <c r="DF365" s="11"/>
      <c r="DG365" s="11"/>
    </row>
    <row r="366" ht="15.75" customHeight="1">
      <c r="A366" s="41"/>
      <c r="B366" s="11"/>
      <c r="C366" s="11"/>
      <c r="D366" s="11"/>
      <c r="E366" s="11"/>
      <c r="F366" s="11"/>
      <c r="G366" s="11"/>
      <c r="H366" s="11"/>
      <c r="I366" s="41"/>
      <c r="J366" s="11"/>
      <c r="K366" s="11"/>
      <c r="L366" s="11"/>
      <c r="M366" s="11"/>
      <c r="N366" s="11"/>
      <c r="O366" s="11"/>
      <c r="P366" s="11"/>
      <c r="Q366" s="41"/>
      <c r="R366" s="11"/>
      <c r="S366" s="11"/>
      <c r="T366" s="11"/>
      <c r="U366" s="11"/>
      <c r="V366" s="11"/>
      <c r="W366" s="11"/>
      <c r="X366" s="11"/>
      <c r="Y366" s="4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40"/>
      <c r="CQ366" s="40"/>
      <c r="CR366" s="40"/>
      <c r="CS366" s="40"/>
      <c r="CT366" s="40"/>
      <c r="CU366" s="40"/>
      <c r="CV366" s="40"/>
      <c r="CW366" s="40"/>
      <c r="CX366" s="40"/>
      <c r="CY366" s="40"/>
      <c r="CZ366" s="40"/>
      <c r="DA366" s="11"/>
      <c r="DB366" s="11"/>
      <c r="DC366" s="11"/>
      <c r="DD366" s="11"/>
      <c r="DE366" s="11"/>
      <c r="DF366" s="11"/>
      <c r="DG366" s="11"/>
    </row>
    <row r="367" ht="15.75" customHeight="1">
      <c r="A367" s="41"/>
      <c r="B367" s="11"/>
      <c r="C367" s="11"/>
      <c r="D367" s="11"/>
      <c r="E367" s="11"/>
      <c r="F367" s="11"/>
      <c r="G367" s="11"/>
      <c r="H367" s="11"/>
      <c r="I367" s="41"/>
      <c r="J367" s="11"/>
      <c r="K367" s="11"/>
      <c r="L367" s="11"/>
      <c r="M367" s="11"/>
      <c r="N367" s="11"/>
      <c r="O367" s="11"/>
      <c r="P367" s="11"/>
      <c r="Q367" s="41"/>
      <c r="R367" s="11"/>
      <c r="S367" s="11"/>
      <c r="T367" s="11"/>
      <c r="U367" s="11"/>
      <c r="V367" s="11"/>
      <c r="W367" s="11"/>
      <c r="X367" s="11"/>
      <c r="Y367" s="4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40"/>
      <c r="CQ367" s="40"/>
      <c r="CR367" s="40"/>
      <c r="CS367" s="40"/>
      <c r="CT367" s="40"/>
      <c r="CU367" s="40"/>
      <c r="CV367" s="40"/>
      <c r="CW367" s="40"/>
      <c r="CX367" s="40"/>
      <c r="CY367" s="40"/>
      <c r="CZ367" s="40"/>
      <c r="DA367" s="11"/>
      <c r="DB367" s="11"/>
      <c r="DC367" s="11"/>
      <c r="DD367" s="11"/>
      <c r="DE367" s="11"/>
      <c r="DF367" s="11"/>
      <c r="DG367" s="11"/>
    </row>
    <row r="368" ht="15.75" customHeight="1">
      <c r="A368" s="41"/>
      <c r="B368" s="11"/>
      <c r="C368" s="11"/>
      <c r="D368" s="11"/>
      <c r="E368" s="11"/>
      <c r="F368" s="11"/>
      <c r="G368" s="11"/>
      <c r="H368" s="11"/>
      <c r="I368" s="41"/>
      <c r="J368" s="11"/>
      <c r="K368" s="11"/>
      <c r="L368" s="11"/>
      <c r="M368" s="11"/>
      <c r="N368" s="11"/>
      <c r="O368" s="11"/>
      <c r="P368" s="11"/>
      <c r="Q368" s="41"/>
      <c r="R368" s="11"/>
      <c r="S368" s="11"/>
      <c r="T368" s="11"/>
      <c r="U368" s="11"/>
      <c r="V368" s="11"/>
      <c r="W368" s="11"/>
      <c r="X368" s="11"/>
      <c r="Y368" s="4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40"/>
      <c r="CQ368" s="40"/>
      <c r="CR368" s="40"/>
      <c r="CS368" s="40"/>
      <c r="CT368" s="40"/>
      <c r="CU368" s="40"/>
      <c r="CV368" s="40"/>
      <c r="CW368" s="40"/>
      <c r="CX368" s="40"/>
      <c r="CY368" s="40"/>
      <c r="CZ368" s="40"/>
      <c r="DA368" s="11"/>
      <c r="DB368" s="11"/>
      <c r="DC368" s="11"/>
      <c r="DD368" s="11"/>
      <c r="DE368" s="11"/>
      <c r="DF368" s="11"/>
      <c r="DG368" s="11"/>
    </row>
    <row r="369" ht="15.75" customHeight="1">
      <c r="A369" s="41"/>
      <c r="B369" s="11"/>
      <c r="C369" s="11"/>
      <c r="D369" s="11"/>
      <c r="E369" s="11"/>
      <c r="F369" s="11"/>
      <c r="G369" s="11"/>
      <c r="H369" s="11"/>
      <c r="I369" s="41"/>
      <c r="J369" s="11"/>
      <c r="K369" s="11"/>
      <c r="L369" s="11"/>
      <c r="M369" s="11"/>
      <c r="N369" s="11"/>
      <c r="O369" s="11"/>
      <c r="P369" s="11"/>
      <c r="Q369" s="41"/>
      <c r="R369" s="11"/>
      <c r="S369" s="11"/>
      <c r="T369" s="11"/>
      <c r="U369" s="11"/>
      <c r="V369" s="11"/>
      <c r="W369" s="11"/>
      <c r="X369" s="11"/>
      <c r="Y369" s="4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40"/>
      <c r="CQ369" s="40"/>
      <c r="CR369" s="40"/>
      <c r="CS369" s="40"/>
      <c r="CT369" s="40"/>
      <c r="CU369" s="40"/>
      <c r="CV369" s="40"/>
      <c r="CW369" s="40"/>
      <c r="CX369" s="40"/>
      <c r="CY369" s="40"/>
      <c r="CZ369" s="40"/>
      <c r="DA369" s="11"/>
      <c r="DB369" s="11"/>
      <c r="DC369" s="11"/>
      <c r="DD369" s="11"/>
      <c r="DE369" s="11"/>
      <c r="DF369" s="11"/>
      <c r="DG369" s="11"/>
    </row>
    <row r="370" ht="15.75" customHeight="1">
      <c r="A370" s="41"/>
      <c r="B370" s="11"/>
      <c r="C370" s="11"/>
      <c r="D370" s="11"/>
      <c r="E370" s="11"/>
      <c r="F370" s="11"/>
      <c r="G370" s="11"/>
      <c r="H370" s="11"/>
      <c r="I370" s="41"/>
      <c r="J370" s="11"/>
      <c r="K370" s="11"/>
      <c r="L370" s="11"/>
      <c r="M370" s="11"/>
      <c r="N370" s="11"/>
      <c r="O370" s="11"/>
      <c r="P370" s="11"/>
      <c r="Q370" s="41"/>
      <c r="R370" s="11"/>
      <c r="S370" s="11"/>
      <c r="T370" s="11"/>
      <c r="U370" s="11"/>
      <c r="V370" s="11"/>
      <c r="W370" s="11"/>
      <c r="X370" s="11"/>
      <c r="Y370" s="4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40"/>
      <c r="CQ370" s="40"/>
      <c r="CR370" s="40"/>
      <c r="CS370" s="40"/>
      <c r="CT370" s="40"/>
      <c r="CU370" s="40"/>
      <c r="CV370" s="40"/>
      <c r="CW370" s="40"/>
      <c r="CX370" s="40"/>
      <c r="CY370" s="40"/>
      <c r="CZ370" s="40"/>
      <c r="DA370" s="11"/>
      <c r="DB370" s="11"/>
      <c r="DC370" s="11"/>
      <c r="DD370" s="11"/>
      <c r="DE370" s="11"/>
      <c r="DF370" s="11"/>
      <c r="DG370" s="11"/>
    </row>
    <row r="371" ht="15.75" customHeight="1">
      <c r="A371" s="41"/>
      <c r="B371" s="11"/>
      <c r="C371" s="11"/>
      <c r="D371" s="11"/>
      <c r="E371" s="11"/>
      <c r="F371" s="11"/>
      <c r="G371" s="11"/>
      <c r="H371" s="11"/>
      <c r="I371" s="41"/>
      <c r="J371" s="11"/>
      <c r="K371" s="11"/>
      <c r="L371" s="11"/>
      <c r="M371" s="11"/>
      <c r="N371" s="11"/>
      <c r="O371" s="11"/>
      <c r="P371" s="11"/>
      <c r="Q371" s="41"/>
      <c r="R371" s="11"/>
      <c r="S371" s="11"/>
      <c r="T371" s="11"/>
      <c r="U371" s="11"/>
      <c r="V371" s="11"/>
      <c r="W371" s="11"/>
      <c r="X371" s="11"/>
      <c r="Y371" s="4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40"/>
      <c r="CQ371" s="40"/>
      <c r="CR371" s="40"/>
      <c r="CS371" s="40"/>
      <c r="CT371" s="40"/>
      <c r="CU371" s="40"/>
      <c r="CV371" s="40"/>
      <c r="CW371" s="40"/>
      <c r="CX371" s="40"/>
      <c r="CY371" s="40"/>
      <c r="CZ371" s="40"/>
      <c r="DA371" s="11"/>
      <c r="DB371" s="11"/>
      <c r="DC371" s="11"/>
      <c r="DD371" s="11"/>
      <c r="DE371" s="11"/>
      <c r="DF371" s="11"/>
      <c r="DG371" s="11"/>
    </row>
    <row r="372" ht="15.75" customHeight="1">
      <c r="A372" s="41"/>
      <c r="B372" s="11"/>
      <c r="C372" s="11"/>
      <c r="D372" s="11"/>
      <c r="E372" s="11"/>
      <c r="F372" s="11"/>
      <c r="G372" s="11"/>
      <c r="H372" s="11"/>
      <c r="I372" s="41"/>
      <c r="J372" s="11"/>
      <c r="K372" s="11"/>
      <c r="L372" s="11"/>
      <c r="M372" s="11"/>
      <c r="N372" s="11"/>
      <c r="O372" s="11"/>
      <c r="P372" s="11"/>
      <c r="Q372" s="41"/>
      <c r="R372" s="11"/>
      <c r="S372" s="11"/>
      <c r="T372" s="11"/>
      <c r="U372" s="11"/>
      <c r="V372" s="11"/>
      <c r="W372" s="11"/>
      <c r="X372" s="11"/>
      <c r="Y372" s="4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40"/>
      <c r="CQ372" s="40"/>
      <c r="CR372" s="40"/>
      <c r="CS372" s="40"/>
      <c r="CT372" s="40"/>
      <c r="CU372" s="40"/>
      <c r="CV372" s="40"/>
      <c r="CW372" s="40"/>
      <c r="CX372" s="40"/>
      <c r="CY372" s="40"/>
      <c r="CZ372" s="40"/>
      <c r="DA372" s="11"/>
      <c r="DB372" s="11"/>
      <c r="DC372" s="11"/>
      <c r="DD372" s="11"/>
      <c r="DE372" s="11"/>
      <c r="DF372" s="11"/>
      <c r="DG372" s="11"/>
    </row>
    <row r="373" ht="15.75" customHeight="1">
      <c r="A373" s="41"/>
      <c r="B373" s="11"/>
      <c r="C373" s="11"/>
      <c r="D373" s="11"/>
      <c r="E373" s="11"/>
      <c r="F373" s="11"/>
      <c r="G373" s="11"/>
      <c r="H373" s="11"/>
      <c r="I373" s="41"/>
      <c r="J373" s="11"/>
      <c r="K373" s="11"/>
      <c r="L373" s="11"/>
      <c r="M373" s="11"/>
      <c r="N373" s="11"/>
      <c r="O373" s="11"/>
      <c r="P373" s="11"/>
      <c r="Q373" s="41"/>
      <c r="R373" s="11"/>
      <c r="S373" s="11"/>
      <c r="T373" s="11"/>
      <c r="U373" s="11"/>
      <c r="V373" s="11"/>
      <c r="W373" s="11"/>
      <c r="X373" s="11"/>
      <c r="Y373" s="4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40"/>
      <c r="CQ373" s="40"/>
      <c r="CR373" s="40"/>
      <c r="CS373" s="40"/>
      <c r="CT373" s="40"/>
      <c r="CU373" s="40"/>
      <c r="CV373" s="40"/>
      <c r="CW373" s="40"/>
      <c r="CX373" s="40"/>
      <c r="CY373" s="40"/>
      <c r="CZ373" s="40"/>
      <c r="DA373" s="11"/>
      <c r="DB373" s="11"/>
      <c r="DC373" s="11"/>
      <c r="DD373" s="11"/>
      <c r="DE373" s="11"/>
      <c r="DF373" s="11"/>
      <c r="DG373" s="11"/>
    </row>
    <row r="374" ht="15.75" customHeight="1">
      <c r="A374" s="41"/>
      <c r="B374" s="11"/>
      <c r="C374" s="11"/>
      <c r="D374" s="11"/>
      <c r="E374" s="11"/>
      <c r="F374" s="11"/>
      <c r="G374" s="11"/>
      <c r="H374" s="11"/>
      <c r="I374" s="41"/>
      <c r="J374" s="11"/>
      <c r="K374" s="11"/>
      <c r="L374" s="11"/>
      <c r="M374" s="11"/>
      <c r="N374" s="11"/>
      <c r="O374" s="11"/>
      <c r="P374" s="11"/>
      <c r="Q374" s="41"/>
      <c r="R374" s="11"/>
      <c r="S374" s="11"/>
      <c r="T374" s="11"/>
      <c r="U374" s="11"/>
      <c r="V374" s="11"/>
      <c r="W374" s="11"/>
      <c r="X374" s="11"/>
      <c r="Y374" s="4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40"/>
      <c r="CQ374" s="40"/>
      <c r="CR374" s="40"/>
      <c r="CS374" s="40"/>
      <c r="CT374" s="40"/>
      <c r="CU374" s="40"/>
      <c r="CV374" s="40"/>
      <c r="CW374" s="40"/>
      <c r="CX374" s="40"/>
      <c r="CY374" s="40"/>
      <c r="CZ374" s="40"/>
      <c r="DA374" s="11"/>
      <c r="DB374" s="11"/>
      <c r="DC374" s="11"/>
      <c r="DD374" s="11"/>
      <c r="DE374" s="11"/>
      <c r="DF374" s="11"/>
      <c r="DG374" s="11"/>
    </row>
    <row r="375" ht="15.75" customHeight="1">
      <c r="A375" s="41"/>
      <c r="B375" s="11"/>
      <c r="C375" s="11"/>
      <c r="D375" s="11"/>
      <c r="E375" s="11"/>
      <c r="F375" s="11"/>
      <c r="G375" s="11"/>
      <c r="H375" s="11"/>
      <c r="I375" s="41"/>
      <c r="J375" s="11"/>
      <c r="K375" s="11"/>
      <c r="L375" s="11"/>
      <c r="M375" s="11"/>
      <c r="N375" s="11"/>
      <c r="O375" s="11"/>
      <c r="P375" s="11"/>
      <c r="Q375" s="41"/>
      <c r="R375" s="11"/>
      <c r="S375" s="11"/>
      <c r="T375" s="11"/>
      <c r="U375" s="11"/>
      <c r="V375" s="11"/>
      <c r="W375" s="11"/>
      <c r="X375" s="11"/>
      <c r="Y375" s="4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40"/>
      <c r="CQ375" s="40"/>
      <c r="CR375" s="40"/>
      <c r="CS375" s="40"/>
      <c r="CT375" s="40"/>
      <c r="CU375" s="40"/>
      <c r="CV375" s="40"/>
      <c r="CW375" s="40"/>
      <c r="CX375" s="40"/>
      <c r="CY375" s="40"/>
      <c r="CZ375" s="40"/>
      <c r="DA375" s="11"/>
      <c r="DB375" s="11"/>
      <c r="DC375" s="11"/>
      <c r="DD375" s="11"/>
      <c r="DE375" s="11"/>
      <c r="DF375" s="11"/>
      <c r="DG375" s="11"/>
    </row>
    <row r="376" ht="15.75" customHeight="1">
      <c r="A376" s="41"/>
      <c r="B376" s="11"/>
      <c r="C376" s="11"/>
      <c r="D376" s="11"/>
      <c r="E376" s="11"/>
      <c r="F376" s="11"/>
      <c r="G376" s="11"/>
      <c r="H376" s="11"/>
      <c r="I376" s="41"/>
      <c r="J376" s="11"/>
      <c r="K376" s="11"/>
      <c r="L376" s="11"/>
      <c r="M376" s="11"/>
      <c r="N376" s="11"/>
      <c r="O376" s="11"/>
      <c r="P376" s="11"/>
      <c r="Q376" s="41"/>
      <c r="R376" s="11"/>
      <c r="S376" s="11"/>
      <c r="T376" s="11"/>
      <c r="U376" s="11"/>
      <c r="V376" s="11"/>
      <c r="W376" s="11"/>
      <c r="X376" s="11"/>
      <c r="Y376" s="4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40"/>
      <c r="CQ376" s="40"/>
      <c r="CR376" s="40"/>
      <c r="CS376" s="40"/>
      <c r="CT376" s="40"/>
      <c r="CU376" s="40"/>
      <c r="CV376" s="40"/>
      <c r="CW376" s="40"/>
      <c r="CX376" s="40"/>
      <c r="CY376" s="40"/>
      <c r="CZ376" s="40"/>
      <c r="DA376" s="11"/>
      <c r="DB376" s="11"/>
      <c r="DC376" s="11"/>
      <c r="DD376" s="11"/>
      <c r="DE376" s="11"/>
      <c r="DF376" s="11"/>
      <c r="DG376" s="11"/>
    </row>
    <row r="377" ht="15.75" customHeight="1">
      <c r="A377" s="41"/>
      <c r="B377" s="11"/>
      <c r="C377" s="11"/>
      <c r="D377" s="11"/>
      <c r="E377" s="11"/>
      <c r="F377" s="11"/>
      <c r="G377" s="11"/>
      <c r="H377" s="11"/>
      <c r="I377" s="41"/>
      <c r="J377" s="11"/>
      <c r="K377" s="11"/>
      <c r="L377" s="11"/>
      <c r="M377" s="11"/>
      <c r="N377" s="11"/>
      <c r="O377" s="11"/>
      <c r="P377" s="11"/>
      <c r="Q377" s="41"/>
      <c r="R377" s="11"/>
      <c r="S377" s="11"/>
      <c r="T377" s="11"/>
      <c r="U377" s="11"/>
      <c r="V377" s="11"/>
      <c r="W377" s="11"/>
      <c r="X377" s="11"/>
      <c r="Y377" s="4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40"/>
      <c r="CQ377" s="40"/>
      <c r="CR377" s="40"/>
      <c r="CS377" s="40"/>
      <c r="CT377" s="40"/>
      <c r="CU377" s="40"/>
      <c r="CV377" s="40"/>
      <c r="CW377" s="40"/>
      <c r="CX377" s="40"/>
      <c r="CY377" s="40"/>
      <c r="CZ377" s="40"/>
      <c r="DA377" s="11"/>
      <c r="DB377" s="11"/>
      <c r="DC377" s="11"/>
      <c r="DD377" s="11"/>
      <c r="DE377" s="11"/>
      <c r="DF377" s="11"/>
      <c r="DG377" s="11"/>
    </row>
    <row r="378" ht="15.75" customHeight="1">
      <c r="A378" s="41"/>
      <c r="B378" s="11"/>
      <c r="C378" s="11"/>
      <c r="D378" s="11"/>
      <c r="E378" s="11"/>
      <c r="F378" s="11"/>
      <c r="G378" s="11"/>
      <c r="H378" s="11"/>
      <c r="I378" s="41"/>
      <c r="J378" s="11"/>
      <c r="K378" s="11"/>
      <c r="L378" s="11"/>
      <c r="M378" s="11"/>
      <c r="N378" s="11"/>
      <c r="O378" s="11"/>
      <c r="P378" s="11"/>
      <c r="Q378" s="41"/>
      <c r="R378" s="11"/>
      <c r="S378" s="11"/>
      <c r="T378" s="11"/>
      <c r="U378" s="11"/>
      <c r="V378" s="11"/>
      <c r="W378" s="11"/>
      <c r="X378" s="11"/>
      <c r="Y378" s="4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40"/>
      <c r="CQ378" s="40"/>
      <c r="CR378" s="40"/>
      <c r="CS378" s="40"/>
      <c r="CT378" s="40"/>
      <c r="CU378" s="40"/>
      <c r="CV378" s="40"/>
      <c r="CW378" s="40"/>
      <c r="CX378" s="40"/>
      <c r="CY378" s="40"/>
      <c r="CZ378" s="40"/>
      <c r="DA378" s="11"/>
      <c r="DB378" s="11"/>
      <c r="DC378" s="11"/>
      <c r="DD378" s="11"/>
      <c r="DE378" s="11"/>
      <c r="DF378" s="11"/>
      <c r="DG378" s="11"/>
    </row>
    <row r="379" ht="15.75" customHeight="1">
      <c r="A379" s="41"/>
      <c r="B379" s="11"/>
      <c r="C379" s="11"/>
      <c r="D379" s="11"/>
      <c r="E379" s="11"/>
      <c r="F379" s="11"/>
      <c r="G379" s="11"/>
      <c r="H379" s="11"/>
      <c r="I379" s="41"/>
      <c r="J379" s="11"/>
      <c r="K379" s="11"/>
      <c r="L379" s="11"/>
      <c r="M379" s="11"/>
      <c r="N379" s="11"/>
      <c r="O379" s="11"/>
      <c r="P379" s="11"/>
      <c r="Q379" s="41"/>
      <c r="R379" s="11"/>
      <c r="S379" s="11"/>
      <c r="T379" s="11"/>
      <c r="U379" s="11"/>
      <c r="V379" s="11"/>
      <c r="W379" s="11"/>
      <c r="X379" s="11"/>
      <c r="Y379" s="4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40"/>
      <c r="CQ379" s="40"/>
      <c r="CR379" s="40"/>
      <c r="CS379" s="40"/>
      <c r="CT379" s="40"/>
      <c r="CU379" s="40"/>
      <c r="CV379" s="40"/>
      <c r="CW379" s="40"/>
      <c r="CX379" s="40"/>
      <c r="CY379" s="40"/>
      <c r="CZ379" s="40"/>
      <c r="DA379" s="11"/>
      <c r="DB379" s="11"/>
      <c r="DC379" s="11"/>
      <c r="DD379" s="11"/>
      <c r="DE379" s="11"/>
      <c r="DF379" s="11"/>
      <c r="DG379" s="11"/>
    </row>
    <row r="380" ht="15.75" customHeight="1">
      <c r="A380" s="41"/>
      <c r="B380" s="11"/>
      <c r="C380" s="11"/>
      <c r="D380" s="11"/>
      <c r="E380" s="11"/>
      <c r="F380" s="11"/>
      <c r="G380" s="11"/>
      <c r="H380" s="11"/>
      <c r="I380" s="41"/>
      <c r="J380" s="11"/>
      <c r="K380" s="11"/>
      <c r="L380" s="11"/>
      <c r="M380" s="11"/>
      <c r="N380" s="11"/>
      <c r="O380" s="11"/>
      <c r="P380" s="11"/>
      <c r="Q380" s="41"/>
      <c r="R380" s="11"/>
      <c r="S380" s="11"/>
      <c r="T380" s="11"/>
      <c r="U380" s="11"/>
      <c r="V380" s="11"/>
      <c r="W380" s="11"/>
      <c r="X380" s="11"/>
      <c r="Y380" s="4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40"/>
      <c r="CQ380" s="40"/>
      <c r="CR380" s="40"/>
      <c r="CS380" s="40"/>
      <c r="CT380" s="40"/>
      <c r="CU380" s="40"/>
      <c r="CV380" s="40"/>
      <c r="CW380" s="40"/>
      <c r="CX380" s="40"/>
      <c r="CY380" s="40"/>
      <c r="CZ380" s="40"/>
      <c r="DA380" s="11"/>
      <c r="DB380" s="11"/>
      <c r="DC380" s="11"/>
      <c r="DD380" s="11"/>
      <c r="DE380" s="11"/>
      <c r="DF380" s="11"/>
      <c r="DG380" s="11"/>
    </row>
    <row r="381" ht="15.75" customHeight="1">
      <c r="A381" s="41"/>
      <c r="B381" s="11"/>
      <c r="C381" s="11"/>
      <c r="D381" s="11"/>
      <c r="E381" s="11"/>
      <c r="F381" s="11"/>
      <c r="G381" s="11"/>
      <c r="H381" s="11"/>
      <c r="I381" s="41"/>
      <c r="J381" s="11"/>
      <c r="K381" s="11"/>
      <c r="L381" s="11"/>
      <c r="M381" s="11"/>
      <c r="N381" s="11"/>
      <c r="O381" s="11"/>
      <c r="P381" s="11"/>
      <c r="Q381" s="41"/>
      <c r="R381" s="11"/>
      <c r="S381" s="11"/>
      <c r="T381" s="11"/>
      <c r="U381" s="11"/>
      <c r="V381" s="11"/>
      <c r="W381" s="11"/>
      <c r="X381" s="11"/>
      <c r="Y381" s="4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40"/>
      <c r="CQ381" s="40"/>
      <c r="CR381" s="40"/>
      <c r="CS381" s="40"/>
      <c r="CT381" s="40"/>
      <c r="CU381" s="40"/>
      <c r="CV381" s="40"/>
      <c r="CW381" s="40"/>
      <c r="CX381" s="40"/>
      <c r="CY381" s="40"/>
      <c r="CZ381" s="40"/>
      <c r="DA381" s="11"/>
      <c r="DB381" s="11"/>
      <c r="DC381" s="11"/>
      <c r="DD381" s="11"/>
      <c r="DE381" s="11"/>
      <c r="DF381" s="11"/>
      <c r="DG381" s="11"/>
    </row>
    <row r="382" ht="15.75" customHeight="1">
      <c r="A382" s="41"/>
      <c r="B382" s="11"/>
      <c r="C382" s="11"/>
      <c r="D382" s="11"/>
      <c r="E382" s="11"/>
      <c r="F382" s="11"/>
      <c r="G382" s="11"/>
      <c r="H382" s="11"/>
      <c r="I382" s="41"/>
      <c r="J382" s="11"/>
      <c r="K382" s="11"/>
      <c r="L382" s="11"/>
      <c r="M382" s="11"/>
      <c r="N382" s="11"/>
      <c r="O382" s="11"/>
      <c r="P382" s="11"/>
      <c r="Q382" s="41"/>
      <c r="R382" s="11"/>
      <c r="S382" s="11"/>
      <c r="T382" s="11"/>
      <c r="U382" s="11"/>
      <c r="V382" s="11"/>
      <c r="W382" s="11"/>
      <c r="X382" s="11"/>
      <c r="Y382" s="4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40"/>
      <c r="CQ382" s="40"/>
      <c r="CR382" s="40"/>
      <c r="CS382" s="40"/>
      <c r="CT382" s="40"/>
      <c r="CU382" s="40"/>
      <c r="CV382" s="40"/>
      <c r="CW382" s="40"/>
      <c r="CX382" s="40"/>
      <c r="CY382" s="40"/>
      <c r="CZ382" s="40"/>
      <c r="DA382" s="11"/>
      <c r="DB382" s="11"/>
      <c r="DC382" s="11"/>
      <c r="DD382" s="11"/>
      <c r="DE382" s="11"/>
      <c r="DF382" s="11"/>
      <c r="DG382" s="11"/>
    </row>
    <row r="383" ht="15.75" customHeight="1">
      <c r="A383" s="41"/>
      <c r="B383" s="11"/>
      <c r="C383" s="11"/>
      <c r="D383" s="11"/>
      <c r="E383" s="11"/>
      <c r="F383" s="11"/>
      <c r="G383" s="11"/>
      <c r="H383" s="11"/>
      <c r="I383" s="41"/>
      <c r="J383" s="11"/>
      <c r="K383" s="11"/>
      <c r="L383" s="11"/>
      <c r="M383" s="11"/>
      <c r="N383" s="11"/>
      <c r="O383" s="11"/>
      <c r="P383" s="11"/>
      <c r="Q383" s="41"/>
      <c r="R383" s="11"/>
      <c r="S383" s="11"/>
      <c r="T383" s="11"/>
      <c r="U383" s="11"/>
      <c r="V383" s="11"/>
      <c r="W383" s="11"/>
      <c r="X383" s="11"/>
      <c r="Y383" s="4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40"/>
      <c r="CQ383" s="40"/>
      <c r="CR383" s="40"/>
      <c r="CS383" s="40"/>
      <c r="CT383" s="40"/>
      <c r="CU383" s="40"/>
      <c r="CV383" s="40"/>
      <c r="CW383" s="40"/>
      <c r="CX383" s="40"/>
      <c r="CY383" s="40"/>
      <c r="CZ383" s="40"/>
      <c r="DA383" s="11"/>
      <c r="DB383" s="11"/>
      <c r="DC383" s="11"/>
      <c r="DD383" s="11"/>
      <c r="DE383" s="11"/>
      <c r="DF383" s="11"/>
      <c r="DG383" s="11"/>
    </row>
    <row r="384" ht="15.75" customHeight="1">
      <c r="A384" s="41"/>
      <c r="B384" s="11"/>
      <c r="C384" s="11"/>
      <c r="D384" s="11"/>
      <c r="E384" s="11"/>
      <c r="F384" s="11"/>
      <c r="G384" s="11"/>
      <c r="H384" s="11"/>
      <c r="I384" s="41"/>
      <c r="J384" s="11"/>
      <c r="K384" s="11"/>
      <c r="L384" s="11"/>
      <c r="M384" s="11"/>
      <c r="N384" s="11"/>
      <c r="O384" s="11"/>
      <c r="P384" s="11"/>
      <c r="Q384" s="41"/>
      <c r="R384" s="11"/>
      <c r="S384" s="11"/>
      <c r="T384" s="11"/>
      <c r="U384" s="11"/>
      <c r="V384" s="11"/>
      <c r="W384" s="11"/>
      <c r="X384" s="11"/>
      <c r="Y384" s="4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40"/>
      <c r="CQ384" s="40"/>
      <c r="CR384" s="40"/>
      <c r="CS384" s="40"/>
      <c r="CT384" s="40"/>
      <c r="CU384" s="40"/>
      <c r="CV384" s="40"/>
      <c r="CW384" s="40"/>
      <c r="CX384" s="40"/>
      <c r="CY384" s="40"/>
      <c r="CZ384" s="40"/>
      <c r="DA384" s="11"/>
      <c r="DB384" s="11"/>
      <c r="DC384" s="11"/>
      <c r="DD384" s="11"/>
      <c r="DE384" s="11"/>
      <c r="DF384" s="11"/>
      <c r="DG384" s="11"/>
    </row>
    <row r="385" ht="15.75" customHeight="1">
      <c r="A385" s="41"/>
      <c r="B385" s="11"/>
      <c r="C385" s="11"/>
      <c r="D385" s="11"/>
      <c r="E385" s="11"/>
      <c r="F385" s="11"/>
      <c r="G385" s="11"/>
      <c r="H385" s="11"/>
      <c r="I385" s="41"/>
      <c r="J385" s="11"/>
      <c r="K385" s="11"/>
      <c r="L385" s="11"/>
      <c r="M385" s="11"/>
      <c r="N385" s="11"/>
      <c r="O385" s="11"/>
      <c r="P385" s="11"/>
      <c r="Q385" s="41"/>
      <c r="R385" s="11"/>
      <c r="S385" s="11"/>
      <c r="T385" s="11"/>
      <c r="U385" s="11"/>
      <c r="V385" s="11"/>
      <c r="W385" s="11"/>
      <c r="X385" s="11"/>
      <c r="Y385" s="4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40"/>
      <c r="CQ385" s="40"/>
      <c r="CR385" s="40"/>
      <c r="CS385" s="40"/>
      <c r="CT385" s="40"/>
      <c r="CU385" s="40"/>
      <c r="CV385" s="40"/>
      <c r="CW385" s="40"/>
      <c r="CX385" s="40"/>
      <c r="CY385" s="40"/>
      <c r="CZ385" s="40"/>
      <c r="DA385" s="11"/>
      <c r="DB385" s="11"/>
      <c r="DC385" s="11"/>
      <c r="DD385" s="11"/>
      <c r="DE385" s="11"/>
      <c r="DF385" s="11"/>
      <c r="DG385" s="11"/>
    </row>
    <row r="386" ht="15.75" customHeight="1">
      <c r="A386" s="41"/>
      <c r="B386" s="11"/>
      <c r="C386" s="11"/>
      <c r="D386" s="11"/>
      <c r="E386" s="11"/>
      <c r="F386" s="11"/>
      <c r="G386" s="11"/>
      <c r="H386" s="11"/>
      <c r="I386" s="41"/>
      <c r="J386" s="11"/>
      <c r="K386" s="11"/>
      <c r="L386" s="11"/>
      <c r="M386" s="11"/>
      <c r="N386" s="11"/>
      <c r="O386" s="11"/>
      <c r="P386" s="11"/>
      <c r="Q386" s="41"/>
      <c r="R386" s="11"/>
      <c r="S386" s="11"/>
      <c r="T386" s="11"/>
      <c r="U386" s="11"/>
      <c r="V386" s="11"/>
      <c r="W386" s="11"/>
      <c r="X386" s="11"/>
      <c r="Y386" s="4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40"/>
      <c r="CQ386" s="40"/>
      <c r="CR386" s="40"/>
      <c r="CS386" s="40"/>
      <c r="CT386" s="40"/>
      <c r="CU386" s="40"/>
      <c r="CV386" s="40"/>
      <c r="CW386" s="40"/>
      <c r="CX386" s="40"/>
      <c r="CY386" s="40"/>
      <c r="CZ386" s="40"/>
      <c r="DA386" s="11"/>
      <c r="DB386" s="11"/>
      <c r="DC386" s="11"/>
      <c r="DD386" s="11"/>
      <c r="DE386" s="11"/>
      <c r="DF386" s="11"/>
      <c r="DG386" s="11"/>
    </row>
    <row r="387" ht="15.75" customHeight="1">
      <c r="A387" s="41"/>
      <c r="B387" s="11"/>
      <c r="C387" s="11"/>
      <c r="D387" s="11"/>
      <c r="E387" s="11"/>
      <c r="F387" s="11"/>
      <c r="G387" s="11"/>
      <c r="H387" s="11"/>
      <c r="I387" s="41"/>
      <c r="J387" s="11"/>
      <c r="K387" s="11"/>
      <c r="L387" s="11"/>
      <c r="M387" s="11"/>
      <c r="N387" s="11"/>
      <c r="O387" s="11"/>
      <c r="P387" s="11"/>
      <c r="Q387" s="41"/>
      <c r="R387" s="11"/>
      <c r="S387" s="11"/>
      <c r="T387" s="11"/>
      <c r="U387" s="11"/>
      <c r="V387" s="11"/>
      <c r="W387" s="11"/>
      <c r="X387" s="11"/>
      <c r="Y387" s="4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40"/>
      <c r="CQ387" s="40"/>
      <c r="CR387" s="40"/>
      <c r="CS387" s="40"/>
      <c r="CT387" s="40"/>
      <c r="CU387" s="40"/>
      <c r="CV387" s="40"/>
      <c r="CW387" s="40"/>
      <c r="CX387" s="40"/>
      <c r="CY387" s="40"/>
      <c r="CZ387" s="40"/>
      <c r="DA387" s="11"/>
      <c r="DB387" s="11"/>
      <c r="DC387" s="11"/>
      <c r="DD387" s="11"/>
      <c r="DE387" s="11"/>
      <c r="DF387" s="11"/>
      <c r="DG387" s="11"/>
    </row>
    <row r="388" ht="15.75" customHeight="1">
      <c r="A388" s="41"/>
      <c r="B388" s="11"/>
      <c r="C388" s="11"/>
      <c r="D388" s="11"/>
      <c r="E388" s="11"/>
      <c r="F388" s="11"/>
      <c r="G388" s="11"/>
      <c r="H388" s="11"/>
      <c r="I388" s="41"/>
      <c r="J388" s="11"/>
      <c r="K388" s="11"/>
      <c r="L388" s="11"/>
      <c r="M388" s="11"/>
      <c r="N388" s="11"/>
      <c r="O388" s="11"/>
      <c r="P388" s="11"/>
      <c r="Q388" s="41"/>
      <c r="R388" s="11"/>
      <c r="S388" s="11"/>
      <c r="T388" s="11"/>
      <c r="U388" s="11"/>
      <c r="V388" s="11"/>
      <c r="W388" s="11"/>
      <c r="X388" s="11"/>
      <c r="Y388" s="4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40"/>
      <c r="CQ388" s="40"/>
      <c r="CR388" s="40"/>
      <c r="CS388" s="40"/>
      <c r="CT388" s="40"/>
      <c r="CU388" s="40"/>
      <c r="CV388" s="40"/>
      <c r="CW388" s="40"/>
      <c r="CX388" s="40"/>
      <c r="CY388" s="40"/>
      <c r="CZ388" s="40"/>
      <c r="DA388" s="11"/>
      <c r="DB388" s="11"/>
      <c r="DC388" s="11"/>
      <c r="DD388" s="11"/>
      <c r="DE388" s="11"/>
      <c r="DF388" s="11"/>
      <c r="DG388" s="11"/>
    </row>
    <row r="389" ht="15.75" customHeight="1">
      <c r="A389" s="41"/>
      <c r="B389" s="11"/>
      <c r="C389" s="11"/>
      <c r="D389" s="11"/>
      <c r="E389" s="11"/>
      <c r="F389" s="11"/>
      <c r="G389" s="11"/>
      <c r="H389" s="11"/>
      <c r="I389" s="41"/>
      <c r="J389" s="11"/>
      <c r="K389" s="11"/>
      <c r="L389" s="11"/>
      <c r="M389" s="11"/>
      <c r="N389" s="11"/>
      <c r="O389" s="11"/>
      <c r="P389" s="11"/>
      <c r="Q389" s="41"/>
      <c r="R389" s="11"/>
      <c r="S389" s="11"/>
      <c r="T389" s="11"/>
      <c r="U389" s="11"/>
      <c r="V389" s="11"/>
      <c r="W389" s="11"/>
      <c r="X389" s="11"/>
      <c r="Y389" s="4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40"/>
      <c r="CQ389" s="40"/>
      <c r="CR389" s="40"/>
      <c r="CS389" s="40"/>
      <c r="CT389" s="40"/>
      <c r="CU389" s="40"/>
      <c r="CV389" s="40"/>
      <c r="CW389" s="40"/>
      <c r="CX389" s="40"/>
      <c r="CY389" s="40"/>
      <c r="CZ389" s="40"/>
      <c r="DA389" s="11"/>
      <c r="DB389" s="11"/>
      <c r="DC389" s="11"/>
      <c r="DD389" s="11"/>
      <c r="DE389" s="11"/>
      <c r="DF389" s="11"/>
      <c r="DG389" s="11"/>
    </row>
    <row r="390" ht="15.75" customHeight="1">
      <c r="A390" s="41"/>
      <c r="B390" s="11"/>
      <c r="C390" s="11"/>
      <c r="D390" s="11"/>
      <c r="E390" s="11"/>
      <c r="F390" s="11"/>
      <c r="G390" s="11"/>
      <c r="H390" s="11"/>
      <c r="I390" s="41"/>
      <c r="J390" s="11"/>
      <c r="K390" s="11"/>
      <c r="L390" s="11"/>
      <c r="M390" s="11"/>
      <c r="N390" s="11"/>
      <c r="O390" s="11"/>
      <c r="P390" s="11"/>
      <c r="Q390" s="41"/>
      <c r="R390" s="11"/>
      <c r="S390" s="11"/>
      <c r="T390" s="11"/>
      <c r="U390" s="11"/>
      <c r="V390" s="11"/>
      <c r="W390" s="11"/>
      <c r="X390" s="11"/>
      <c r="Y390" s="4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40"/>
      <c r="CQ390" s="40"/>
      <c r="CR390" s="40"/>
      <c r="CS390" s="40"/>
      <c r="CT390" s="40"/>
      <c r="CU390" s="40"/>
      <c r="CV390" s="40"/>
      <c r="CW390" s="40"/>
      <c r="CX390" s="40"/>
      <c r="CY390" s="40"/>
      <c r="CZ390" s="40"/>
      <c r="DA390" s="11"/>
      <c r="DB390" s="11"/>
      <c r="DC390" s="11"/>
      <c r="DD390" s="11"/>
      <c r="DE390" s="11"/>
      <c r="DF390" s="11"/>
      <c r="DG390" s="11"/>
    </row>
    <row r="391" ht="15.75" customHeight="1">
      <c r="A391" s="41"/>
      <c r="B391" s="11"/>
      <c r="C391" s="11"/>
      <c r="D391" s="11"/>
      <c r="E391" s="11"/>
      <c r="F391" s="11"/>
      <c r="G391" s="11"/>
      <c r="H391" s="11"/>
      <c r="I391" s="41"/>
      <c r="J391" s="11"/>
      <c r="K391" s="11"/>
      <c r="L391" s="11"/>
      <c r="M391" s="11"/>
      <c r="N391" s="11"/>
      <c r="O391" s="11"/>
      <c r="P391" s="11"/>
      <c r="Q391" s="41"/>
      <c r="R391" s="11"/>
      <c r="S391" s="11"/>
      <c r="T391" s="11"/>
      <c r="U391" s="11"/>
      <c r="V391" s="11"/>
      <c r="W391" s="11"/>
      <c r="X391" s="11"/>
      <c r="Y391" s="4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40"/>
      <c r="CQ391" s="40"/>
      <c r="CR391" s="40"/>
      <c r="CS391" s="40"/>
      <c r="CT391" s="40"/>
      <c r="CU391" s="40"/>
      <c r="CV391" s="40"/>
      <c r="CW391" s="40"/>
      <c r="CX391" s="40"/>
      <c r="CY391" s="40"/>
      <c r="CZ391" s="40"/>
      <c r="DA391" s="11"/>
      <c r="DB391" s="11"/>
      <c r="DC391" s="11"/>
      <c r="DD391" s="11"/>
      <c r="DE391" s="11"/>
      <c r="DF391" s="11"/>
      <c r="DG391" s="11"/>
    </row>
    <row r="392" ht="15.75" customHeight="1">
      <c r="A392" s="41"/>
      <c r="B392" s="11"/>
      <c r="C392" s="11"/>
      <c r="D392" s="11"/>
      <c r="E392" s="11"/>
      <c r="F392" s="11"/>
      <c r="G392" s="11"/>
      <c r="H392" s="11"/>
      <c r="I392" s="41"/>
      <c r="J392" s="11"/>
      <c r="K392" s="11"/>
      <c r="L392" s="11"/>
      <c r="M392" s="11"/>
      <c r="N392" s="11"/>
      <c r="O392" s="11"/>
      <c r="P392" s="11"/>
      <c r="Q392" s="41"/>
      <c r="R392" s="11"/>
      <c r="S392" s="11"/>
      <c r="T392" s="11"/>
      <c r="U392" s="11"/>
      <c r="V392" s="11"/>
      <c r="W392" s="11"/>
      <c r="X392" s="11"/>
      <c r="Y392" s="4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40"/>
      <c r="CQ392" s="40"/>
      <c r="CR392" s="40"/>
      <c r="CS392" s="40"/>
      <c r="CT392" s="40"/>
      <c r="CU392" s="40"/>
      <c r="CV392" s="40"/>
      <c r="CW392" s="40"/>
      <c r="CX392" s="40"/>
      <c r="CY392" s="40"/>
      <c r="CZ392" s="40"/>
      <c r="DA392" s="11"/>
      <c r="DB392" s="11"/>
      <c r="DC392" s="11"/>
      <c r="DD392" s="11"/>
      <c r="DE392" s="11"/>
      <c r="DF392" s="11"/>
      <c r="DG392" s="11"/>
    </row>
    <row r="393" ht="15.75" customHeight="1">
      <c r="A393" s="41"/>
      <c r="B393" s="11"/>
      <c r="C393" s="11"/>
      <c r="D393" s="11"/>
      <c r="E393" s="11"/>
      <c r="F393" s="11"/>
      <c r="G393" s="11"/>
      <c r="H393" s="11"/>
      <c r="I393" s="41"/>
      <c r="J393" s="11"/>
      <c r="K393" s="11"/>
      <c r="L393" s="11"/>
      <c r="M393" s="11"/>
      <c r="N393" s="11"/>
      <c r="O393" s="11"/>
      <c r="P393" s="11"/>
      <c r="Q393" s="41"/>
      <c r="R393" s="11"/>
      <c r="S393" s="11"/>
      <c r="T393" s="11"/>
      <c r="U393" s="11"/>
      <c r="V393" s="11"/>
      <c r="W393" s="11"/>
      <c r="X393" s="11"/>
      <c r="Y393" s="4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40"/>
      <c r="CQ393" s="40"/>
      <c r="CR393" s="40"/>
      <c r="CS393" s="40"/>
      <c r="CT393" s="40"/>
      <c r="CU393" s="40"/>
      <c r="CV393" s="40"/>
      <c r="CW393" s="40"/>
      <c r="CX393" s="40"/>
      <c r="CY393" s="40"/>
      <c r="CZ393" s="40"/>
      <c r="DA393" s="11"/>
      <c r="DB393" s="11"/>
      <c r="DC393" s="11"/>
      <c r="DD393" s="11"/>
      <c r="DE393" s="11"/>
      <c r="DF393" s="11"/>
      <c r="DG393" s="11"/>
    </row>
    <row r="394" ht="15.75" customHeight="1">
      <c r="A394" s="41"/>
      <c r="B394" s="11"/>
      <c r="C394" s="11"/>
      <c r="D394" s="11"/>
      <c r="E394" s="11"/>
      <c r="F394" s="11"/>
      <c r="G394" s="11"/>
      <c r="H394" s="11"/>
      <c r="I394" s="41"/>
      <c r="J394" s="11"/>
      <c r="K394" s="11"/>
      <c r="L394" s="11"/>
      <c r="M394" s="11"/>
      <c r="N394" s="11"/>
      <c r="O394" s="11"/>
      <c r="P394" s="11"/>
      <c r="Q394" s="41"/>
      <c r="R394" s="11"/>
      <c r="S394" s="11"/>
      <c r="T394" s="11"/>
      <c r="U394" s="11"/>
      <c r="V394" s="11"/>
      <c r="W394" s="11"/>
      <c r="X394" s="11"/>
      <c r="Y394" s="4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40"/>
      <c r="CQ394" s="40"/>
      <c r="CR394" s="40"/>
      <c r="CS394" s="40"/>
      <c r="CT394" s="40"/>
      <c r="CU394" s="40"/>
      <c r="CV394" s="40"/>
      <c r="CW394" s="40"/>
      <c r="CX394" s="40"/>
      <c r="CY394" s="40"/>
      <c r="CZ394" s="40"/>
      <c r="DA394" s="11"/>
      <c r="DB394" s="11"/>
      <c r="DC394" s="11"/>
      <c r="DD394" s="11"/>
      <c r="DE394" s="11"/>
      <c r="DF394" s="11"/>
      <c r="DG394" s="11"/>
    </row>
    <row r="395" ht="15.75" customHeight="1">
      <c r="A395" s="41"/>
      <c r="B395" s="11"/>
      <c r="C395" s="11"/>
      <c r="D395" s="11"/>
      <c r="E395" s="11"/>
      <c r="F395" s="11"/>
      <c r="G395" s="11"/>
      <c r="H395" s="11"/>
      <c r="I395" s="41"/>
      <c r="J395" s="11"/>
      <c r="K395" s="11"/>
      <c r="L395" s="11"/>
      <c r="M395" s="11"/>
      <c r="N395" s="11"/>
      <c r="O395" s="11"/>
      <c r="P395" s="11"/>
      <c r="Q395" s="41"/>
      <c r="R395" s="11"/>
      <c r="S395" s="11"/>
      <c r="T395" s="11"/>
      <c r="U395" s="11"/>
      <c r="V395" s="11"/>
      <c r="W395" s="11"/>
      <c r="X395" s="11"/>
      <c r="Y395" s="4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40"/>
      <c r="CQ395" s="40"/>
      <c r="CR395" s="40"/>
      <c r="CS395" s="40"/>
      <c r="CT395" s="40"/>
      <c r="CU395" s="40"/>
      <c r="CV395" s="40"/>
      <c r="CW395" s="40"/>
      <c r="CX395" s="40"/>
      <c r="CY395" s="40"/>
      <c r="CZ395" s="40"/>
      <c r="DA395" s="11"/>
      <c r="DB395" s="11"/>
      <c r="DC395" s="11"/>
      <c r="DD395" s="11"/>
      <c r="DE395" s="11"/>
      <c r="DF395" s="11"/>
      <c r="DG395" s="11"/>
    </row>
    <row r="396" ht="15.75" customHeight="1">
      <c r="A396" s="41"/>
      <c r="B396" s="11"/>
      <c r="C396" s="11"/>
      <c r="D396" s="11"/>
      <c r="E396" s="11"/>
      <c r="F396" s="11"/>
      <c r="G396" s="11"/>
      <c r="H396" s="11"/>
      <c r="I396" s="41"/>
      <c r="J396" s="11"/>
      <c r="K396" s="11"/>
      <c r="L396" s="11"/>
      <c r="M396" s="11"/>
      <c r="N396" s="11"/>
      <c r="O396" s="11"/>
      <c r="P396" s="11"/>
      <c r="Q396" s="41"/>
      <c r="R396" s="11"/>
      <c r="S396" s="11"/>
      <c r="T396" s="11"/>
      <c r="U396" s="11"/>
      <c r="V396" s="11"/>
      <c r="W396" s="11"/>
      <c r="X396" s="11"/>
      <c r="Y396" s="4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40"/>
      <c r="CQ396" s="40"/>
      <c r="CR396" s="40"/>
      <c r="CS396" s="40"/>
      <c r="CT396" s="40"/>
      <c r="CU396" s="40"/>
      <c r="CV396" s="40"/>
      <c r="CW396" s="40"/>
      <c r="CX396" s="40"/>
      <c r="CY396" s="40"/>
      <c r="CZ396" s="40"/>
      <c r="DA396" s="11"/>
      <c r="DB396" s="11"/>
      <c r="DC396" s="11"/>
      <c r="DD396" s="11"/>
      <c r="DE396" s="11"/>
      <c r="DF396" s="11"/>
      <c r="DG396" s="11"/>
    </row>
    <row r="397" ht="15.75" customHeight="1">
      <c r="A397" s="41"/>
      <c r="B397" s="11"/>
      <c r="C397" s="11"/>
      <c r="D397" s="11"/>
      <c r="E397" s="11"/>
      <c r="F397" s="11"/>
      <c r="G397" s="11"/>
      <c r="H397" s="11"/>
      <c r="I397" s="41"/>
      <c r="J397" s="11"/>
      <c r="K397" s="11"/>
      <c r="L397" s="11"/>
      <c r="M397" s="11"/>
      <c r="N397" s="11"/>
      <c r="O397" s="11"/>
      <c r="P397" s="11"/>
      <c r="Q397" s="41"/>
      <c r="R397" s="11"/>
      <c r="S397" s="11"/>
      <c r="T397" s="11"/>
      <c r="U397" s="11"/>
      <c r="V397" s="11"/>
      <c r="W397" s="11"/>
      <c r="X397" s="11"/>
      <c r="Y397" s="4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40"/>
      <c r="CQ397" s="40"/>
      <c r="CR397" s="40"/>
      <c r="CS397" s="40"/>
      <c r="CT397" s="40"/>
      <c r="CU397" s="40"/>
      <c r="CV397" s="40"/>
      <c r="CW397" s="40"/>
      <c r="CX397" s="40"/>
      <c r="CY397" s="40"/>
      <c r="CZ397" s="40"/>
      <c r="DA397" s="11"/>
      <c r="DB397" s="11"/>
      <c r="DC397" s="11"/>
      <c r="DD397" s="11"/>
      <c r="DE397" s="11"/>
      <c r="DF397" s="11"/>
      <c r="DG397" s="11"/>
    </row>
    <row r="398" ht="15.75" customHeight="1">
      <c r="A398" s="41"/>
      <c r="B398" s="11"/>
      <c r="C398" s="11"/>
      <c r="D398" s="11"/>
      <c r="E398" s="11"/>
      <c r="F398" s="11"/>
      <c r="G398" s="11"/>
      <c r="H398" s="11"/>
      <c r="I398" s="41"/>
      <c r="J398" s="11"/>
      <c r="K398" s="11"/>
      <c r="L398" s="11"/>
      <c r="M398" s="11"/>
      <c r="N398" s="11"/>
      <c r="O398" s="11"/>
      <c r="P398" s="11"/>
      <c r="Q398" s="41"/>
      <c r="R398" s="11"/>
      <c r="S398" s="11"/>
      <c r="T398" s="11"/>
      <c r="U398" s="11"/>
      <c r="V398" s="11"/>
      <c r="W398" s="11"/>
      <c r="X398" s="11"/>
      <c r="Y398" s="4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40"/>
      <c r="CQ398" s="40"/>
      <c r="CR398" s="40"/>
      <c r="CS398" s="40"/>
      <c r="CT398" s="40"/>
      <c r="CU398" s="40"/>
      <c r="CV398" s="40"/>
      <c r="CW398" s="40"/>
      <c r="CX398" s="40"/>
      <c r="CY398" s="40"/>
      <c r="CZ398" s="40"/>
      <c r="DA398" s="11"/>
      <c r="DB398" s="11"/>
      <c r="DC398" s="11"/>
      <c r="DD398" s="11"/>
      <c r="DE398" s="11"/>
      <c r="DF398" s="11"/>
      <c r="DG398" s="11"/>
    </row>
    <row r="399" ht="15.75" customHeight="1">
      <c r="A399" s="41"/>
      <c r="B399" s="11"/>
      <c r="C399" s="11"/>
      <c r="D399" s="11"/>
      <c r="E399" s="11"/>
      <c r="F399" s="11"/>
      <c r="G399" s="11"/>
      <c r="H399" s="11"/>
      <c r="I399" s="41"/>
      <c r="J399" s="11"/>
      <c r="K399" s="11"/>
      <c r="L399" s="11"/>
      <c r="M399" s="11"/>
      <c r="N399" s="11"/>
      <c r="O399" s="11"/>
      <c r="P399" s="11"/>
      <c r="Q399" s="41"/>
      <c r="R399" s="11"/>
      <c r="S399" s="11"/>
      <c r="T399" s="11"/>
      <c r="U399" s="11"/>
      <c r="V399" s="11"/>
      <c r="W399" s="11"/>
      <c r="X399" s="11"/>
      <c r="Y399" s="4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40"/>
      <c r="CQ399" s="40"/>
      <c r="CR399" s="40"/>
      <c r="CS399" s="40"/>
      <c r="CT399" s="40"/>
      <c r="CU399" s="40"/>
      <c r="CV399" s="40"/>
      <c r="CW399" s="40"/>
      <c r="CX399" s="40"/>
      <c r="CY399" s="40"/>
      <c r="CZ399" s="40"/>
      <c r="DA399" s="11"/>
      <c r="DB399" s="11"/>
      <c r="DC399" s="11"/>
      <c r="DD399" s="11"/>
      <c r="DE399" s="11"/>
      <c r="DF399" s="11"/>
      <c r="DG399" s="11"/>
    </row>
    <row r="400" ht="15.75" customHeight="1">
      <c r="A400" s="41"/>
      <c r="B400" s="11"/>
      <c r="C400" s="11"/>
      <c r="D400" s="11"/>
      <c r="E400" s="11"/>
      <c r="F400" s="11"/>
      <c r="G400" s="11"/>
      <c r="H400" s="11"/>
      <c r="I400" s="41"/>
      <c r="J400" s="11"/>
      <c r="K400" s="11"/>
      <c r="L400" s="11"/>
      <c r="M400" s="11"/>
      <c r="N400" s="11"/>
      <c r="O400" s="11"/>
      <c r="P400" s="11"/>
      <c r="Q400" s="41"/>
      <c r="R400" s="11"/>
      <c r="S400" s="11"/>
      <c r="T400" s="11"/>
      <c r="U400" s="11"/>
      <c r="V400" s="11"/>
      <c r="W400" s="11"/>
      <c r="X400" s="11"/>
      <c r="Y400" s="4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40"/>
      <c r="CQ400" s="40"/>
      <c r="CR400" s="40"/>
      <c r="CS400" s="40"/>
      <c r="CT400" s="40"/>
      <c r="CU400" s="40"/>
      <c r="CV400" s="40"/>
      <c r="CW400" s="40"/>
      <c r="CX400" s="40"/>
      <c r="CY400" s="40"/>
      <c r="CZ400" s="40"/>
      <c r="DA400" s="11"/>
      <c r="DB400" s="11"/>
      <c r="DC400" s="11"/>
      <c r="DD400" s="11"/>
      <c r="DE400" s="11"/>
      <c r="DF400" s="11"/>
      <c r="DG400" s="11"/>
    </row>
    <row r="401" ht="15.75" customHeight="1">
      <c r="A401" s="41"/>
      <c r="B401" s="11"/>
      <c r="C401" s="11"/>
      <c r="D401" s="11"/>
      <c r="E401" s="11"/>
      <c r="F401" s="11"/>
      <c r="G401" s="11"/>
      <c r="H401" s="11"/>
      <c r="I401" s="41"/>
      <c r="J401" s="11"/>
      <c r="K401" s="11"/>
      <c r="L401" s="11"/>
      <c r="M401" s="11"/>
      <c r="N401" s="11"/>
      <c r="O401" s="11"/>
      <c r="P401" s="11"/>
      <c r="Q401" s="41"/>
      <c r="R401" s="11"/>
      <c r="S401" s="11"/>
      <c r="T401" s="11"/>
      <c r="U401" s="11"/>
      <c r="V401" s="11"/>
      <c r="W401" s="11"/>
      <c r="X401" s="11"/>
      <c r="Y401" s="4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40"/>
      <c r="CQ401" s="40"/>
      <c r="CR401" s="40"/>
      <c r="CS401" s="40"/>
      <c r="CT401" s="40"/>
      <c r="CU401" s="40"/>
      <c r="CV401" s="40"/>
      <c r="CW401" s="40"/>
      <c r="CX401" s="40"/>
      <c r="CY401" s="40"/>
      <c r="CZ401" s="40"/>
      <c r="DA401" s="11"/>
      <c r="DB401" s="11"/>
      <c r="DC401" s="11"/>
      <c r="DD401" s="11"/>
      <c r="DE401" s="11"/>
      <c r="DF401" s="11"/>
      <c r="DG401" s="11"/>
    </row>
    <row r="402" ht="15.75" customHeight="1">
      <c r="A402" s="41"/>
      <c r="B402" s="11"/>
      <c r="C402" s="11"/>
      <c r="D402" s="11"/>
      <c r="E402" s="11"/>
      <c r="F402" s="11"/>
      <c r="G402" s="11"/>
      <c r="H402" s="11"/>
      <c r="I402" s="41"/>
      <c r="J402" s="11"/>
      <c r="K402" s="11"/>
      <c r="L402" s="11"/>
      <c r="M402" s="11"/>
      <c r="N402" s="11"/>
      <c r="O402" s="11"/>
      <c r="P402" s="11"/>
      <c r="Q402" s="41"/>
      <c r="R402" s="11"/>
      <c r="S402" s="11"/>
      <c r="T402" s="11"/>
      <c r="U402" s="11"/>
      <c r="V402" s="11"/>
      <c r="W402" s="11"/>
      <c r="X402" s="11"/>
      <c r="Y402" s="4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40"/>
      <c r="CQ402" s="40"/>
      <c r="CR402" s="40"/>
      <c r="CS402" s="40"/>
      <c r="CT402" s="40"/>
      <c r="CU402" s="40"/>
      <c r="CV402" s="40"/>
      <c r="CW402" s="40"/>
      <c r="CX402" s="40"/>
      <c r="CY402" s="40"/>
      <c r="CZ402" s="40"/>
      <c r="DA402" s="11"/>
      <c r="DB402" s="11"/>
      <c r="DC402" s="11"/>
      <c r="DD402" s="11"/>
      <c r="DE402" s="11"/>
      <c r="DF402" s="11"/>
      <c r="DG402" s="11"/>
    </row>
    <row r="403" ht="15.75" customHeight="1">
      <c r="A403" s="41"/>
      <c r="B403" s="11"/>
      <c r="C403" s="11"/>
      <c r="D403" s="11"/>
      <c r="E403" s="11"/>
      <c r="F403" s="11"/>
      <c r="G403" s="11"/>
      <c r="H403" s="11"/>
      <c r="I403" s="41"/>
      <c r="J403" s="11"/>
      <c r="K403" s="11"/>
      <c r="L403" s="11"/>
      <c r="M403" s="11"/>
      <c r="N403" s="11"/>
      <c r="O403" s="11"/>
      <c r="P403" s="11"/>
      <c r="Q403" s="41"/>
      <c r="R403" s="11"/>
      <c r="S403" s="11"/>
      <c r="T403" s="11"/>
      <c r="U403" s="11"/>
      <c r="V403" s="11"/>
      <c r="W403" s="11"/>
      <c r="X403" s="11"/>
      <c r="Y403" s="4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40"/>
      <c r="CQ403" s="40"/>
      <c r="CR403" s="40"/>
      <c r="CS403" s="40"/>
      <c r="CT403" s="40"/>
      <c r="CU403" s="40"/>
      <c r="CV403" s="40"/>
      <c r="CW403" s="40"/>
      <c r="CX403" s="40"/>
      <c r="CY403" s="40"/>
      <c r="CZ403" s="40"/>
      <c r="DA403" s="11"/>
      <c r="DB403" s="11"/>
      <c r="DC403" s="11"/>
      <c r="DD403" s="11"/>
      <c r="DE403" s="11"/>
      <c r="DF403" s="11"/>
      <c r="DG403" s="11"/>
    </row>
    <row r="404" ht="15.75" customHeight="1">
      <c r="A404" s="41"/>
      <c r="B404" s="11"/>
      <c r="C404" s="11"/>
      <c r="D404" s="11"/>
      <c r="E404" s="11"/>
      <c r="F404" s="11"/>
      <c r="G404" s="11"/>
      <c r="H404" s="11"/>
      <c r="I404" s="41"/>
      <c r="J404" s="11"/>
      <c r="K404" s="11"/>
      <c r="L404" s="11"/>
      <c r="M404" s="11"/>
      <c r="N404" s="11"/>
      <c r="O404" s="11"/>
      <c r="P404" s="11"/>
      <c r="Q404" s="41"/>
      <c r="R404" s="11"/>
      <c r="S404" s="11"/>
      <c r="T404" s="11"/>
      <c r="U404" s="11"/>
      <c r="V404" s="11"/>
      <c r="W404" s="11"/>
      <c r="X404" s="11"/>
      <c r="Y404" s="4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40"/>
      <c r="CQ404" s="40"/>
      <c r="CR404" s="40"/>
      <c r="CS404" s="40"/>
      <c r="CT404" s="40"/>
      <c r="CU404" s="40"/>
      <c r="CV404" s="40"/>
      <c r="CW404" s="40"/>
      <c r="CX404" s="40"/>
      <c r="CY404" s="40"/>
      <c r="CZ404" s="40"/>
      <c r="DA404" s="11"/>
      <c r="DB404" s="11"/>
      <c r="DC404" s="11"/>
      <c r="DD404" s="11"/>
      <c r="DE404" s="11"/>
      <c r="DF404" s="11"/>
      <c r="DG404" s="11"/>
    </row>
    <row r="405" ht="15.75" customHeight="1">
      <c r="A405" s="41"/>
      <c r="B405" s="11"/>
      <c r="C405" s="11"/>
      <c r="D405" s="11"/>
      <c r="E405" s="11"/>
      <c r="F405" s="11"/>
      <c r="G405" s="11"/>
      <c r="H405" s="11"/>
      <c r="I405" s="41"/>
      <c r="J405" s="11"/>
      <c r="K405" s="11"/>
      <c r="L405" s="11"/>
      <c r="M405" s="11"/>
      <c r="N405" s="11"/>
      <c r="O405" s="11"/>
      <c r="P405" s="11"/>
      <c r="Q405" s="41"/>
      <c r="R405" s="11"/>
      <c r="S405" s="11"/>
      <c r="T405" s="11"/>
      <c r="U405" s="11"/>
      <c r="V405" s="11"/>
      <c r="W405" s="11"/>
      <c r="X405" s="11"/>
      <c r="Y405" s="4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40"/>
      <c r="CQ405" s="40"/>
      <c r="CR405" s="40"/>
      <c r="CS405" s="40"/>
      <c r="CT405" s="40"/>
      <c r="CU405" s="40"/>
      <c r="CV405" s="40"/>
      <c r="CW405" s="40"/>
      <c r="CX405" s="40"/>
      <c r="CY405" s="40"/>
      <c r="CZ405" s="40"/>
      <c r="DA405" s="11"/>
      <c r="DB405" s="11"/>
      <c r="DC405" s="11"/>
      <c r="DD405" s="11"/>
      <c r="DE405" s="11"/>
      <c r="DF405" s="11"/>
      <c r="DG405" s="11"/>
    </row>
    <row r="406" ht="15.75" customHeight="1">
      <c r="A406" s="41"/>
      <c r="B406" s="11"/>
      <c r="C406" s="11"/>
      <c r="D406" s="11"/>
      <c r="E406" s="11"/>
      <c r="F406" s="11"/>
      <c r="G406" s="11"/>
      <c r="H406" s="11"/>
      <c r="I406" s="41"/>
      <c r="J406" s="11"/>
      <c r="K406" s="11"/>
      <c r="L406" s="11"/>
      <c r="M406" s="11"/>
      <c r="N406" s="11"/>
      <c r="O406" s="11"/>
      <c r="P406" s="11"/>
      <c r="Q406" s="41"/>
      <c r="R406" s="11"/>
      <c r="S406" s="11"/>
      <c r="T406" s="11"/>
      <c r="U406" s="11"/>
      <c r="V406" s="11"/>
      <c r="W406" s="11"/>
      <c r="X406" s="11"/>
      <c r="Y406" s="4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40"/>
      <c r="CQ406" s="40"/>
      <c r="CR406" s="40"/>
      <c r="CS406" s="40"/>
      <c r="CT406" s="40"/>
      <c r="CU406" s="40"/>
      <c r="CV406" s="40"/>
      <c r="CW406" s="40"/>
      <c r="CX406" s="40"/>
      <c r="CY406" s="40"/>
      <c r="CZ406" s="40"/>
      <c r="DA406" s="11"/>
      <c r="DB406" s="11"/>
      <c r="DC406" s="11"/>
      <c r="DD406" s="11"/>
      <c r="DE406" s="11"/>
      <c r="DF406" s="11"/>
      <c r="DG406" s="11"/>
    </row>
    <row r="407" ht="15.75" customHeight="1">
      <c r="A407" s="41"/>
      <c r="B407" s="11"/>
      <c r="C407" s="11"/>
      <c r="D407" s="11"/>
      <c r="E407" s="11"/>
      <c r="F407" s="11"/>
      <c r="G407" s="11"/>
      <c r="H407" s="11"/>
      <c r="I407" s="41"/>
      <c r="J407" s="11"/>
      <c r="K407" s="11"/>
      <c r="L407" s="11"/>
      <c r="M407" s="11"/>
      <c r="N407" s="11"/>
      <c r="O407" s="11"/>
      <c r="P407" s="11"/>
      <c r="Q407" s="41"/>
      <c r="R407" s="11"/>
      <c r="S407" s="11"/>
      <c r="T407" s="11"/>
      <c r="U407" s="11"/>
      <c r="V407" s="11"/>
      <c r="W407" s="11"/>
      <c r="X407" s="11"/>
      <c r="Y407" s="4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40"/>
      <c r="CQ407" s="40"/>
      <c r="CR407" s="40"/>
      <c r="CS407" s="40"/>
      <c r="CT407" s="40"/>
      <c r="CU407" s="40"/>
      <c r="CV407" s="40"/>
      <c r="CW407" s="40"/>
      <c r="CX407" s="40"/>
      <c r="CY407" s="40"/>
      <c r="CZ407" s="40"/>
      <c r="DA407" s="11"/>
      <c r="DB407" s="11"/>
      <c r="DC407" s="11"/>
      <c r="DD407" s="11"/>
      <c r="DE407" s="11"/>
      <c r="DF407" s="11"/>
      <c r="DG407" s="11"/>
    </row>
    <row r="408" ht="15.75" customHeight="1">
      <c r="A408" s="41"/>
      <c r="B408" s="11"/>
      <c r="C408" s="11"/>
      <c r="D408" s="11"/>
      <c r="E408" s="11"/>
      <c r="F408" s="11"/>
      <c r="G408" s="11"/>
      <c r="H408" s="11"/>
      <c r="I408" s="41"/>
      <c r="J408" s="11"/>
      <c r="K408" s="11"/>
      <c r="L408" s="11"/>
      <c r="M408" s="11"/>
      <c r="N408" s="11"/>
      <c r="O408" s="11"/>
      <c r="P408" s="11"/>
      <c r="Q408" s="41"/>
      <c r="R408" s="11"/>
      <c r="S408" s="11"/>
      <c r="T408" s="11"/>
      <c r="U408" s="11"/>
      <c r="V408" s="11"/>
      <c r="W408" s="11"/>
      <c r="X408" s="11"/>
      <c r="Y408" s="4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40"/>
      <c r="CQ408" s="40"/>
      <c r="CR408" s="40"/>
      <c r="CS408" s="40"/>
      <c r="CT408" s="40"/>
      <c r="CU408" s="40"/>
      <c r="CV408" s="40"/>
      <c r="CW408" s="40"/>
      <c r="CX408" s="40"/>
      <c r="CY408" s="40"/>
      <c r="CZ408" s="40"/>
      <c r="DA408" s="11"/>
      <c r="DB408" s="11"/>
      <c r="DC408" s="11"/>
      <c r="DD408" s="11"/>
      <c r="DE408" s="11"/>
      <c r="DF408" s="11"/>
      <c r="DG408" s="11"/>
    </row>
    <row r="409" ht="15.75" customHeight="1">
      <c r="A409" s="41"/>
      <c r="B409" s="11"/>
      <c r="C409" s="11"/>
      <c r="D409" s="11"/>
      <c r="E409" s="11"/>
      <c r="F409" s="11"/>
      <c r="G409" s="11"/>
      <c r="H409" s="11"/>
      <c r="I409" s="41"/>
      <c r="J409" s="11"/>
      <c r="K409" s="11"/>
      <c r="L409" s="11"/>
      <c r="M409" s="11"/>
      <c r="N409" s="11"/>
      <c r="O409" s="11"/>
      <c r="P409" s="11"/>
      <c r="Q409" s="41"/>
      <c r="R409" s="11"/>
      <c r="S409" s="11"/>
      <c r="T409" s="11"/>
      <c r="U409" s="11"/>
      <c r="V409" s="11"/>
      <c r="W409" s="11"/>
      <c r="X409" s="11"/>
      <c r="Y409" s="4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40"/>
      <c r="CQ409" s="40"/>
      <c r="CR409" s="40"/>
      <c r="CS409" s="40"/>
      <c r="CT409" s="40"/>
      <c r="CU409" s="40"/>
      <c r="CV409" s="40"/>
      <c r="CW409" s="40"/>
      <c r="CX409" s="40"/>
      <c r="CY409" s="40"/>
      <c r="CZ409" s="40"/>
      <c r="DA409" s="11"/>
      <c r="DB409" s="11"/>
      <c r="DC409" s="11"/>
      <c r="DD409" s="11"/>
      <c r="DE409" s="11"/>
      <c r="DF409" s="11"/>
      <c r="DG409" s="11"/>
    </row>
    <row r="410" ht="15.75" customHeight="1">
      <c r="A410" s="41"/>
      <c r="B410" s="11"/>
      <c r="C410" s="11"/>
      <c r="D410" s="11"/>
      <c r="E410" s="11"/>
      <c r="F410" s="11"/>
      <c r="G410" s="11"/>
      <c r="H410" s="11"/>
      <c r="I410" s="41"/>
      <c r="J410" s="11"/>
      <c r="K410" s="11"/>
      <c r="L410" s="11"/>
      <c r="M410" s="11"/>
      <c r="N410" s="11"/>
      <c r="O410" s="11"/>
      <c r="P410" s="11"/>
      <c r="Q410" s="41"/>
      <c r="R410" s="11"/>
      <c r="S410" s="11"/>
      <c r="T410" s="11"/>
      <c r="U410" s="11"/>
      <c r="V410" s="11"/>
      <c r="W410" s="11"/>
      <c r="X410" s="11"/>
      <c r="Y410" s="4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40"/>
      <c r="CQ410" s="40"/>
      <c r="CR410" s="40"/>
      <c r="CS410" s="40"/>
      <c r="CT410" s="40"/>
      <c r="CU410" s="40"/>
      <c r="CV410" s="40"/>
      <c r="CW410" s="40"/>
      <c r="CX410" s="40"/>
      <c r="CY410" s="40"/>
      <c r="CZ410" s="40"/>
      <c r="DA410" s="11"/>
      <c r="DB410" s="11"/>
      <c r="DC410" s="11"/>
      <c r="DD410" s="11"/>
      <c r="DE410" s="11"/>
      <c r="DF410" s="11"/>
      <c r="DG410" s="11"/>
    </row>
    <row r="411" ht="15.75" customHeight="1">
      <c r="A411" s="41"/>
      <c r="B411" s="11"/>
      <c r="C411" s="11"/>
      <c r="D411" s="11"/>
      <c r="E411" s="11"/>
      <c r="F411" s="11"/>
      <c r="G411" s="11"/>
      <c r="H411" s="11"/>
      <c r="I411" s="41"/>
      <c r="J411" s="11"/>
      <c r="K411" s="11"/>
      <c r="L411" s="11"/>
      <c r="M411" s="11"/>
      <c r="N411" s="11"/>
      <c r="O411" s="11"/>
      <c r="P411" s="11"/>
      <c r="Q411" s="41"/>
      <c r="R411" s="11"/>
      <c r="S411" s="11"/>
      <c r="T411" s="11"/>
      <c r="U411" s="11"/>
      <c r="V411" s="11"/>
      <c r="W411" s="11"/>
      <c r="X411" s="11"/>
      <c r="Y411" s="4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40"/>
      <c r="CQ411" s="40"/>
      <c r="CR411" s="40"/>
      <c r="CS411" s="40"/>
      <c r="CT411" s="40"/>
      <c r="CU411" s="40"/>
      <c r="CV411" s="40"/>
      <c r="CW411" s="40"/>
      <c r="CX411" s="40"/>
      <c r="CY411" s="40"/>
      <c r="CZ411" s="40"/>
      <c r="DA411" s="11"/>
      <c r="DB411" s="11"/>
      <c r="DC411" s="11"/>
      <c r="DD411" s="11"/>
      <c r="DE411" s="11"/>
      <c r="DF411" s="11"/>
      <c r="DG411" s="11"/>
    </row>
    <row r="412" ht="15.75" customHeight="1">
      <c r="A412" s="41"/>
      <c r="B412" s="11"/>
      <c r="C412" s="11"/>
      <c r="D412" s="11"/>
      <c r="E412" s="11"/>
      <c r="F412" s="11"/>
      <c r="G412" s="11"/>
      <c r="H412" s="11"/>
      <c r="I412" s="41"/>
      <c r="J412" s="11"/>
      <c r="K412" s="11"/>
      <c r="L412" s="11"/>
      <c r="M412" s="11"/>
      <c r="N412" s="11"/>
      <c r="O412" s="11"/>
      <c r="P412" s="11"/>
      <c r="Q412" s="41"/>
      <c r="R412" s="11"/>
      <c r="S412" s="11"/>
      <c r="T412" s="11"/>
      <c r="U412" s="11"/>
      <c r="V412" s="11"/>
      <c r="W412" s="11"/>
      <c r="X412" s="11"/>
      <c r="Y412" s="4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40"/>
      <c r="CQ412" s="40"/>
      <c r="CR412" s="40"/>
      <c r="CS412" s="40"/>
      <c r="CT412" s="40"/>
      <c r="CU412" s="40"/>
      <c r="CV412" s="40"/>
      <c r="CW412" s="40"/>
      <c r="CX412" s="40"/>
      <c r="CY412" s="40"/>
      <c r="CZ412" s="40"/>
      <c r="DA412" s="11"/>
      <c r="DB412" s="11"/>
      <c r="DC412" s="11"/>
      <c r="DD412" s="11"/>
      <c r="DE412" s="11"/>
      <c r="DF412" s="11"/>
      <c r="DG412" s="11"/>
    </row>
    <row r="413" ht="15.75" customHeight="1">
      <c r="A413" s="41"/>
      <c r="B413" s="11"/>
      <c r="C413" s="11"/>
      <c r="D413" s="11"/>
      <c r="E413" s="11"/>
      <c r="F413" s="11"/>
      <c r="G413" s="11"/>
      <c r="H413" s="11"/>
      <c r="I413" s="41"/>
      <c r="J413" s="11"/>
      <c r="K413" s="11"/>
      <c r="L413" s="11"/>
      <c r="M413" s="11"/>
      <c r="N413" s="11"/>
      <c r="O413" s="11"/>
      <c r="P413" s="11"/>
      <c r="Q413" s="41"/>
      <c r="R413" s="11"/>
      <c r="S413" s="11"/>
      <c r="T413" s="11"/>
      <c r="U413" s="11"/>
      <c r="V413" s="11"/>
      <c r="W413" s="11"/>
      <c r="X413" s="11"/>
      <c r="Y413" s="4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40"/>
      <c r="CQ413" s="40"/>
      <c r="CR413" s="40"/>
      <c r="CS413" s="40"/>
      <c r="CT413" s="40"/>
      <c r="CU413" s="40"/>
      <c r="CV413" s="40"/>
      <c r="CW413" s="40"/>
      <c r="CX413" s="40"/>
      <c r="CY413" s="40"/>
      <c r="CZ413" s="40"/>
      <c r="DA413" s="11"/>
      <c r="DB413" s="11"/>
      <c r="DC413" s="11"/>
      <c r="DD413" s="11"/>
      <c r="DE413" s="11"/>
      <c r="DF413" s="11"/>
      <c r="DG413" s="11"/>
    </row>
    <row r="414" ht="15.75" customHeight="1">
      <c r="A414" s="41"/>
      <c r="B414" s="11"/>
      <c r="C414" s="11"/>
      <c r="D414" s="11"/>
      <c r="E414" s="11"/>
      <c r="F414" s="11"/>
      <c r="G414" s="11"/>
      <c r="H414" s="11"/>
      <c r="I414" s="41"/>
      <c r="J414" s="11"/>
      <c r="K414" s="11"/>
      <c r="L414" s="11"/>
      <c r="M414" s="11"/>
      <c r="N414" s="11"/>
      <c r="O414" s="11"/>
      <c r="P414" s="11"/>
      <c r="Q414" s="41"/>
      <c r="R414" s="11"/>
      <c r="S414" s="11"/>
      <c r="T414" s="11"/>
      <c r="U414" s="11"/>
      <c r="V414" s="11"/>
      <c r="W414" s="11"/>
      <c r="X414" s="11"/>
      <c r="Y414" s="4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40"/>
      <c r="CQ414" s="40"/>
      <c r="CR414" s="40"/>
      <c r="CS414" s="40"/>
      <c r="CT414" s="40"/>
      <c r="CU414" s="40"/>
      <c r="CV414" s="40"/>
      <c r="CW414" s="40"/>
      <c r="CX414" s="40"/>
      <c r="CY414" s="40"/>
      <c r="CZ414" s="40"/>
      <c r="DA414" s="11"/>
      <c r="DB414" s="11"/>
      <c r="DC414" s="11"/>
      <c r="DD414" s="11"/>
      <c r="DE414" s="11"/>
      <c r="DF414" s="11"/>
      <c r="DG414" s="11"/>
    </row>
    <row r="415" ht="15.75" customHeight="1">
      <c r="A415" s="41"/>
      <c r="B415" s="11"/>
      <c r="C415" s="11"/>
      <c r="D415" s="11"/>
      <c r="E415" s="11"/>
      <c r="F415" s="11"/>
      <c r="G415" s="11"/>
      <c r="H415" s="11"/>
      <c r="I415" s="41"/>
      <c r="J415" s="11"/>
      <c r="K415" s="11"/>
      <c r="L415" s="11"/>
      <c r="M415" s="11"/>
      <c r="N415" s="11"/>
      <c r="O415" s="11"/>
      <c r="P415" s="11"/>
      <c r="Q415" s="41"/>
      <c r="R415" s="11"/>
      <c r="S415" s="11"/>
      <c r="T415" s="11"/>
      <c r="U415" s="11"/>
      <c r="V415" s="11"/>
      <c r="W415" s="11"/>
      <c r="X415" s="11"/>
      <c r="Y415" s="4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40"/>
      <c r="CQ415" s="40"/>
      <c r="CR415" s="40"/>
      <c r="CS415" s="40"/>
      <c r="CT415" s="40"/>
      <c r="CU415" s="40"/>
      <c r="CV415" s="40"/>
      <c r="CW415" s="40"/>
      <c r="CX415" s="40"/>
      <c r="CY415" s="40"/>
      <c r="CZ415" s="40"/>
      <c r="DA415" s="11"/>
      <c r="DB415" s="11"/>
      <c r="DC415" s="11"/>
      <c r="DD415" s="11"/>
      <c r="DE415" s="11"/>
      <c r="DF415" s="11"/>
      <c r="DG415" s="11"/>
    </row>
    <row r="416" ht="15.75" customHeight="1">
      <c r="A416" s="41"/>
      <c r="B416" s="11"/>
      <c r="C416" s="11"/>
      <c r="D416" s="11"/>
      <c r="E416" s="11"/>
      <c r="F416" s="11"/>
      <c r="G416" s="11"/>
      <c r="H416" s="11"/>
      <c r="I416" s="41"/>
      <c r="J416" s="11"/>
      <c r="K416" s="11"/>
      <c r="L416" s="11"/>
      <c r="M416" s="11"/>
      <c r="N416" s="11"/>
      <c r="O416" s="11"/>
      <c r="P416" s="11"/>
      <c r="Q416" s="41"/>
      <c r="R416" s="11"/>
      <c r="S416" s="11"/>
      <c r="T416" s="11"/>
      <c r="U416" s="11"/>
      <c r="V416" s="11"/>
      <c r="W416" s="11"/>
      <c r="X416" s="11"/>
      <c r="Y416" s="4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40"/>
      <c r="CQ416" s="40"/>
      <c r="CR416" s="40"/>
      <c r="CS416" s="40"/>
      <c r="CT416" s="40"/>
      <c r="CU416" s="40"/>
      <c r="CV416" s="40"/>
      <c r="CW416" s="40"/>
      <c r="CX416" s="40"/>
      <c r="CY416" s="40"/>
      <c r="CZ416" s="40"/>
      <c r="DA416" s="11"/>
      <c r="DB416" s="11"/>
      <c r="DC416" s="11"/>
      <c r="DD416" s="11"/>
      <c r="DE416" s="11"/>
      <c r="DF416" s="11"/>
      <c r="DG416" s="11"/>
    </row>
    <row r="417" ht="15.75" customHeight="1">
      <c r="A417" s="41"/>
      <c r="B417" s="11"/>
      <c r="C417" s="11"/>
      <c r="D417" s="11"/>
      <c r="E417" s="11"/>
      <c r="F417" s="11"/>
      <c r="G417" s="11"/>
      <c r="H417" s="11"/>
      <c r="I417" s="41"/>
      <c r="J417" s="11"/>
      <c r="K417" s="11"/>
      <c r="L417" s="11"/>
      <c r="M417" s="11"/>
      <c r="N417" s="11"/>
      <c r="O417" s="11"/>
      <c r="P417" s="11"/>
      <c r="Q417" s="41"/>
      <c r="R417" s="11"/>
      <c r="S417" s="11"/>
      <c r="T417" s="11"/>
      <c r="U417" s="11"/>
      <c r="V417" s="11"/>
      <c r="W417" s="11"/>
      <c r="X417" s="11"/>
      <c r="Y417" s="4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40"/>
      <c r="CQ417" s="40"/>
      <c r="CR417" s="40"/>
      <c r="CS417" s="40"/>
      <c r="CT417" s="40"/>
      <c r="CU417" s="40"/>
      <c r="CV417" s="40"/>
      <c r="CW417" s="40"/>
      <c r="CX417" s="40"/>
      <c r="CY417" s="40"/>
      <c r="CZ417" s="40"/>
      <c r="DA417" s="11"/>
      <c r="DB417" s="11"/>
      <c r="DC417" s="11"/>
      <c r="DD417" s="11"/>
      <c r="DE417" s="11"/>
      <c r="DF417" s="11"/>
      <c r="DG417" s="11"/>
    </row>
    <row r="418" ht="15.75" customHeight="1">
      <c r="A418" s="41"/>
      <c r="B418" s="11"/>
      <c r="C418" s="11"/>
      <c r="D418" s="11"/>
      <c r="E418" s="11"/>
      <c r="F418" s="11"/>
      <c r="G418" s="11"/>
      <c r="H418" s="11"/>
      <c r="I418" s="41"/>
      <c r="J418" s="11"/>
      <c r="K418" s="11"/>
      <c r="L418" s="11"/>
      <c r="M418" s="11"/>
      <c r="N418" s="11"/>
      <c r="O418" s="11"/>
      <c r="P418" s="11"/>
      <c r="Q418" s="41"/>
      <c r="R418" s="11"/>
      <c r="S418" s="11"/>
      <c r="T418" s="11"/>
      <c r="U418" s="11"/>
      <c r="V418" s="11"/>
      <c r="W418" s="11"/>
      <c r="X418" s="11"/>
      <c r="Y418" s="4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40"/>
      <c r="CQ418" s="40"/>
      <c r="CR418" s="40"/>
      <c r="CS418" s="40"/>
      <c r="CT418" s="40"/>
      <c r="CU418" s="40"/>
      <c r="CV418" s="40"/>
      <c r="CW418" s="40"/>
      <c r="CX418" s="40"/>
      <c r="CY418" s="40"/>
      <c r="CZ418" s="40"/>
      <c r="DA418" s="11"/>
      <c r="DB418" s="11"/>
      <c r="DC418" s="11"/>
      <c r="DD418" s="11"/>
      <c r="DE418" s="11"/>
      <c r="DF418" s="11"/>
      <c r="DG418" s="11"/>
    </row>
    <row r="419" ht="15.75" customHeight="1">
      <c r="A419" s="41"/>
      <c r="B419" s="11"/>
      <c r="C419" s="11"/>
      <c r="D419" s="11"/>
      <c r="E419" s="11"/>
      <c r="F419" s="11"/>
      <c r="G419" s="11"/>
      <c r="H419" s="11"/>
      <c r="I419" s="41"/>
      <c r="J419" s="11"/>
      <c r="K419" s="11"/>
      <c r="L419" s="11"/>
      <c r="M419" s="11"/>
      <c r="N419" s="11"/>
      <c r="O419" s="11"/>
      <c r="P419" s="11"/>
      <c r="Q419" s="41"/>
      <c r="R419" s="11"/>
      <c r="S419" s="11"/>
      <c r="T419" s="11"/>
      <c r="U419" s="11"/>
      <c r="V419" s="11"/>
      <c r="W419" s="11"/>
      <c r="X419" s="11"/>
      <c r="Y419" s="4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40"/>
      <c r="CQ419" s="40"/>
      <c r="CR419" s="40"/>
      <c r="CS419" s="40"/>
      <c r="CT419" s="40"/>
      <c r="CU419" s="40"/>
      <c r="CV419" s="40"/>
      <c r="CW419" s="40"/>
      <c r="CX419" s="40"/>
      <c r="CY419" s="40"/>
      <c r="CZ419" s="40"/>
      <c r="DA419" s="11"/>
      <c r="DB419" s="11"/>
      <c r="DC419" s="11"/>
      <c r="DD419" s="11"/>
      <c r="DE419" s="11"/>
      <c r="DF419" s="11"/>
      <c r="DG419" s="11"/>
    </row>
    <row r="420" ht="15.75" customHeight="1">
      <c r="A420" s="41"/>
      <c r="B420" s="11"/>
      <c r="C420" s="11"/>
      <c r="D420" s="11"/>
      <c r="E420" s="11"/>
      <c r="F420" s="11"/>
      <c r="G420" s="11"/>
      <c r="H420" s="11"/>
      <c r="I420" s="41"/>
      <c r="J420" s="11"/>
      <c r="K420" s="11"/>
      <c r="L420" s="11"/>
      <c r="M420" s="11"/>
      <c r="N420" s="11"/>
      <c r="O420" s="11"/>
      <c r="P420" s="11"/>
      <c r="Q420" s="41"/>
      <c r="R420" s="11"/>
      <c r="S420" s="11"/>
      <c r="T420" s="11"/>
      <c r="U420" s="11"/>
      <c r="V420" s="11"/>
      <c r="W420" s="11"/>
      <c r="X420" s="11"/>
      <c r="Y420" s="4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40"/>
      <c r="CQ420" s="40"/>
      <c r="CR420" s="40"/>
      <c r="CS420" s="40"/>
      <c r="CT420" s="40"/>
      <c r="CU420" s="40"/>
      <c r="CV420" s="40"/>
      <c r="CW420" s="40"/>
      <c r="CX420" s="40"/>
      <c r="CY420" s="40"/>
      <c r="CZ420" s="40"/>
      <c r="DA420" s="11"/>
      <c r="DB420" s="11"/>
      <c r="DC420" s="11"/>
      <c r="DD420" s="11"/>
      <c r="DE420" s="11"/>
      <c r="DF420" s="11"/>
      <c r="DG420" s="11"/>
    </row>
    <row r="421" ht="15.75" customHeight="1">
      <c r="A421" s="41"/>
      <c r="B421" s="11"/>
      <c r="C421" s="11"/>
      <c r="D421" s="11"/>
      <c r="E421" s="11"/>
      <c r="F421" s="11"/>
      <c r="G421" s="11"/>
      <c r="H421" s="11"/>
      <c r="I421" s="41"/>
      <c r="J421" s="11"/>
      <c r="K421" s="11"/>
      <c r="L421" s="11"/>
      <c r="M421" s="11"/>
      <c r="N421" s="11"/>
      <c r="O421" s="11"/>
      <c r="P421" s="11"/>
      <c r="Q421" s="41"/>
      <c r="R421" s="11"/>
      <c r="S421" s="11"/>
      <c r="T421" s="11"/>
      <c r="U421" s="11"/>
      <c r="V421" s="11"/>
      <c r="W421" s="11"/>
      <c r="X421" s="11"/>
      <c r="Y421" s="4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40"/>
      <c r="CQ421" s="40"/>
      <c r="CR421" s="40"/>
      <c r="CS421" s="40"/>
      <c r="CT421" s="40"/>
      <c r="CU421" s="40"/>
      <c r="CV421" s="40"/>
      <c r="CW421" s="40"/>
      <c r="CX421" s="40"/>
      <c r="CY421" s="40"/>
      <c r="CZ421" s="40"/>
      <c r="DA421" s="11"/>
      <c r="DB421" s="11"/>
      <c r="DC421" s="11"/>
      <c r="DD421" s="11"/>
      <c r="DE421" s="11"/>
      <c r="DF421" s="11"/>
      <c r="DG421" s="11"/>
    </row>
    <row r="422" ht="15.75" customHeight="1">
      <c r="A422" s="41"/>
      <c r="B422" s="11"/>
      <c r="C422" s="11"/>
      <c r="D422" s="11"/>
      <c r="E422" s="11"/>
      <c r="F422" s="11"/>
      <c r="G422" s="11"/>
      <c r="H422" s="11"/>
      <c r="I422" s="41"/>
      <c r="J422" s="11"/>
      <c r="K422" s="11"/>
      <c r="L422" s="11"/>
      <c r="M422" s="11"/>
      <c r="N422" s="11"/>
      <c r="O422" s="11"/>
      <c r="P422" s="11"/>
      <c r="Q422" s="41"/>
      <c r="R422" s="11"/>
      <c r="S422" s="11"/>
      <c r="T422" s="11"/>
      <c r="U422" s="11"/>
      <c r="V422" s="11"/>
      <c r="W422" s="11"/>
      <c r="X422" s="11"/>
      <c r="Y422" s="4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40"/>
      <c r="CQ422" s="40"/>
      <c r="CR422" s="40"/>
      <c r="CS422" s="40"/>
      <c r="CT422" s="40"/>
      <c r="CU422" s="40"/>
      <c r="CV422" s="40"/>
      <c r="CW422" s="40"/>
      <c r="CX422" s="40"/>
      <c r="CY422" s="40"/>
      <c r="CZ422" s="40"/>
      <c r="DA422" s="11"/>
      <c r="DB422" s="11"/>
      <c r="DC422" s="11"/>
      <c r="DD422" s="11"/>
      <c r="DE422" s="11"/>
      <c r="DF422" s="11"/>
      <c r="DG422" s="11"/>
    </row>
    <row r="423" ht="15.75" customHeight="1">
      <c r="A423" s="41"/>
      <c r="B423" s="11"/>
      <c r="C423" s="11"/>
      <c r="D423" s="11"/>
      <c r="E423" s="11"/>
      <c r="F423" s="11"/>
      <c r="G423" s="11"/>
      <c r="H423" s="11"/>
      <c r="I423" s="41"/>
      <c r="J423" s="11"/>
      <c r="K423" s="11"/>
      <c r="L423" s="11"/>
      <c r="M423" s="11"/>
      <c r="N423" s="11"/>
      <c r="O423" s="11"/>
      <c r="P423" s="11"/>
      <c r="Q423" s="41"/>
      <c r="R423" s="11"/>
      <c r="S423" s="11"/>
      <c r="T423" s="11"/>
      <c r="U423" s="11"/>
      <c r="V423" s="11"/>
      <c r="W423" s="11"/>
      <c r="X423" s="11"/>
      <c r="Y423" s="4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40"/>
      <c r="CQ423" s="40"/>
      <c r="CR423" s="40"/>
      <c r="CS423" s="40"/>
      <c r="CT423" s="40"/>
      <c r="CU423" s="40"/>
      <c r="CV423" s="40"/>
      <c r="CW423" s="40"/>
      <c r="CX423" s="40"/>
      <c r="CY423" s="40"/>
      <c r="CZ423" s="40"/>
      <c r="DA423" s="11"/>
      <c r="DB423" s="11"/>
      <c r="DC423" s="11"/>
      <c r="DD423" s="11"/>
      <c r="DE423" s="11"/>
      <c r="DF423" s="11"/>
      <c r="DG423" s="11"/>
    </row>
    <row r="424" ht="15.75" customHeight="1">
      <c r="A424" s="41"/>
      <c r="B424" s="11"/>
      <c r="C424" s="11"/>
      <c r="D424" s="11"/>
      <c r="E424" s="11"/>
      <c r="F424" s="11"/>
      <c r="G424" s="11"/>
      <c r="H424" s="11"/>
      <c r="I424" s="41"/>
      <c r="J424" s="11"/>
      <c r="K424" s="11"/>
      <c r="L424" s="11"/>
      <c r="M424" s="11"/>
      <c r="N424" s="11"/>
      <c r="O424" s="11"/>
      <c r="P424" s="11"/>
      <c r="Q424" s="41"/>
      <c r="R424" s="11"/>
      <c r="S424" s="11"/>
      <c r="T424" s="11"/>
      <c r="U424" s="11"/>
      <c r="V424" s="11"/>
      <c r="W424" s="11"/>
      <c r="X424" s="11"/>
      <c r="Y424" s="4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40"/>
      <c r="CQ424" s="40"/>
      <c r="CR424" s="40"/>
      <c r="CS424" s="40"/>
      <c r="CT424" s="40"/>
      <c r="CU424" s="40"/>
      <c r="CV424" s="40"/>
      <c r="CW424" s="40"/>
      <c r="CX424" s="40"/>
      <c r="CY424" s="40"/>
      <c r="CZ424" s="40"/>
      <c r="DA424" s="11"/>
      <c r="DB424" s="11"/>
      <c r="DC424" s="11"/>
      <c r="DD424" s="11"/>
      <c r="DE424" s="11"/>
      <c r="DF424" s="11"/>
      <c r="DG424" s="11"/>
    </row>
    <row r="425" ht="15.75" customHeight="1">
      <c r="A425" s="41"/>
      <c r="B425" s="11"/>
      <c r="C425" s="11"/>
      <c r="D425" s="11"/>
      <c r="E425" s="11"/>
      <c r="F425" s="11"/>
      <c r="G425" s="11"/>
      <c r="H425" s="11"/>
      <c r="I425" s="41"/>
      <c r="J425" s="11"/>
      <c r="K425" s="11"/>
      <c r="L425" s="11"/>
      <c r="M425" s="11"/>
      <c r="N425" s="11"/>
      <c r="O425" s="11"/>
      <c r="P425" s="11"/>
      <c r="Q425" s="41"/>
      <c r="R425" s="11"/>
      <c r="S425" s="11"/>
      <c r="T425" s="11"/>
      <c r="U425" s="11"/>
      <c r="V425" s="11"/>
      <c r="W425" s="11"/>
      <c r="X425" s="11"/>
      <c r="Y425" s="4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40"/>
      <c r="CQ425" s="40"/>
      <c r="CR425" s="40"/>
      <c r="CS425" s="40"/>
      <c r="CT425" s="40"/>
      <c r="CU425" s="40"/>
      <c r="CV425" s="40"/>
      <c r="CW425" s="40"/>
      <c r="CX425" s="40"/>
      <c r="CY425" s="40"/>
      <c r="CZ425" s="40"/>
      <c r="DA425" s="11"/>
      <c r="DB425" s="11"/>
      <c r="DC425" s="11"/>
      <c r="DD425" s="11"/>
      <c r="DE425" s="11"/>
      <c r="DF425" s="11"/>
      <c r="DG425" s="11"/>
    </row>
    <row r="426" ht="15.75" customHeight="1">
      <c r="A426" s="41"/>
      <c r="B426" s="11"/>
      <c r="C426" s="11"/>
      <c r="D426" s="11"/>
      <c r="E426" s="11"/>
      <c r="F426" s="11"/>
      <c r="G426" s="11"/>
      <c r="H426" s="11"/>
      <c r="I426" s="41"/>
      <c r="J426" s="11"/>
      <c r="K426" s="11"/>
      <c r="L426" s="11"/>
      <c r="M426" s="11"/>
      <c r="N426" s="11"/>
      <c r="O426" s="11"/>
      <c r="P426" s="11"/>
      <c r="Q426" s="41"/>
      <c r="R426" s="11"/>
      <c r="S426" s="11"/>
      <c r="T426" s="11"/>
      <c r="U426" s="11"/>
      <c r="V426" s="11"/>
      <c r="W426" s="11"/>
      <c r="X426" s="11"/>
      <c r="Y426" s="4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40"/>
      <c r="CQ426" s="40"/>
      <c r="CR426" s="40"/>
      <c r="CS426" s="40"/>
      <c r="CT426" s="40"/>
      <c r="CU426" s="40"/>
      <c r="CV426" s="40"/>
      <c r="CW426" s="40"/>
      <c r="CX426" s="40"/>
      <c r="CY426" s="40"/>
      <c r="CZ426" s="40"/>
      <c r="DA426" s="11"/>
      <c r="DB426" s="11"/>
      <c r="DC426" s="11"/>
      <c r="DD426" s="11"/>
      <c r="DE426" s="11"/>
      <c r="DF426" s="11"/>
      <c r="DG426" s="11"/>
    </row>
    <row r="427" ht="15.75" customHeight="1">
      <c r="A427" s="41"/>
      <c r="B427" s="11"/>
      <c r="C427" s="11"/>
      <c r="D427" s="11"/>
      <c r="E427" s="11"/>
      <c r="F427" s="11"/>
      <c r="G427" s="11"/>
      <c r="H427" s="11"/>
      <c r="I427" s="41"/>
      <c r="J427" s="11"/>
      <c r="K427" s="11"/>
      <c r="L427" s="11"/>
      <c r="M427" s="11"/>
      <c r="N427" s="11"/>
      <c r="O427" s="11"/>
      <c r="P427" s="11"/>
      <c r="Q427" s="41"/>
      <c r="R427" s="11"/>
      <c r="S427" s="11"/>
      <c r="T427" s="11"/>
      <c r="U427" s="11"/>
      <c r="V427" s="11"/>
      <c r="W427" s="11"/>
      <c r="X427" s="11"/>
      <c r="Y427" s="4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40"/>
      <c r="CQ427" s="40"/>
      <c r="CR427" s="40"/>
      <c r="CS427" s="40"/>
      <c r="CT427" s="40"/>
      <c r="CU427" s="40"/>
      <c r="CV427" s="40"/>
      <c r="CW427" s="40"/>
      <c r="CX427" s="40"/>
      <c r="CY427" s="40"/>
      <c r="CZ427" s="40"/>
      <c r="DA427" s="11"/>
      <c r="DB427" s="11"/>
      <c r="DC427" s="11"/>
      <c r="DD427" s="11"/>
      <c r="DE427" s="11"/>
      <c r="DF427" s="11"/>
      <c r="DG427" s="11"/>
    </row>
    <row r="428" ht="15.75" customHeight="1">
      <c r="A428" s="41"/>
      <c r="B428" s="11"/>
      <c r="C428" s="11"/>
      <c r="D428" s="11"/>
      <c r="E428" s="11"/>
      <c r="F428" s="11"/>
      <c r="G428" s="11"/>
      <c r="H428" s="11"/>
      <c r="I428" s="41"/>
      <c r="J428" s="11"/>
      <c r="K428" s="11"/>
      <c r="L428" s="11"/>
      <c r="M428" s="11"/>
      <c r="N428" s="11"/>
      <c r="O428" s="11"/>
      <c r="P428" s="11"/>
      <c r="Q428" s="41"/>
      <c r="R428" s="11"/>
      <c r="S428" s="11"/>
      <c r="T428" s="11"/>
      <c r="U428" s="11"/>
      <c r="V428" s="11"/>
      <c r="W428" s="11"/>
      <c r="X428" s="11"/>
      <c r="Y428" s="4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40"/>
      <c r="CQ428" s="40"/>
      <c r="CR428" s="40"/>
      <c r="CS428" s="40"/>
      <c r="CT428" s="40"/>
      <c r="CU428" s="40"/>
      <c r="CV428" s="40"/>
      <c r="CW428" s="40"/>
      <c r="CX428" s="40"/>
      <c r="CY428" s="40"/>
      <c r="CZ428" s="40"/>
      <c r="DA428" s="11"/>
      <c r="DB428" s="11"/>
      <c r="DC428" s="11"/>
      <c r="DD428" s="11"/>
      <c r="DE428" s="11"/>
      <c r="DF428" s="11"/>
      <c r="DG428" s="11"/>
    </row>
    <row r="429" ht="15.75" customHeight="1">
      <c r="A429" s="41"/>
      <c r="B429" s="11"/>
      <c r="C429" s="11"/>
      <c r="D429" s="11"/>
      <c r="E429" s="11"/>
      <c r="F429" s="11"/>
      <c r="G429" s="11"/>
      <c r="H429" s="11"/>
      <c r="I429" s="41"/>
      <c r="J429" s="11"/>
      <c r="K429" s="11"/>
      <c r="L429" s="11"/>
      <c r="M429" s="11"/>
      <c r="N429" s="11"/>
      <c r="O429" s="11"/>
      <c r="P429" s="11"/>
      <c r="Q429" s="41"/>
      <c r="R429" s="11"/>
      <c r="S429" s="11"/>
      <c r="T429" s="11"/>
      <c r="U429" s="11"/>
      <c r="V429" s="11"/>
      <c r="W429" s="11"/>
      <c r="X429" s="11"/>
      <c r="Y429" s="4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40"/>
      <c r="CQ429" s="40"/>
      <c r="CR429" s="40"/>
      <c r="CS429" s="40"/>
      <c r="CT429" s="40"/>
      <c r="CU429" s="40"/>
      <c r="CV429" s="40"/>
      <c r="CW429" s="40"/>
      <c r="CX429" s="40"/>
      <c r="CY429" s="40"/>
      <c r="CZ429" s="40"/>
      <c r="DA429" s="11"/>
      <c r="DB429" s="11"/>
      <c r="DC429" s="11"/>
      <c r="DD429" s="11"/>
      <c r="DE429" s="11"/>
      <c r="DF429" s="11"/>
      <c r="DG429" s="11"/>
    </row>
    <row r="430" ht="15.75" customHeight="1">
      <c r="A430" s="41"/>
      <c r="B430" s="11"/>
      <c r="C430" s="11"/>
      <c r="D430" s="11"/>
      <c r="E430" s="11"/>
      <c r="F430" s="11"/>
      <c r="G430" s="11"/>
      <c r="H430" s="11"/>
      <c r="I430" s="41"/>
      <c r="J430" s="11"/>
      <c r="K430" s="11"/>
      <c r="L430" s="11"/>
      <c r="M430" s="11"/>
      <c r="N430" s="11"/>
      <c r="O430" s="11"/>
      <c r="P430" s="11"/>
      <c r="Q430" s="41"/>
      <c r="R430" s="11"/>
      <c r="S430" s="11"/>
      <c r="T430" s="11"/>
      <c r="U430" s="11"/>
      <c r="V430" s="11"/>
      <c r="W430" s="11"/>
      <c r="X430" s="11"/>
      <c r="Y430" s="4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40"/>
      <c r="CQ430" s="40"/>
      <c r="CR430" s="40"/>
      <c r="CS430" s="40"/>
      <c r="CT430" s="40"/>
      <c r="CU430" s="40"/>
      <c r="CV430" s="40"/>
      <c r="CW430" s="40"/>
      <c r="CX430" s="40"/>
      <c r="CY430" s="40"/>
      <c r="CZ430" s="40"/>
      <c r="DA430" s="11"/>
      <c r="DB430" s="11"/>
      <c r="DC430" s="11"/>
      <c r="DD430" s="11"/>
      <c r="DE430" s="11"/>
      <c r="DF430" s="11"/>
      <c r="DG430" s="11"/>
    </row>
    <row r="431" ht="15.75" customHeight="1">
      <c r="A431" s="41"/>
      <c r="B431" s="11"/>
      <c r="C431" s="11"/>
      <c r="D431" s="11"/>
      <c r="E431" s="11"/>
      <c r="F431" s="11"/>
      <c r="G431" s="11"/>
      <c r="H431" s="11"/>
      <c r="I431" s="41"/>
      <c r="J431" s="11"/>
      <c r="K431" s="11"/>
      <c r="L431" s="11"/>
      <c r="M431" s="11"/>
      <c r="N431" s="11"/>
      <c r="O431" s="11"/>
      <c r="P431" s="11"/>
      <c r="Q431" s="41"/>
      <c r="R431" s="11"/>
      <c r="S431" s="11"/>
      <c r="T431" s="11"/>
      <c r="U431" s="11"/>
      <c r="V431" s="11"/>
      <c r="W431" s="11"/>
      <c r="X431" s="11"/>
      <c r="Y431" s="4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40"/>
      <c r="CQ431" s="40"/>
      <c r="CR431" s="40"/>
      <c r="CS431" s="40"/>
      <c r="CT431" s="40"/>
      <c r="CU431" s="40"/>
      <c r="CV431" s="40"/>
      <c r="CW431" s="40"/>
      <c r="CX431" s="40"/>
      <c r="CY431" s="40"/>
      <c r="CZ431" s="40"/>
      <c r="DA431" s="11"/>
      <c r="DB431" s="11"/>
      <c r="DC431" s="11"/>
      <c r="DD431" s="11"/>
      <c r="DE431" s="11"/>
      <c r="DF431" s="11"/>
      <c r="DG431" s="11"/>
    </row>
    <row r="432" ht="15.75" customHeight="1">
      <c r="A432" s="41"/>
      <c r="B432" s="11"/>
      <c r="C432" s="11"/>
      <c r="D432" s="11"/>
      <c r="E432" s="11"/>
      <c r="F432" s="11"/>
      <c r="G432" s="11"/>
      <c r="H432" s="11"/>
      <c r="I432" s="41"/>
      <c r="J432" s="11"/>
      <c r="K432" s="11"/>
      <c r="L432" s="11"/>
      <c r="M432" s="11"/>
      <c r="N432" s="11"/>
      <c r="O432" s="11"/>
      <c r="P432" s="11"/>
      <c r="Q432" s="41"/>
      <c r="R432" s="11"/>
      <c r="S432" s="11"/>
      <c r="T432" s="11"/>
      <c r="U432" s="11"/>
      <c r="V432" s="11"/>
      <c r="W432" s="11"/>
      <c r="X432" s="11"/>
      <c r="Y432" s="4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40"/>
      <c r="CQ432" s="40"/>
      <c r="CR432" s="40"/>
      <c r="CS432" s="40"/>
      <c r="CT432" s="40"/>
      <c r="CU432" s="40"/>
      <c r="CV432" s="40"/>
      <c r="CW432" s="40"/>
      <c r="CX432" s="40"/>
      <c r="CY432" s="40"/>
      <c r="CZ432" s="40"/>
      <c r="DA432" s="11"/>
      <c r="DB432" s="11"/>
      <c r="DC432" s="11"/>
      <c r="DD432" s="11"/>
      <c r="DE432" s="11"/>
      <c r="DF432" s="11"/>
      <c r="DG432" s="11"/>
    </row>
    <row r="433" ht="15.75" customHeight="1">
      <c r="A433" s="41"/>
      <c r="B433" s="11"/>
      <c r="C433" s="11"/>
      <c r="D433" s="11"/>
      <c r="E433" s="11"/>
      <c r="F433" s="11"/>
      <c r="G433" s="11"/>
      <c r="H433" s="11"/>
      <c r="I433" s="41"/>
      <c r="J433" s="11"/>
      <c r="K433" s="11"/>
      <c r="L433" s="11"/>
      <c r="M433" s="11"/>
      <c r="N433" s="11"/>
      <c r="O433" s="11"/>
      <c r="P433" s="11"/>
      <c r="Q433" s="41"/>
      <c r="R433" s="11"/>
      <c r="S433" s="11"/>
      <c r="T433" s="11"/>
      <c r="U433" s="11"/>
      <c r="V433" s="11"/>
      <c r="W433" s="11"/>
      <c r="X433" s="11"/>
      <c r="Y433" s="4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40"/>
      <c r="CQ433" s="40"/>
      <c r="CR433" s="40"/>
      <c r="CS433" s="40"/>
      <c r="CT433" s="40"/>
      <c r="CU433" s="40"/>
      <c r="CV433" s="40"/>
      <c r="CW433" s="40"/>
      <c r="CX433" s="40"/>
      <c r="CY433" s="40"/>
      <c r="CZ433" s="40"/>
      <c r="DA433" s="11"/>
      <c r="DB433" s="11"/>
      <c r="DC433" s="11"/>
      <c r="DD433" s="11"/>
      <c r="DE433" s="11"/>
      <c r="DF433" s="11"/>
      <c r="DG433" s="11"/>
    </row>
    <row r="434" ht="15.75" customHeight="1">
      <c r="A434" s="41"/>
      <c r="B434" s="11"/>
      <c r="C434" s="11"/>
      <c r="D434" s="11"/>
      <c r="E434" s="11"/>
      <c r="F434" s="11"/>
      <c r="G434" s="11"/>
      <c r="H434" s="11"/>
      <c r="I434" s="41"/>
      <c r="J434" s="11"/>
      <c r="K434" s="11"/>
      <c r="L434" s="11"/>
      <c r="M434" s="11"/>
      <c r="N434" s="11"/>
      <c r="O434" s="11"/>
      <c r="P434" s="11"/>
      <c r="Q434" s="41"/>
      <c r="R434" s="11"/>
      <c r="S434" s="11"/>
      <c r="T434" s="11"/>
      <c r="U434" s="11"/>
      <c r="V434" s="11"/>
      <c r="W434" s="11"/>
      <c r="X434" s="11"/>
      <c r="Y434" s="4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40"/>
      <c r="CQ434" s="40"/>
      <c r="CR434" s="40"/>
      <c r="CS434" s="40"/>
      <c r="CT434" s="40"/>
      <c r="CU434" s="40"/>
      <c r="CV434" s="40"/>
      <c r="CW434" s="40"/>
      <c r="CX434" s="40"/>
      <c r="CY434" s="40"/>
      <c r="CZ434" s="40"/>
      <c r="DA434" s="11"/>
      <c r="DB434" s="11"/>
      <c r="DC434" s="11"/>
      <c r="DD434" s="11"/>
      <c r="DE434" s="11"/>
      <c r="DF434" s="11"/>
      <c r="DG434" s="11"/>
    </row>
    <row r="435" ht="15.75" customHeight="1">
      <c r="A435" s="41"/>
      <c r="B435" s="11"/>
      <c r="C435" s="11"/>
      <c r="D435" s="11"/>
      <c r="E435" s="11"/>
      <c r="F435" s="11"/>
      <c r="G435" s="11"/>
      <c r="H435" s="11"/>
      <c r="I435" s="41"/>
      <c r="J435" s="11"/>
      <c r="K435" s="11"/>
      <c r="L435" s="11"/>
      <c r="M435" s="11"/>
      <c r="N435" s="11"/>
      <c r="O435" s="11"/>
      <c r="P435" s="11"/>
      <c r="Q435" s="41"/>
      <c r="R435" s="11"/>
      <c r="S435" s="11"/>
      <c r="T435" s="11"/>
      <c r="U435" s="11"/>
      <c r="V435" s="11"/>
      <c r="W435" s="11"/>
      <c r="X435" s="11"/>
      <c r="Y435" s="4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40"/>
      <c r="CQ435" s="40"/>
      <c r="CR435" s="40"/>
      <c r="CS435" s="40"/>
      <c r="CT435" s="40"/>
      <c r="CU435" s="40"/>
      <c r="CV435" s="40"/>
      <c r="CW435" s="40"/>
      <c r="CX435" s="40"/>
      <c r="CY435" s="40"/>
      <c r="CZ435" s="40"/>
      <c r="DA435" s="11"/>
      <c r="DB435" s="11"/>
      <c r="DC435" s="11"/>
      <c r="DD435" s="11"/>
      <c r="DE435" s="11"/>
      <c r="DF435" s="11"/>
      <c r="DG435" s="11"/>
    </row>
    <row r="436" ht="15.75" customHeight="1">
      <c r="A436" s="41"/>
      <c r="B436" s="11"/>
      <c r="C436" s="11"/>
      <c r="D436" s="11"/>
      <c r="E436" s="11"/>
      <c r="F436" s="11"/>
      <c r="G436" s="11"/>
      <c r="H436" s="11"/>
      <c r="I436" s="41"/>
      <c r="J436" s="11"/>
      <c r="K436" s="11"/>
      <c r="L436" s="11"/>
      <c r="M436" s="11"/>
      <c r="N436" s="11"/>
      <c r="O436" s="11"/>
      <c r="P436" s="11"/>
      <c r="Q436" s="41"/>
      <c r="R436" s="11"/>
      <c r="S436" s="11"/>
      <c r="T436" s="11"/>
      <c r="U436" s="11"/>
      <c r="V436" s="11"/>
      <c r="W436" s="11"/>
      <c r="X436" s="11"/>
      <c r="Y436" s="4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40"/>
      <c r="CQ436" s="40"/>
      <c r="CR436" s="40"/>
      <c r="CS436" s="40"/>
      <c r="CT436" s="40"/>
      <c r="CU436" s="40"/>
      <c r="CV436" s="40"/>
      <c r="CW436" s="40"/>
      <c r="CX436" s="40"/>
      <c r="CY436" s="40"/>
      <c r="CZ436" s="40"/>
      <c r="DA436" s="11"/>
      <c r="DB436" s="11"/>
      <c r="DC436" s="11"/>
      <c r="DD436" s="11"/>
      <c r="DE436" s="11"/>
      <c r="DF436" s="11"/>
      <c r="DG436" s="11"/>
    </row>
    <row r="437" ht="15.75" customHeight="1">
      <c r="A437" s="41"/>
      <c r="B437" s="11"/>
      <c r="C437" s="11"/>
      <c r="D437" s="11"/>
      <c r="E437" s="11"/>
      <c r="F437" s="11"/>
      <c r="G437" s="11"/>
      <c r="H437" s="11"/>
      <c r="I437" s="41"/>
      <c r="J437" s="11"/>
      <c r="K437" s="11"/>
      <c r="L437" s="11"/>
      <c r="M437" s="11"/>
      <c r="N437" s="11"/>
      <c r="O437" s="11"/>
      <c r="P437" s="11"/>
      <c r="Q437" s="41"/>
      <c r="R437" s="11"/>
      <c r="S437" s="11"/>
      <c r="T437" s="11"/>
      <c r="U437" s="11"/>
      <c r="V437" s="11"/>
      <c r="W437" s="11"/>
      <c r="X437" s="11"/>
      <c r="Y437" s="4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40"/>
      <c r="CQ437" s="40"/>
      <c r="CR437" s="40"/>
      <c r="CS437" s="40"/>
      <c r="CT437" s="40"/>
      <c r="CU437" s="40"/>
      <c r="CV437" s="40"/>
      <c r="CW437" s="40"/>
      <c r="CX437" s="40"/>
      <c r="CY437" s="40"/>
      <c r="CZ437" s="40"/>
      <c r="DA437" s="11"/>
      <c r="DB437" s="11"/>
      <c r="DC437" s="11"/>
      <c r="DD437" s="11"/>
      <c r="DE437" s="11"/>
      <c r="DF437" s="11"/>
      <c r="DG437" s="11"/>
    </row>
    <row r="438" ht="15.75" customHeight="1">
      <c r="A438" s="41"/>
      <c r="B438" s="11"/>
      <c r="C438" s="11"/>
      <c r="D438" s="11"/>
      <c r="E438" s="11"/>
      <c r="F438" s="11"/>
      <c r="G438" s="11"/>
      <c r="H438" s="11"/>
      <c r="I438" s="41"/>
      <c r="J438" s="11"/>
      <c r="K438" s="11"/>
      <c r="L438" s="11"/>
      <c r="M438" s="11"/>
      <c r="N438" s="11"/>
      <c r="O438" s="11"/>
      <c r="P438" s="11"/>
      <c r="Q438" s="41"/>
      <c r="R438" s="11"/>
      <c r="S438" s="11"/>
      <c r="T438" s="11"/>
      <c r="U438" s="11"/>
      <c r="V438" s="11"/>
      <c r="W438" s="11"/>
      <c r="X438" s="11"/>
      <c r="Y438" s="4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40"/>
      <c r="CQ438" s="40"/>
      <c r="CR438" s="40"/>
      <c r="CS438" s="40"/>
      <c r="CT438" s="40"/>
      <c r="CU438" s="40"/>
      <c r="CV438" s="40"/>
      <c r="CW438" s="40"/>
      <c r="CX438" s="40"/>
      <c r="CY438" s="40"/>
      <c r="CZ438" s="40"/>
      <c r="DA438" s="11"/>
      <c r="DB438" s="11"/>
      <c r="DC438" s="11"/>
      <c r="DD438" s="11"/>
      <c r="DE438" s="11"/>
      <c r="DF438" s="11"/>
      <c r="DG438" s="11"/>
    </row>
    <row r="439" ht="15.75" customHeight="1">
      <c r="A439" s="41"/>
      <c r="B439" s="11"/>
      <c r="C439" s="11"/>
      <c r="D439" s="11"/>
      <c r="E439" s="11"/>
      <c r="F439" s="11"/>
      <c r="G439" s="11"/>
      <c r="H439" s="11"/>
      <c r="I439" s="41"/>
      <c r="J439" s="11"/>
      <c r="K439" s="11"/>
      <c r="L439" s="11"/>
      <c r="M439" s="11"/>
      <c r="N439" s="11"/>
      <c r="O439" s="11"/>
      <c r="P439" s="11"/>
      <c r="Q439" s="41"/>
      <c r="R439" s="11"/>
      <c r="S439" s="11"/>
      <c r="T439" s="11"/>
      <c r="U439" s="11"/>
      <c r="V439" s="11"/>
      <c r="W439" s="11"/>
      <c r="X439" s="11"/>
      <c r="Y439" s="4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40"/>
      <c r="CQ439" s="40"/>
      <c r="CR439" s="40"/>
      <c r="CS439" s="40"/>
      <c r="CT439" s="40"/>
      <c r="CU439" s="40"/>
      <c r="CV439" s="40"/>
      <c r="CW439" s="40"/>
      <c r="CX439" s="40"/>
      <c r="CY439" s="40"/>
      <c r="CZ439" s="40"/>
      <c r="DA439" s="11"/>
      <c r="DB439" s="11"/>
      <c r="DC439" s="11"/>
      <c r="DD439" s="11"/>
      <c r="DE439" s="11"/>
      <c r="DF439" s="11"/>
      <c r="DG439" s="11"/>
    </row>
    <row r="440" ht="15.75" customHeight="1">
      <c r="A440" s="41"/>
      <c r="B440" s="11"/>
      <c r="C440" s="11"/>
      <c r="D440" s="11"/>
      <c r="E440" s="11"/>
      <c r="F440" s="11"/>
      <c r="G440" s="11"/>
      <c r="H440" s="11"/>
      <c r="I440" s="41"/>
      <c r="J440" s="11"/>
      <c r="K440" s="11"/>
      <c r="L440" s="11"/>
      <c r="M440" s="11"/>
      <c r="N440" s="11"/>
      <c r="O440" s="11"/>
      <c r="P440" s="11"/>
      <c r="Q440" s="41"/>
      <c r="R440" s="11"/>
      <c r="S440" s="11"/>
      <c r="T440" s="11"/>
      <c r="U440" s="11"/>
      <c r="V440" s="11"/>
      <c r="W440" s="11"/>
      <c r="X440" s="11"/>
      <c r="Y440" s="4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40"/>
      <c r="CQ440" s="40"/>
      <c r="CR440" s="40"/>
      <c r="CS440" s="40"/>
      <c r="CT440" s="40"/>
      <c r="CU440" s="40"/>
      <c r="CV440" s="40"/>
      <c r="CW440" s="40"/>
      <c r="CX440" s="40"/>
      <c r="CY440" s="40"/>
      <c r="CZ440" s="40"/>
      <c r="DA440" s="11"/>
      <c r="DB440" s="11"/>
      <c r="DC440" s="11"/>
      <c r="DD440" s="11"/>
      <c r="DE440" s="11"/>
      <c r="DF440" s="11"/>
      <c r="DG440" s="11"/>
    </row>
    <row r="441" ht="15.75" customHeight="1">
      <c r="A441" s="41"/>
      <c r="B441" s="11"/>
      <c r="C441" s="11"/>
      <c r="D441" s="11"/>
      <c r="E441" s="11"/>
      <c r="F441" s="11"/>
      <c r="G441" s="11"/>
      <c r="H441" s="11"/>
      <c r="I441" s="41"/>
      <c r="J441" s="11"/>
      <c r="K441" s="11"/>
      <c r="L441" s="11"/>
      <c r="M441" s="11"/>
      <c r="N441" s="11"/>
      <c r="O441" s="11"/>
      <c r="P441" s="11"/>
      <c r="Q441" s="41"/>
      <c r="R441" s="11"/>
      <c r="S441" s="11"/>
      <c r="T441" s="11"/>
      <c r="U441" s="11"/>
      <c r="V441" s="11"/>
      <c r="W441" s="11"/>
      <c r="X441" s="11"/>
      <c r="Y441" s="4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40"/>
      <c r="CQ441" s="40"/>
      <c r="CR441" s="40"/>
      <c r="CS441" s="40"/>
      <c r="CT441" s="40"/>
      <c r="CU441" s="40"/>
      <c r="CV441" s="40"/>
      <c r="CW441" s="40"/>
      <c r="CX441" s="40"/>
      <c r="CY441" s="40"/>
      <c r="CZ441" s="40"/>
      <c r="DA441" s="11"/>
      <c r="DB441" s="11"/>
      <c r="DC441" s="11"/>
      <c r="DD441" s="11"/>
      <c r="DE441" s="11"/>
      <c r="DF441" s="11"/>
      <c r="DG441" s="11"/>
    </row>
    <row r="442" ht="15.75" customHeight="1">
      <c r="A442" s="41"/>
      <c r="B442" s="11"/>
      <c r="C442" s="11"/>
      <c r="D442" s="11"/>
      <c r="E442" s="11"/>
      <c r="F442" s="11"/>
      <c r="G442" s="11"/>
      <c r="H442" s="11"/>
      <c r="I442" s="41"/>
      <c r="J442" s="11"/>
      <c r="K442" s="11"/>
      <c r="L442" s="11"/>
      <c r="M442" s="11"/>
      <c r="N442" s="11"/>
      <c r="O442" s="11"/>
      <c r="P442" s="11"/>
      <c r="Q442" s="41"/>
      <c r="R442" s="11"/>
      <c r="S442" s="11"/>
      <c r="T442" s="11"/>
      <c r="U442" s="11"/>
      <c r="V442" s="11"/>
      <c r="W442" s="11"/>
      <c r="X442" s="11"/>
      <c r="Y442" s="4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40"/>
      <c r="CQ442" s="40"/>
      <c r="CR442" s="40"/>
      <c r="CS442" s="40"/>
      <c r="CT442" s="40"/>
      <c r="CU442" s="40"/>
      <c r="CV442" s="40"/>
      <c r="CW442" s="40"/>
      <c r="CX442" s="40"/>
      <c r="CY442" s="40"/>
      <c r="CZ442" s="40"/>
      <c r="DA442" s="11"/>
      <c r="DB442" s="11"/>
      <c r="DC442" s="11"/>
      <c r="DD442" s="11"/>
      <c r="DE442" s="11"/>
      <c r="DF442" s="11"/>
      <c r="DG442" s="11"/>
    </row>
    <row r="443" ht="15.75" customHeight="1">
      <c r="A443" s="41"/>
      <c r="B443" s="11"/>
      <c r="C443" s="11"/>
      <c r="D443" s="11"/>
      <c r="E443" s="11"/>
      <c r="F443" s="11"/>
      <c r="G443" s="11"/>
      <c r="H443" s="11"/>
      <c r="I443" s="41"/>
      <c r="J443" s="11"/>
      <c r="K443" s="11"/>
      <c r="L443" s="11"/>
      <c r="M443" s="11"/>
      <c r="N443" s="11"/>
      <c r="O443" s="11"/>
      <c r="P443" s="11"/>
      <c r="Q443" s="41"/>
      <c r="R443" s="11"/>
      <c r="S443" s="11"/>
      <c r="T443" s="11"/>
      <c r="U443" s="11"/>
      <c r="V443" s="11"/>
      <c r="W443" s="11"/>
      <c r="X443" s="11"/>
      <c r="Y443" s="4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40"/>
      <c r="CQ443" s="40"/>
      <c r="CR443" s="40"/>
      <c r="CS443" s="40"/>
      <c r="CT443" s="40"/>
      <c r="CU443" s="40"/>
      <c r="CV443" s="40"/>
      <c r="CW443" s="40"/>
      <c r="CX443" s="40"/>
      <c r="CY443" s="40"/>
      <c r="CZ443" s="40"/>
      <c r="DA443" s="11"/>
      <c r="DB443" s="11"/>
      <c r="DC443" s="11"/>
      <c r="DD443" s="11"/>
      <c r="DE443" s="11"/>
      <c r="DF443" s="11"/>
      <c r="DG443" s="11"/>
    </row>
    <row r="444" ht="15.75" customHeight="1">
      <c r="A444" s="41"/>
      <c r="B444" s="11"/>
      <c r="C444" s="11"/>
      <c r="D444" s="11"/>
      <c r="E444" s="11"/>
      <c r="F444" s="11"/>
      <c r="G444" s="11"/>
      <c r="H444" s="11"/>
      <c r="I444" s="41"/>
      <c r="J444" s="11"/>
      <c r="K444" s="11"/>
      <c r="L444" s="11"/>
      <c r="M444" s="11"/>
      <c r="N444" s="11"/>
      <c r="O444" s="11"/>
      <c r="P444" s="11"/>
      <c r="Q444" s="41"/>
      <c r="R444" s="11"/>
      <c r="S444" s="11"/>
      <c r="T444" s="11"/>
      <c r="U444" s="11"/>
      <c r="V444" s="11"/>
      <c r="W444" s="11"/>
      <c r="X444" s="11"/>
      <c r="Y444" s="4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40"/>
      <c r="CQ444" s="40"/>
      <c r="CR444" s="40"/>
      <c r="CS444" s="40"/>
      <c r="CT444" s="40"/>
      <c r="CU444" s="40"/>
      <c r="CV444" s="40"/>
      <c r="CW444" s="40"/>
      <c r="CX444" s="40"/>
      <c r="CY444" s="40"/>
      <c r="CZ444" s="40"/>
      <c r="DA444" s="11"/>
      <c r="DB444" s="11"/>
      <c r="DC444" s="11"/>
      <c r="DD444" s="11"/>
      <c r="DE444" s="11"/>
      <c r="DF444" s="11"/>
      <c r="DG444" s="11"/>
    </row>
    <row r="445" ht="15.75" customHeight="1">
      <c r="A445" s="41"/>
      <c r="B445" s="11"/>
      <c r="C445" s="11"/>
      <c r="D445" s="11"/>
      <c r="E445" s="11"/>
      <c r="F445" s="11"/>
      <c r="G445" s="11"/>
      <c r="H445" s="11"/>
      <c r="I445" s="41"/>
      <c r="J445" s="11"/>
      <c r="K445" s="11"/>
      <c r="L445" s="11"/>
      <c r="M445" s="11"/>
      <c r="N445" s="11"/>
      <c r="O445" s="11"/>
      <c r="P445" s="11"/>
      <c r="Q445" s="41"/>
      <c r="R445" s="11"/>
      <c r="S445" s="11"/>
      <c r="T445" s="11"/>
      <c r="U445" s="11"/>
      <c r="V445" s="11"/>
      <c r="W445" s="11"/>
      <c r="X445" s="11"/>
      <c r="Y445" s="4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  <c r="CM445" s="11"/>
      <c r="CN445" s="11"/>
      <c r="CO445" s="11"/>
      <c r="CP445" s="40"/>
      <c r="CQ445" s="40"/>
      <c r="CR445" s="40"/>
      <c r="CS445" s="40"/>
      <c r="CT445" s="40"/>
      <c r="CU445" s="40"/>
      <c r="CV445" s="40"/>
      <c r="CW445" s="40"/>
      <c r="CX445" s="40"/>
      <c r="CY445" s="40"/>
      <c r="CZ445" s="40"/>
      <c r="DA445" s="11"/>
      <c r="DB445" s="11"/>
      <c r="DC445" s="11"/>
      <c r="DD445" s="11"/>
      <c r="DE445" s="11"/>
      <c r="DF445" s="11"/>
      <c r="DG445" s="11"/>
    </row>
    <row r="446" ht="15.75" customHeight="1">
      <c r="A446" s="41"/>
      <c r="B446" s="11"/>
      <c r="C446" s="11"/>
      <c r="D446" s="11"/>
      <c r="E446" s="11"/>
      <c r="F446" s="11"/>
      <c r="G446" s="11"/>
      <c r="H446" s="11"/>
      <c r="I446" s="41"/>
      <c r="J446" s="11"/>
      <c r="K446" s="11"/>
      <c r="L446" s="11"/>
      <c r="M446" s="11"/>
      <c r="N446" s="11"/>
      <c r="O446" s="11"/>
      <c r="P446" s="11"/>
      <c r="Q446" s="41"/>
      <c r="R446" s="11"/>
      <c r="S446" s="11"/>
      <c r="T446" s="11"/>
      <c r="U446" s="11"/>
      <c r="V446" s="11"/>
      <c r="W446" s="11"/>
      <c r="X446" s="11"/>
      <c r="Y446" s="4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  <c r="CM446" s="11"/>
      <c r="CN446" s="11"/>
      <c r="CO446" s="11"/>
      <c r="CP446" s="40"/>
      <c r="CQ446" s="40"/>
      <c r="CR446" s="40"/>
      <c r="CS446" s="40"/>
      <c r="CT446" s="40"/>
      <c r="CU446" s="40"/>
      <c r="CV446" s="40"/>
      <c r="CW446" s="40"/>
      <c r="CX446" s="40"/>
      <c r="CY446" s="40"/>
      <c r="CZ446" s="40"/>
      <c r="DA446" s="11"/>
      <c r="DB446" s="11"/>
      <c r="DC446" s="11"/>
      <c r="DD446" s="11"/>
      <c r="DE446" s="11"/>
      <c r="DF446" s="11"/>
      <c r="DG446" s="11"/>
    </row>
    <row r="447" ht="15.75" customHeight="1">
      <c r="A447" s="41"/>
      <c r="B447" s="11"/>
      <c r="C447" s="11"/>
      <c r="D447" s="11"/>
      <c r="E447" s="11"/>
      <c r="F447" s="11"/>
      <c r="G447" s="11"/>
      <c r="H447" s="11"/>
      <c r="I447" s="41"/>
      <c r="J447" s="11"/>
      <c r="K447" s="11"/>
      <c r="L447" s="11"/>
      <c r="M447" s="11"/>
      <c r="N447" s="11"/>
      <c r="O447" s="11"/>
      <c r="P447" s="11"/>
      <c r="Q447" s="41"/>
      <c r="R447" s="11"/>
      <c r="S447" s="11"/>
      <c r="T447" s="11"/>
      <c r="U447" s="11"/>
      <c r="V447" s="11"/>
      <c r="W447" s="11"/>
      <c r="X447" s="11"/>
      <c r="Y447" s="4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  <c r="CM447" s="11"/>
      <c r="CN447" s="11"/>
      <c r="CO447" s="11"/>
      <c r="CP447" s="40"/>
      <c r="CQ447" s="40"/>
      <c r="CR447" s="40"/>
      <c r="CS447" s="40"/>
      <c r="CT447" s="40"/>
      <c r="CU447" s="40"/>
      <c r="CV447" s="40"/>
      <c r="CW447" s="40"/>
      <c r="CX447" s="40"/>
      <c r="CY447" s="40"/>
      <c r="CZ447" s="40"/>
      <c r="DA447" s="11"/>
      <c r="DB447" s="11"/>
      <c r="DC447" s="11"/>
      <c r="DD447" s="11"/>
      <c r="DE447" s="11"/>
      <c r="DF447" s="11"/>
      <c r="DG447" s="11"/>
    </row>
    <row r="448" ht="15.75" customHeight="1">
      <c r="A448" s="41"/>
      <c r="B448" s="11"/>
      <c r="C448" s="11"/>
      <c r="D448" s="11"/>
      <c r="E448" s="11"/>
      <c r="F448" s="11"/>
      <c r="G448" s="11"/>
      <c r="H448" s="11"/>
      <c r="I448" s="41"/>
      <c r="J448" s="11"/>
      <c r="K448" s="11"/>
      <c r="L448" s="11"/>
      <c r="M448" s="11"/>
      <c r="N448" s="11"/>
      <c r="O448" s="11"/>
      <c r="P448" s="11"/>
      <c r="Q448" s="41"/>
      <c r="R448" s="11"/>
      <c r="S448" s="11"/>
      <c r="T448" s="11"/>
      <c r="U448" s="11"/>
      <c r="V448" s="11"/>
      <c r="W448" s="11"/>
      <c r="X448" s="11"/>
      <c r="Y448" s="4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  <c r="CH448" s="11"/>
      <c r="CI448" s="11"/>
      <c r="CJ448" s="11"/>
      <c r="CK448" s="11"/>
      <c r="CL448" s="11"/>
      <c r="CM448" s="11"/>
      <c r="CN448" s="11"/>
      <c r="CO448" s="11"/>
      <c r="CP448" s="40"/>
      <c r="CQ448" s="40"/>
      <c r="CR448" s="40"/>
      <c r="CS448" s="40"/>
      <c r="CT448" s="40"/>
      <c r="CU448" s="40"/>
      <c r="CV448" s="40"/>
      <c r="CW448" s="40"/>
      <c r="CX448" s="40"/>
      <c r="CY448" s="40"/>
      <c r="CZ448" s="40"/>
      <c r="DA448" s="11"/>
      <c r="DB448" s="11"/>
      <c r="DC448" s="11"/>
      <c r="DD448" s="11"/>
      <c r="DE448" s="11"/>
      <c r="DF448" s="11"/>
      <c r="DG448" s="11"/>
    </row>
    <row r="449" ht="15.75" customHeight="1">
      <c r="A449" s="41"/>
      <c r="B449" s="11"/>
      <c r="C449" s="11"/>
      <c r="D449" s="11"/>
      <c r="E449" s="11"/>
      <c r="F449" s="11"/>
      <c r="G449" s="11"/>
      <c r="H449" s="11"/>
      <c r="I449" s="41"/>
      <c r="J449" s="11"/>
      <c r="K449" s="11"/>
      <c r="L449" s="11"/>
      <c r="M449" s="11"/>
      <c r="N449" s="11"/>
      <c r="O449" s="11"/>
      <c r="P449" s="11"/>
      <c r="Q449" s="41"/>
      <c r="R449" s="11"/>
      <c r="S449" s="11"/>
      <c r="T449" s="11"/>
      <c r="U449" s="11"/>
      <c r="V449" s="11"/>
      <c r="W449" s="11"/>
      <c r="X449" s="11"/>
      <c r="Y449" s="4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  <c r="CH449" s="11"/>
      <c r="CI449" s="11"/>
      <c r="CJ449" s="11"/>
      <c r="CK449" s="11"/>
      <c r="CL449" s="11"/>
      <c r="CM449" s="11"/>
      <c r="CN449" s="11"/>
      <c r="CO449" s="11"/>
      <c r="CP449" s="40"/>
      <c r="CQ449" s="40"/>
      <c r="CR449" s="40"/>
      <c r="CS449" s="40"/>
      <c r="CT449" s="40"/>
      <c r="CU449" s="40"/>
      <c r="CV449" s="40"/>
      <c r="CW449" s="40"/>
      <c r="CX449" s="40"/>
      <c r="CY449" s="40"/>
      <c r="CZ449" s="40"/>
      <c r="DA449" s="11"/>
      <c r="DB449" s="11"/>
      <c r="DC449" s="11"/>
      <c r="DD449" s="11"/>
      <c r="DE449" s="11"/>
      <c r="DF449" s="11"/>
      <c r="DG449" s="11"/>
    </row>
    <row r="450" ht="15.75" customHeight="1">
      <c r="A450" s="41"/>
      <c r="B450" s="11"/>
      <c r="C450" s="11"/>
      <c r="D450" s="11"/>
      <c r="E450" s="11"/>
      <c r="F450" s="11"/>
      <c r="G450" s="11"/>
      <c r="H450" s="11"/>
      <c r="I450" s="41"/>
      <c r="J450" s="11"/>
      <c r="K450" s="11"/>
      <c r="L450" s="11"/>
      <c r="M450" s="11"/>
      <c r="N450" s="11"/>
      <c r="O450" s="11"/>
      <c r="P450" s="11"/>
      <c r="Q450" s="41"/>
      <c r="R450" s="11"/>
      <c r="S450" s="11"/>
      <c r="T450" s="11"/>
      <c r="U450" s="11"/>
      <c r="V450" s="11"/>
      <c r="W450" s="11"/>
      <c r="X450" s="11"/>
      <c r="Y450" s="4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  <c r="CM450" s="11"/>
      <c r="CN450" s="11"/>
      <c r="CO450" s="11"/>
      <c r="CP450" s="40"/>
      <c r="CQ450" s="40"/>
      <c r="CR450" s="40"/>
      <c r="CS450" s="40"/>
      <c r="CT450" s="40"/>
      <c r="CU450" s="40"/>
      <c r="CV450" s="40"/>
      <c r="CW450" s="40"/>
      <c r="CX450" s="40"/>
      <c r="CY450" s="40"/>
      <c r="CZ450" s="40"/>
      <c r="DA450" s="11"/>
      <c r="DB450" s="11"/>
      <c r="DC450" s="11"/>
      <c r="DD450" s="11"/>
      <c r="DE450" s="11"/>
      <c r="DF450" s="11"/>
      <c r="DG450" s="11"/>
    </row>
    <row r="451" ht="15.75" customHeight="1">
      <c r="A451" s="41"/>
      <c r="B451" s="11"/>
      <c r="C451" s="11"/>
      <c r="D451" s="11"/>
      <c r="E451" s="11"/>
      <c r="F451" s="11"/>
      <c r="G451" s="11"/>
      <c r="H451" s="11"/>
      <c r="I451" s="41"/>
      <c r="J451" s="11"/>
      <c r="K451" s="11"/>
      <c r="L451" s="11"/>
      <c r="M451" s="11"/>
      <c r="N451" s="11"/>
      <c r="O451" s="11"/>
      <c r="P451" s="11"/>
      <c r="Q451" s="41"/>
      <c r="R451" s="11"/>
      <c r="S451" s="11"/>
      <c r="T451" s="11"/>
      <c r="U451" s="11"/>
      <c r="V451" s="11"/>
      <c r="W451" s="11"/>
      <c r="X451" s="11"/>
      <c r="Y451" s="4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  <c r="CD451" s="11"/>
      <c r="CE451" s="11"/>
      <c r="CF451" s="11"/>
      <c r="CG451" s="11"/>
      <c r="CH451" s="11"/>
      <c r="CI451" s="11"/>
      <c r="CJ451" s="11"/>
      <c r="CK451" s="11"/>
      <c r="CL451" s="11"/>
      <c r="CM451" s="11"/>
      <c r="CN451" s="11"/>
      <c r="CO451" s="11"/>
      <c r="CP451" s="40"/>
      <c r="CQ451" s="40"/>
      <c r="CR451" s="40"/>
      <c r="CS451" s="40"/>
      <c r="CT451" s="40"/>
      <c r="CU451" s="40"/>
      <c r="CV451" s="40"/>
      <c r="CW451" s="40"/>
      <c r="CX451" s="40"/>
      <c r="CY451" s="40"/>
      <c r="CZ451" s="40"/>
      <c r="DA451" s="11"/>
      <c r="DB451" s="11"/>
      <c r="DC451" s="11"/>
      <c r="DD451" s="11"/>
      <c r="DE451" s="11"/>
      <c r="DF451" s="11"/>
      <c r="DG451" s="11"/>
    </row>
    <row r="452" ht="15.75" customHeight="1">
      <c r="A452" s="41"/>
      <c r="B452" s="11"/>
      <c r="C452" s="11"/>
      <c r="D452" s="11"/>
      <c r="E452" s="11"/>
      <c r="F452" s="11"/>
      <c r="G452" s="11"/>
      <c r="H452" s="11"/>
      <c r="I452" s="41"/>
      <c r="J452" s="11"/>
      <c r="K452" s="11"/>
      <c r="L452" s="11"/>
      <c r="M452" s="11"/>
      <c r="N452" s="11"/>
      <c r="O452" s="11"/>
      <c r="P452" s="11"/>
      <c r="Q452" s="41"/>
      <c r="R452" s="11"/>
      <c r="S452" s="11"/>
      <c r="T452" s="11"/>
      <c r="U452" s="11"/>
      <c r="V452" s="11"/>
      <c r="W452" s="11"/>
      <c r="X452" s="11"/>
      <c r="Y452" s="4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/>
      <c r="CG452" s="11"/>
      <c r="CH452" s="11"/>
      <c r="CI452" s="11"/>
      <c r="CJ452" s="11"/>
      <c r="CK452" s="11"/>
      <c r="CL452" s="11"/>
      <c r="CM452" s="11"/>
      <c r="CN452" s="11"/>
      <c r="CO452" s="11"/>
      <c r="CP452" s="40"/>
      <c r="CQ452" s="40"/>
      <c r="CR452" s="40"/>
      <c r="CS452" s="40"/>
      <c r="CT452" s="40"/>
      <c r="CU452" s="40"/>
      <c r="CV452" s="40"/>
      <c r="CW452" s="40"/>
      <c r="CX452" s="40"/>
      <c r="CY452" s="40"/>
      <c r="CZ452" s="40"/>
      <c r="DA452" s="11"/>
      <c r="DB452" s="11"/>
      <c r="DC452" s="11"/>
      <c r="DD452" s="11"/>
      <c r="DE452" s="11"/>
      <c r="DF452" s="11"/>
      <c r="DG452" s="11"/>
    </row>
    <row r="453" ht="15.75" customHeight="1">
      <c r="A453" s="41"/>
      <c r="B453" s="11"/>
      <c r="C453" s="11"/>
      <c r="D453" s="11"/>
      <c r="E453" s="11"/>
      <c r="F453" s="11"/>
      <c r="G453" s="11"/>
      <c r="H453" s="11"/>
      <c r="I453" s="41"/>
      <c r="J453" s="11"/>
      <c r="K453" s="11"/>
      <c r="L453" s="11"/>
      <c r="M453" s="11"/>
      <c r="N453" s="11"/>
      <c r="O453" s="11"/>
      <c r="P453" s="11"/>
      <c r="Q453" s="41"/>
      <c r="R453" s="11"/>
      <c r="S453" s="11"/>
      <c r="T453" s="11"/>
      <c r="U453" s="11"/>
      <c r="V453" s="11"/>
      <c r="W453" s="11"/>
      <c r="X453" s="11"/>
      <c r="Y453" s="4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  <c r="CD453" s="11"/>
      <c r="CE453" s="11"/>
      <c r="CF453" s="11"/>
      <c r="CG453" s="11"/>
      <c r="CH453" s="11"/>
      <c r="CI453" s="11"/>
      <c r="CJ453" s="11"/>
      <c r="CK453" s="11"/>
      <c r="CL453" s="11"/>
      <c r="CM453" s="11"/>
      <c r="CN453" s="11"/>
      <c r="CO453" s="11"/>
      <c r="CP453" s="40"/>
      <c r="CQ453" s="40"/>
      <c r="CR453" s="40"/>
      <c r="CS453" s="40"/>
      <c r="CT453" s="40"/>
      <c r="CU453" s="40"/>
      <c r="CV453" s="40"/>
      <c r="CW453" s="40"/>
      <c r="CX453" s="40"/>
      <c r="CY453" s="40"/>
      <c r="CZ453" s="40"/>
      <c r="DA453" s="11"/>
      <c r="DB453" s="11"/>
      <c r="DC453" s="11"/>
      <c r="DD453" s="11"/>
      <c r="DE453" s="11"/>
      <c r="DF453" s="11"/>
      <c r="DG453" s="11"/>
    </row>
    <row r="454" ht="15.75" customHeight="1">
      <c r="A454" s="41"/>
      <c r="B454" s="11"/>
      <c r="C454" s="11"/>
      <c r="D454" s="11"/>
      <c r="E454" s="11"/>
      <c r="F454" s="11"/>
      <c r="G454" s="11"/>
      <c r="H454" s="11"/>
      <c r="I454" s="41"/>
      <c r="J454" s="11"/>
      <c r="K454" s="11"/>
      <c r="L454" s="11"/>
      <c r="M454" s="11"/>
      <c r="N454" s="11"/>
      <c r="O454" s="11"/>
      <c r="P454" s="11"/>
      <c r="Q454" s="41"/>
      <c r="R454" s="11"/>
      <c r="S454" s="11"/>
      <c r="T454" s="11"/>
      <c r="U454" s="11"/>
      <c r="V454" s="11"/>
      <c r="W454" s="11"/>
      <c r="X454" s="11"/>
      <c r="Y454" s="4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  <c r="CM454" s="11"/>
      <c r="CN454" s="11"/>
      <c r="CO454" s="11"/>
      <c r="CP454" s="40"/>
      <c r="CQ454" s="40"/>
      <c r="CR454" s="40"/>
      <c r="CS454" s="40"/>
      <c r="CT454" s="40"/>
      <c r="CU454" s="40"/>
      <c r="CV454" s="40"/>
      <c r="CW454" s="40"/>
      <c r="CX454" s="40"/>
      <c r="CY454" s="40"/>
      <c r="CZ454" s="40"/>
      <c r="DA454" s="11"/>
      <c r="DB454" s="11"/>
      <c r="DC454" s="11"/>
      <c r="DD454" s="11"/>
      <c r="DE454" s="11"/>
      <c r="DF454" s="11"/>
      <c r="DG454" s="11"/>
    </row>
    <row r="455" ht="15.75" customHeight="1">
      <c r="A455" s="41"/>
      <c r="B455" s="11"/>
      <c r="C455" s="11"/>
      <c r="D455" s="11"/>
      <c r="E455" s="11"/>
      <c r="F455" s="11"/>
      <c r="G455" s="11"/>
      <c r="H455" s="11"/>
      <c r="I455" s="41"/>
      <c r="J455" s="11"/>
      <c r="K455" s="11"/>
      <c r="L455" s="11"/>
      <c r="M455" s="11"/>
      <c r="N455" s="11"/>
      <c r="O455" s="11"/>
      <c r="P455" s="11"/>
      <c r="Q455" s="41"/>
      <c r="R455" s="11"/>
      <c r="S455" s="11"/>
      <c r="T455" s="11"/>
      <c r="U455" s="11"/>
      <c r="V455" s="11"/>
      <c r="W455" s="11"/>
      <c r="X455" s="11"/>
      <c r="Y455" s="4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  <c r="CH455" s="11"/>
      <c r="CI455" s="11"/>
      <c r="CJ455" s="11"/>
      <c r="CK455" s="11"/>
      <c r="CL455" s="11"/>
      <c r="CM455" s="11"/>
      <c r="CN455" s="11"/>
      <c r="CO455" s="11"/>
      <c r="CP455" s="40"/>
      <c r="CQ455" s="40"/>
      <c r="CR455" s="40"/>
      <c r="CS455" s="40"/>
      <c r="CT455" s="40"/>
      <c r="CU455" s="40"/>
      <c r="CV455" s="40"/>
      <c r="CW455" s="40"/>
      <c r="CX455" s="40"/>
      <c r="CY455" s="40"/>
      <c r="CZ455" s="40"/>
      <c r="DA455" s="11"/>
      <c r="DB455" s="11"/>
      <c r="DC455" s="11"/>
      <c r="DD455" s="11"/>
      <c r="DE455" s="11"/>
      <c r="DF455" s="11"/>
      <c r="DG455" s="11"/>
    </row>
    <row r="456" ht="15.75" customHeight="1">
      <c r="A456" s="41"/>
      <c r="B456" s="11"/>
      <c r="C456" s="11"/>
      <c r="D456" s="11"/>
      <c r="E456" s="11"/>
      <c r="F456" s="11"/>
      <c r="G456" s="11"/>
      <c r="H456" s="11"/>
      <c r="I456" s="41"/>
      <c r="J456" s="11"/>
      <c r="K456" s="11"/>
      <c r="L456" s="11"/>
      <c r="M456" s="11"/>
      <c r="N456" s="11"/>
      <c r="O456" s="11"/>
      <c r="P456" s="11"/>
      <c r="Q456" s="41"/>
      <c r="R456" s="11"/>
      <c r="S456" s="11"/>
      <c r="T456" s="11"/>
      <c r="U456" s="11"/>
      <c r="V456" s="11"/>
      <c r="W456" s="11"/>
      <c r="X456" s="11"/>
      <c r="Y456" s="4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40"/>
      <c r="CQ456" s="40"/>
      <c r="CR456" s="40"/>
      <c r="CS456" s="40"/>
      <c r="CT456" s="40"/>
      <c r="CU456" s="40"/>
      <c r="CV456" s="40"/>
      <c r="CW456" s="40"/>
      <c r="CX456" s="40"/>
      <c r="CY456" s="40"/>
      <c r="CZ456" s="40"/>
      <c r="DA456" s="11"/>
      <c r="DB456" s="11"/>
      <c r="DC456" s="11"/>
      <c r="DD456" s="11"/>
      <c r="DE456" s="11"/>
      <c r="DF456" s="11"/>
      <c r="DG456" s="11"/>
    </row>
    <row r="457" ht="15.75" customHeight="1">
      <c r="A457" s="41"/>
      <c r="B457" s="11"/>
      <c r="C457" s="11"/>
      <c r="D457" s="11"/>
      <c r="E457" s="11"/>
      <c r="F457" s="11"/>
      <c r="G457" s="11"/>
      <c r="H457" s="11"/>
      <c r="I457" s="41"/>
      <c r="J457" s="11"/>
      <c r="K457" s="11"/>
      <c r="L457" s="11"/>
      <c r="M457" s="11"/>
      <c r="N457" s="11"/>
      <c r="O457" s="11"/>
      <c r="P457" s="11"/>
      <c r="Q457" s="41"/>
      <c r="R457" s="11"/>
      <c r="S457" s="11"/>
      <c r="T457" s="11"/>
      <c r="U457" s="11"/>
      <c r="V457" s="11"/>
      <c r="W457" s="11"/>
      <c r="X457" s="11"/>
      <c r="Y457" s="4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40"/>
      <c r="CQ457" s="40"/>
      <c r="CR457" s="40"/>
      <c r="CS457" s="40"/>
      <c r="CT457" s="40"/>
      <c r="CU457" s="40"/>
      <c r="CV457" s="40"/>
      <c r="CW457" s="40"/>
      <c r="CX457" s="40"/>
      <c r="CY457" s="40"/>
      <c r="CZ457" s="40"/>
      <c r="DA457" s="11"/>
      <c r="DB457" s="11"/>
      <c r="DC457" s="11"/>
      <c r="DD457" s="11"/>
      <c r="DE457" s="11"/>
      <c r="DF457" s="11"/>
      <c r="DG457" s="11"/>
    </row>
    <row r="458" ht="15.75" customHeight="1">
      <c r="A458" s="41"/>
      <c r="B458" s="11"/>
      <c r="C458" s="11"/>
      <c r="D458" s="11"/>
      <c r="E458" s="11"/>
      <c r="F458" s="11"/>
      <c r="G458" s="11"/>
      <c r="H458" s="11"/>
      <c r="I458" s="41"/>
      <c r="J458" s="11"/>
      <c r="K458" s="11"/>
      <c r="L458" s="11"/>
      <c r="M458" s="11"/>
      <c r="N458" s="11"/>
      <c r="O458" s="11"/>
      <c r="P458" s="11"/>
      <c r="Q458" s="41"/>
      <c r="R458" s="11"/>
      <c r="S458" s="11"/>
      <c r="T458" s="11"/>
      <c r="U458" s="11"/>
      <c r="V458" s="11"/>
      <c r="W458" s="11"/>
      <c r="X458" s="11"/>
      <c r="Y458" s="4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40"/>
      <c r="CQ458" s="40"/>
      <c r="CR458" s="40"/>
      <c r="CS458" s="40"/>
      <c r="CT458" s="40"/>
      <c r="CU458" s="40"/>
      <c r="CV458" s="40"/>
      <c r="CW458" s="40"/>
      <c r="CX458" s="40"/>
      <c r="CY458" s="40"/>
      <c r="CZ458" s="40"/>
      <c r="DA458" s="11"/>
      <c r="DB458" s="11"/>
      <c r="DC458" s="11"/>
      <c r="DD458" s="11"/>
      <c r="DE458" s="11"/>
      <c r="DF458" s="11"/>
      <c r="DG458" s="11"/>
    </row>
    <row r="459" ht="15.75" customHeight="1">
      <c r="A459" s="41"/>
      <c r="B459" s="11"/>
      <c r="C459" s="11"/>
      <c r="D459" s="11"/>
      <c r="E459" s="11"/>
      <c r="F459" s="11"/>
      <c r="G459" s="11"/>
      <c r="H459" s="11"/>
      <c r="I459" s="41"/>
      <c r="J459" s="11"/>
      <c r="K459" s="11"/>
      <c r="L459" s="11"/>
      <c r="M459" s="11"/>
      <c r="N459" s="11"/>
      <c r="O459" s="11"/>
      <c r="P459" s="11"/>
      <c r="Q459" s="41"/>
      <c r="R459" s="11"/>
      <c r="S459" s="11"/>
      <c r="T459" s="11"/>
      <c r="U459" s="11"/>
      <c r="V459" s="11"/>
      <c r="W459" s="11"/>
      <c r="X459" s="11"/>
      <c r="Y459" s="4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40"/>
      <c r="CQ459" s="40"/>
      <c r="CR459" s="40"/>
      <c r="CS459" s="40"/>
      <c r="CT459" s="40"/>
      <c r="CU459" s="40"/>
      <c r="CV459" s="40"/>
      <c r="CW459" s="40"/>
      <c r="CX459" s="40"/>
      <c r="CY459" s="40"/>
      <c r="CZ459" s="40"/>
      <c r="DA459" s="11"/>
      <c r="DB459" s="11"/>
      <c r="DC459" s="11"/>
      <c r="DD459" s="11"/>
      <c r="DE459" s="11"/>
      <c r="DF459" s="11"/>
      <c r="DG459" s="11"/>
    </row>
    <row r="460" ht="15.75" customHeight="1">
      <c r="A460" s="41"/>
      <c r="B460" s="11"/>
      <c r="C460" s="11"/>
      <c r="D460" s="11"/>
      <c r="E460" s="11"/>
      <c r="F460" s="11"/>
      <c r="G460" s="11"/>
      <c r="H460" s="11"/>
      <c r="I460" s="41"/>
      <c r="J460" s="11"/>
      <c r="K460" s="11"/>
      <c r="L460" s="11"/>
      <c r="M460" s="11"/>
      <c r="N460" s="11"/>
      <c r="O460" s="11"/>
      <c r="P460" s="11"/>
      <c r="Q460" s="41"/>
      <c r="R460" s="11"/>
      <c r="S460" s="11"/>
      <c r="T460" s="11"/>
      <c r="U460" s="11"/>
      <c r="V460" s="11"/>
      <c r="W460" s="11"/>
      <c r="X460" s="11"/>
      <c r="Y460" s="4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40"/>
      <c r="CQ460" s="40"/>
      <c r="CR460" s="40"/>
      <c r="CS460" s="40"/>
      <c r="CT460" s="40"/>
      <c r="CU460" s="40"/>
      <c r="CV460" s="40"/>
      <c r="CW460" s="40"/>
      <c r="CX460" s="40"/>
      <c r="CY460" s="40"/>
      <c r="CZ460" s="40"/>
      <c r="DA460" s="11"/>
      <c r="DB460" s="11"/>
      <c r="DC460" s="11"/>
      <c r="DD460" s="11"/>
      <c r="DE460" s="11"/>
      <c r="DF460" s="11"/>
      <c r="DG460" s="11"/>
    </row>
    <row r="461" ht="15.75" customHeight="1">
      <c r="A461" s="41"/>
      <c r="B461" s="11"/>
      <c r="C461" s="11"/>
      <c r="D461" s="11"/>
      <c r="E461" s="11"/>
      <c r="F461" s="11"/>
      <c r="G461" s="11"/>
      <c r="H461" s="11"/>
      <c r="I461" s="41"/>
      <c r="J461" s="11"/>
      <c r="K461" s="11"/>
      <c r="L461" s="11"/>
      <c r="M461" s="11"/>
      <c r="N461" s="11"/>
      <c r="O461" s="11"/>
      <c r="P461" s="11"/>
      <c r="Q461" s="41"/>
      <c r="R461" s="11"/>
      <c r="S461" s="11"/>
      <c r="T461" s="11"/>
      <c r="U461" s="11"/>
      <c r="V461" s="11"/>
      <c r="W461" s="11"/>
      <c r="X461" s="11"/>
      <c r="Y461" s="4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40"/>
      <c r="CQ461" s="40"/>
      <c r="CR461" s="40"/>
      <c r="CS461" s="40"/>
      <c r="CT461" s="40"/>
      <c r="CU461" s="40"/>
      <c r="CV461" s="40"/>
      <c r="CW461" s="40"/>
      <c r="CX461" s="40"/>
      <c r="CY461" s="40"/>
      <c r="CZ461" s="40"/>
      <c r="DA461" s="11"/>
      <c r="DB461" s="11"/>
      <c r="DC461" s="11"/>
      <c r="DD461" s="11"/>
      <c r="DE461" s="11"/>
      <c r="DF461" s="11"/>
      <c r="DG461" s="11"/>
    </row>
    <row r="462" ht="15.75" customHeight="1">
      <c r="A462" s="41"/>
      <c r="B462" s="11"/>
      <c r="C462" s="11"/>
      <c r="D462" s="11"/>
      <c r="E462" s="11"/>
      <c r="F462" s="11"/>
      <c r="G462" s="11"/>
      <c r="H462" s="11"/>
      <c r="I462" s="41"/>
      <c r="J462" s="11"/>
      <c r="K462" s="11"/>
      <c r="L462" s="11"/>
      <c r="M462" s="11"/>
      <c r="N462" s="11"/>
      <c r="O462" s="11"/>
      <c r="P462" s="11"/>
      <c r="Q462" s="41"/>
      <c r="R462" s="11"/>
      <c r="S462" s="11"/>
      <c r="T462" s="11"/>
      <c r="U462" s="11"/>
      <c r="V462" s="11"/>
      <c r="W462" s="11"/>
      <c r="X462" s="11"/>
      <c r="Y462" s="4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40"/>
      <c r="CQ462" s="40"/>
      <c r="CR462" s="40"/>
      <c r="CS462" s="40"/>
      <c r="CT462" s="40"/>
      <c r="CU462" s="40"/>
      <c r="CV462" s="40"/>
      <c r="CW462" s="40"/>
      <c r="CX462" s="40"/>
      <c r="CY462" s="40"/>
      <c r="CZ462" s="40"/>
      <c r="DA462" s="11"/>
      <c r="DB462" s="11"/>
      <c r="DC462" s="11"/>
      <c r="DD462" s="11"/>
      <c r="DE462" s="11"/>
      <c r="DF462" s="11"/>
      <c r="DG462" s="11"/>
    </row>
    <row r="463" ht="15.75" customHeight="1">
      <c r="A463" s="41"/>
      <c r="B463" s="11"/>
      <c r="C463" s="11"/>
      <c r="D463" s="11"/>
      <c r="E463" s="11"/>
      <c r="F463" s="11"/>
      <c r="G463" s="11"/>
      <c r="H463" s="11"/>
      <c r="I463" s="41"/>
      <c r="J463" s="11"/>
      <c r="K463" s="11"/>
      <c r="L463" s="11"/>
      <c r="M463" s="11"/>
      <c r="N463" s="11"/>
      <c r="O463" s="11"/>
      <c r="P463" s="11"/>
      <c r="Q463" s="41"/>
      <c r="R463" s="11"/>
      <c r="S463" s="11"/>
      <c r="T463" s="11"/>
      <c r="U463" s="11"/>
      <c r="V463" s="11"/>
      <c r="W463" s="11"/>
      <c r="X463" s="11"/>
      <c r="Y463" s="4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40"/>
      <c r="CQ463" s="40"/>
      <c r="CR463" s="40"/>
      <c r="CS463" s="40"/>
      <c r="CT463" s="40"/>
      <c r="CU463" s="40"/>
      <c r="CV463" s="40"/>
      <c r="CW463" s="40"/>
      <c r="CX463" s="40"/>
      <c r="CY463" s="40"/>
      <c r="CZ463" s="40"/>
      <c r="DA463" s="11"/>
      <c r="DB463" s="11"/>
      <c r="DC463" s="11"/>
      <c r="DD463" s="11"/>
      <c r="DE463" s="11"/>
      <c r="DF463" s="11"/>
      <c r="DG463" s="11"/>
    </row>
    <row r="464" ht="15.75" customHeight="1">
      <c r="A464" s="41"/>
      <c r="B464" s="11"/>
      <c r="C464" s="11"/>
      <c r="D464" s="11"/>
      <c r="E464" s="11"/>
      <c r="F464" s="11"/>
      <c r="G464" s="11"/>
      <c r="H464" s="11"/>
      <c r="I464" s="41"/>
      <c r="J464" s="11"/>
      <c r="K464" s="11"/>
      <c r="L464" s="11"/>
      <c r="M464" s="11"/>
      <c r="N464" s="11"/>
      <c r="O464" s="11"/>
      <c r="P464" s="11"/>
      <c r="Q464" s="41"/>
      <c r="R464" s="11"/>
      <c r="S464" s="11"/>
      <c r="T464" s="11"/>
      <c r="U464" s="11"/>
      <c r="V464" s="11"/>
      <c r="W464" s="11"/>
      <c r="X464" s="11"/>
      <c r="Y464" s="4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40"/>
      <c r="CQ464" s="40"/>
      <c r="CR464" s="40"/>
      <c r="CS464" s="40"/>
      <c r="CT464" s="40"/>
      <c r="CU464" s="40"/>
      <c r="CV464" s="40"/>
      <c r="CW464" s="40"/>
      <c r="CX464" s="40"/>
      <c r="CY464" s="40"/>
      <c r="CZ464" s="40"/>
      <c r="DA464" s="11"/>
      <c r="DB464" s="11"/>
      <c r="DC464" s="11"/>
      <c r="DD464" s="11"/>
      <c r="DE464" s="11"/>
      <c r="DF464" s="11"/>
      <c r="DG464" s="11"/>
    </row>
    <row r="465" ht="15.75" customHeight="1">
      <c r="A465" s="41"/>
      <c r="B465" s="11"/>
      <c r="C465" s="11"/>
      <c r="D465" s="11"/>
      <c r="E465" s="11"/>
      <c r="F465" s="11"/>
      <c r="G465" s="11"/>
      <c r="H465" s="11"/>
      <c r="I465" s="41"/>
      <c r="J465" s="11"/>
      <c r="K465" s="11"/>
      <c r="L465" s="11"/>
      <c r="M465" s="11"/>
      <c r="N465" s="11"/>
      <c r="O465" s="11"/>
      <c r="P465" s="11"/>
      <c r="Q465" s="41"/>
      <c r="R465" s="11"/>
      <c r="S465" s="11"/>
      <c r="T465" s="11"/>
      <c r="U465" s="11"/>
      <c r="V465" s="11"/>
      <c r="W465" s="11"/>
      <c r="X465" s="11"/>
      <c r="Y465" s="4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40"/>
      <c r="CQ465" s="40"/>
      <c r="CR465" s="40"/>
      <c r="CS465" s="40"/>
      <c r="CT465" s="40"/>
      <c r="CU465" s="40"/>
      <c r="CV465" s="40"/>
      <c r="CW465" s="40"/>
      <c r="CX465" s="40"/>
      <c r="CY465" s="40"/>
      <c r="CZ465" s="40"/>
      <c r="DA465" s="11"/>
      <c r="DB465" s="11"/>
      <c r="DC465" s="11"/>
      <c r="DD465" s="11"/>
      <c r="DE465" s="11"/>
      <c r="DF465" s="11"/>
      <c r="DG465" s="11"/>
    </row>
    <row r="466" ht="15.75" customHeight="1">
      <c r="A466" s="41"/>
      <c r="B466" s="11"/>
      <c r="C466" s="11"/>
      <c r="D466" s="11"/>
      <c r="E466" s="11"/>
      <c r="F466" s="11"/>
      <c r="G466" s="11"/>
      <c r="H466" s="11"/>
      <c r="I466" s="41"/>
      <c r="J466" s="11"/>
      <c r="K466" s="11"/>
      <c r="L466" s="11"/>
      <c r="M466" s="11"/>
      <c r="N466" s="11"/>
      <c r="O466" s="11"/>
      <c r="P466" s="11"/>
      <c r="Q466" s="41"/>
      <c r="R466" s="11"/>
      <c r="S466" s="11"/>
      <c r="T466" s="11"/>
      <c r="U466" s="11"/>
      <c r="V466" s="11"/>
      <c r="W466" s="11"/>
      <c r="X466" s="11"/>
      <c r="Y466" s="4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40"/>
      <c r="CQ466" s="40"/>
      <c r="CR466" s="40"/>
      <c r="CS466" s="40"/>
      <c r="CT466" s="40"/>
      <c r="CU466" s="40"/>
      <c r="CV466" s="40"/>
      <c r="CW466" s="40"/>
      <c r="CX466" s="40"/>
      <c r="CY466" s="40"/>
      <c r="CZ466" s="40"/>
      <c r="DA466" s="11"/>
      <c r="DB466" s="11"/>
      <c r="DC466" s="11"/>
      <c r="DD466" s="11"/>
      <c r="DE466" s="11"/>
      <c r="DF466" s="11"/>
      <c r="DG466" s="11"/>
    </row>
    <row r="467" ht="15.75" customHeight="1">
      <c r="A467" s="41"/>
      <c r="B467" s="11"/>
      <c r="C467" s="11"/>
      <c r="D467" s="11"/>
      <c r="E467" s="11"/>
      <c r="F467" s="11"/>
      <c r="G467" s="11"/>
      <c r="H467" s="11"/>
      <c r="I467" s="41"/>
      <c r="J467" s="11"/>
      <c r="K467" s="11"/>
      <c r="L467" s="11"/>
      <c r="M467" s="11"/>
      <c r="N467" s="11"/>
      <c r="O467" s="11"/>
      <c r="P467" s="11"/>
      <c r="Q467" s="41"/>
      <c r="R467" s="11"/>
      <c r="S467" s="11"/>
      <c r="T467" s="11"/>
      <c r="U467" s="11"/>
      <c r="V467" s="11"/>
      <c r="W467" s="11"/>
      <c r="X467" s="11"/>
      <c r="Y467" s="4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40"/>
      <c r="CQ467" s="40"/>
      <c r="CR467" s="40"/>
      <c r="CS467" s="40"/>
      <c r="CT467" s="40"/>
      <c r="CU467" s="40"/>
      <c r="CV467" s="40"/>
      <c r="CW467" s="40"/>
      <c r="CX467" s="40"/>
      <c r="CY467" s="40"/>
      <c r="CZ467" s="40"/>
      <c r="DA467" s="11"/>
      <c r="DB467" s="11"/>
      <c r="DC467" s="11"/>
      <c r="DD467" s="11"/>
      <c r="DE467" s="11"/>
      <c r="DF467" s="11"/>
      <c r="DG467" s="11"/>
    </row>
    <row r="468" ht="15.75" customHeight="1">
      <c r="A468" s="41"/>
      <c r="B468" s="11"/>
      <c r="C468" s="11"/>
      <c r="D468" s="11"/>
      <c r="E468" s="11"/>
      <c r="F468" s="11"/>
      <c r="G468" s="11"/>
      <c r="H468" s="11"/>
      <c r="I468" s="41"/>
      <c r="J468" s="11"/>
      <c r="K468" s="11"/>
      <c r="L468" s="11"/>
      <c r="M468" s="11"/>
      <c r="N468" s="11"/>
      <c r="O468" s="11"/>
      <c r="P468" s="11"/>
      <c r="Q468" s="41"/>
      <c r="R468" s="11"/>
      <c r="S468" s="11"/>
      <c r="T468" s="11"/>
      <c r="U468" s="11"/>
      <c r="V468" s="11"/>
      <c r="W468" s="11"/>
      <c r="X468" s="11"/>
      <c r="Y468" s="4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40"/>
      <c r="CQ468" s="40"/>
      <c r="CR468" s="40"/>
      <c r="CS468" s="40"/>
      <c r="CT468" s="40"/>
      <c r="CU468" s="40"/>
      <c r="CV468" s="40"/>
      <c r="CW468" s="40"/>
      <c r="CX468" s="40"/>
      <c r="CY468" s="40"/>
      <c r="CZ468" s="40"/>
      <c r="DA468" s="11"/>
      <c r="DB468" s="11"/>
      <c r="DC468" s="11"/>
      <c r="DD468" s="11"/>
      <c r="DE468" s="11"/>
      <c r="DF468" s="11"/>
      <c r="DG468" s="11"/>
    </row>
    <row r="469" ht="15.75" customHeight="1">
      <c r="A469" s="41"/>
      <c r="B469" s="11"/>
      <c r="C469" s="11"/>
      <c r="D469" s="11"/>
      <c r="E469" s="11"/>
      <c r="F469" s="11"/>
      <c r="G469" s="11"/>
      <c r="H469" s="11"/>
      <c r="I469" s="41"/>
      <c r="J469" s="11"/>
      <c r="K469" s="11"/>
      <c r="L469" s="11"/>
      <c r="M469" s="11"/>
      <c r="N469" s="11"/>
      <c r="O469" s="11"/>
      <c r="P469" s="11"/>
      <c r="Q469" s="41"/>
      <c r="R469" s="11"/>
      <c r="S469" s="11"/>
      <c r="T469" s="11"/>
      <c r="U469" s="11"/>
      <c r="V469" s="11"/>
      <c r="W469" s="11"/>
      <c r="X469" s="11"/>
      <c r="Y469" s="4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40"/>
      <c r="CQ469" s="40"/>
      <c r="CR469" s="40"/>
      <c r="CS469" s="40"/>
      <c r="CT469" s="40"/>
      <c r="CU469" s="40"/>
      <c r="CV469" s="40"/>
      <c r="CW469" s="40"/>
      <c r="CX469" s="40"/>
      <c r="CY469" s="40"/>
      <c r="CZ469" s="40"/>
      <c r="DA469" s="11"/>
      <c r="DB469" s="11"/>
      <c r="DC469" s="11"/>
      <c r="DD469" s="11"/>
      <c r="DE469" s="11"/>
      <c r="DF469" s="11"/>
      <c r="DG469" s="11"/>
    </row>
    <row r="470" ht="15.75" customHeight="1">
      <c r="A470" s="41"/>
      <c r="B470" s="11"/>
      <c r="C470" s="11"/>
      <c r="D470" s="11"/>
      <c r="E470" s="11"/>
      <c r="F470" s="11"/>
      <c r="G470" s="11"/>
      <c r="H470" s="11"/>
      <c r="I470" s="41"/>
      <c r="J470" s="11"/>
      <c r="K470" s="11"/>
      <c r="L470" s="11"/>
      <c r="M470" s="11"/>
      <c r="N470" s="11"/>
      <c r="O470" s="11"/>
      <c r="P470" s="11"/>
      <c r="Q470" s="41"/>
      <c r="R470" s="11"/>
      <c r="S470" s="11"/>
      <c r="T470" s="11"/>
      <c r="U470" s="11"/>
      <c r="V470" s="11"/>
      <c r="W470" s="11"/>
      <c r="X470" s="11"/>
      <c r="Y470" s="4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40"/>
      <c r="CQ470" s="40"/>
      <c r="CR470" s="40"/>
      <c r="CS470" s="40"/>
      <c r="CT470" s="40"/>
      <c r="CU470" s="40"/>
      <c r="CV470" s="40"/>
      <c r="CW470" s="40"/>
      <c r="CX470" s="40"/>
      <c r="CY470" s="40"/>
      <c r="CZ470" s="40"/>
      <c r="DA470" s="11"/>
      <c r="DB470" s="11"/>
      <c r="DC470" s="11"/>
      <c r="DD470" s="11"/>
      <c r="DE470" s="11"/>
      <c r="DF470" s="11"/>
      <c r="DG470" s="11"/>
    </row>
    <row r="471" ht="15.75" customHeight="1">
      <c r="A471" s="41"/>
      <c r="B471" s="11"/>
      <c r="C471" s="11"/>
      <c r="D471" s="11"/>
      <c r="E471" s="11"/>
      <c r="F471" s="11"/>
      <c r="G471" s="11"/>
      <c r="H471" s="11"/>
      <c r="I471" s="41"/>
      <c r="J471" s="11"/>
      <c r="K471" s="11"/>
      <c r="L471" s="11"/>
      <c r="M471" s="11"/>
      <c r="N471" s="11"/>
      <c r="O471" s="11"/>
      <c r="P471" s="11"/>
      <c r="Q471" s="41"/>
      <c r="R471" s="11"/>
      <c r="S471" s="11"/>
      <c r="T471" s="11"/>
      <c r="U471" s="11"/>
      <c r="V471" s="11"/>
      <c r="W471" s="11"/>
      <c r="X471" s="11"/>
      <c r="Y471" s="4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40"/>
      <c r="CQ471" s="40"/>
      <c r="CR471" s="40"/>
      <c r="CS471" s="40"/>
      <c r="CT471" s="40"/>
      <c r="CU471" s="40"/>
      <c r="CV471" s="40"/>
      <c r="CW471" s="40"/>
      <c r="CX471" s="40"/>
      <c r="CY471" s="40"/>
      <c r="CZ471" s="40"/>
      <c r="DA471" s="11"/>
      <c r="DB471" s="11"/>
      <c r="DC471" s="11"/>
      <c r="DD471" s="11"/>
      <c r="DE471" s="11"/>
      <c r="DF471" s="11"/>
      <c r="DG471" s="11"/>
    </row>
    <row r="472" ht="15.75" customHeight="1">
      <c r="A472" s="41"/>
      <c r="B472" s="11"/>
      <c r="C472" s="11"/>
      <c r="D472" s="11"/>
      <c r="E472" s="11"/>
      <c r="F472" s="11"/>
      <c r="G472" s="11"/>
      <c r="H472" s="11"/>
      <c r="I472" s="41"/>
      <c r="J472" s="11"/>
      <c r="K472" s="11"/>
      <c r="L472" s="11"/>
      <c r="M472" s="11"/>
      <c r="N472" s="11"/>
      <c r="O472" s="11"/>
      <c r="P472" s="11"/>
      <c r="Q472" s="41"/>
      <c r="R472" s="11"/>
      <c r="S472" s="11"/>
      <c r="T472" s="11"/>
      <c r="U472" s="11"/>
      <c r="V472" s="11"/>
      <c r="W472" s="11"/>
      <c r="X472" s="11"/>
      <c r="Y472" s="4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40"/>
      <c r="CQ472" s="40"/>
      <c r="CR472" s="40"/>
      <c r="CS472" s="40"/>
      <c r="CT472" s="40"/>
      <c r="CU472" s="40"/>
      <c r="CV472" s="40"/>
      <c r="CW472" s="40"/>
      <c r="CX472" s="40"/>
      <c r="CY472" s="40"/>
      <c r="CZ472" s="40"/>
      <c r="DA472" s="11"/>
      <c r="DB472" s="11"/>
      <c r="DC472" s="11"/>
      <c r="DD472" s="11"/>
      <c r="DE472" s="11"/>
      <c r="DF472" s="11"/>
      <c r="DG472" s="11"/>
    </row>
    <row r="473" ht="15.75" customHeight="1">
      <c r="A473" s="41"/>
      <c r="B473" s="11"/>
      <c r="C473" s="11"/>
      <c r="D473" s="11"/>
      <c r="E473" s="11"/>
      <c r="F473" s="11"/>
      <c r="G473" s="11"/>
      <c r="H473" s="11"/>
      <c r="I473" s="41"/>
      <c r="J473" s="11"/>
      <c r="K473" s="11"/>
      <c r="L473" s="11"/>
      <c r="M473" s="11"/>
      <c r="N473" s="11"/>
      <c r="O473" s="11"/>
      <c r="P473" s="11"/>
      <c r="Q473" s="41"/>
      <c r="R473" s="11"/>
      <c r="S473" s="11"/>
      <c r="T473" s="11"/>
      <c r="U473" s="11"/>
      <c r="V473" s="11"/>
      <c r="W473" s="11"/>
      <c r="X473" s="11"/>
      <c r="Y473" s="4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40"/>
      <c r="CQ473" s="40"/>
      <c r="CR473" s="40"/>
      <c r="CS473" s="40"/>
      <c r="CT473" s="40"/>
      <c r="CU473" s="40"/>
      <c r="CV473" s="40"/>
      <c r="CW473" s="40"/>
      <c r="CX473" s="40"/>
      <c r="CY473" s="40"/>
      <c r="CZ473" s="40"/>
      <c r="DA473" s="11"/>
      <c r="DB473" s="11"/>
      <c r="DC473" s="11"/>
      <c r="DD473" s="11"/>
      <c r="DE473" s="11"/>
      <c r="DF473" s="11"/>
      <c r="DG473" s="11"/>
    </row>
    <row r="474" ht="15.75" customHeight="1">
      <c r="A474" s="41"/>
      <c r="B474" s="11"/>
      <c r="C474" s="11"/>
      <c r="D474" s="11"/>
      <c r="E474" s="11"/>
      <c r="F474" s="11"/>
      <c r="G474" s="11"/>
      <c r="H474" s="11"/>
      <c r="I474" s="41"/>
      <c r="J474" s="11"/>
      <c r="K474" s="11"/>
      <c r="L474" s="11"/>
      <c r="M474" s="11"/>
      <c r="N474" s="11"/>
      <c r="O474" s="11"/>
      <c r="P474" s="11"/>
      <c r="Q474" s="41"/>
      <c r="R474" s="11"/>
      <c r="S474" s="11"/>
      <c r="T474" s="11"/>
      <c r="U474" s="11"/>
      <c r="V474" s="11"/>
      <c r="W474" s="11"/>
      <c r="X474" s="11"/>
      <c r="Y474" s="4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40"/>
      <c r="CQ474" s="40"/>
      <c r="CR474" s="40"/>
      <c r="CS474" s="40"/>
      <c r="CT474" s="40"/>
      <c r="CU474" s="40"/>
      <c r="CV474" s="40"/>
      <c r="CW474" s="40"/>
      <c r="CX474" s="40"/>
      <c r="CY474" s="40"/>
      <c r="CZ474" s="40"/>
      <c r="DA474" s="11"/>
      <c r="DB474" s="11"/>
      <c r="DC474" s="11"/>
      <c r="DD474" s="11"/>
      <c r="DE474" s="11"/>
      <c r="DF474" s="11"/>
      <c r="DG474" s="11"/>
    </row>
    <row r="475" ht="15.75" customHeight="1">
      <c r="A475" s="41"/>
      <c r="B475" s="11"/>
      <c r="C475" s="11"/>
      <c r="D475" s="11"/>
      <c r="E475" s="11"/>
      <c r="F475" s="11"/>
      <c r="G475" s="11"/>
      <c r="H475" s="11"/>
      <c r="I475" s="41"/>
      <c r="J475" s="11"/>
      <c r="K475" s="11"/>
      <c r="L475" s="11"/>
      <c r="M475" s="11"/>
      <c r="N475" s="11"/>
      <c r="O475" s="11"/>
      <c r="P475" s="11"/>
      <c r="Q475" s="41"/>
      <c r="R475" s="11"/>
      <c r="S475" s="11"/>
      <c r="T475" s="11"/>
      <c r="U475" s="11"/>
      <c r="V475" s="11"/>
      <c r="W475" s="11"/>
      <c r="X475" s="11"/>
      <c r="Y475" s="4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40"/>
      <c r="CQ475" s="40"/>
      <c r="CR475" s="40"/>
      <c r="CS475" s="40"/>
      <c r="CT475" s="40"/>
      <c r="CU475" s="40"/>
      <c r="CV475" s="40"/>
      <c r="CW475" s="40"/>
      <c r="CX475" s="40"/>
      <c r="CY475" s="40"/>
      <c r="CZ475" s="40"/>
      <c r="DA475" s="11"/>
      <c r="DB475" s="11"/>
      <c r="DC475" s="11"/>
      <c r="DD475" s="11"/>
      <c r="DE475" s="11"/>
      <c r="DF475" s="11"/>
      <c r="DG475" s="11"/>
    </row>
    <row r="476" ht="15.75" customHeight="1">
      <c r="A476" s="41"/>
      <c r="B476" s="11"/>
      <c r="C476" s="11"/>
      <c r="D476" s="11"/>
      <c r="E476" s="11"/>
      <c r="F476" s="11"/>
      <c r="G476" s="11"/>
      <c r="H476" s="11"/>
      <c r="I476" s="41"/>
      <c r="J476" s="11"/>
      <c r="K476" s="11"/>
      <c r="L476" s="11"/>
      <c r="M476" s="11"/>
      <c r="N476" s="11"/>
      <c r="O476" s="11"/>
      <c r="P476" s="11"/>
      <c r="Q476" s="41"/>
      <c r="R476" s="11"/>
      <c r="S476" s="11"/>
      <c r="T476" s="11"/>
      <c r="U476" s="11"/>
      <c r="V476" s="11"/>
      <c r="W476" s="11"/>
      <c r="X476" s="11"/>
      <c r="Y476" s="4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  <c r="CM476" s="11"/>
      <c r="CN476" s="11"/>
      <c r="CO476" s="11"/>
      <c r="CP476" s="40"/>
      <c r="CQ476" s="40"/>
      <c r="CR476" s="40"/>
      <c r="CS476" s="40"/>
      <c r="CT476" s="40"/>
      <c r="CU476" s="40"/>
      <c r="CV476" s="40"/>
      <c r="CW476" s="40"/>
      <c r="CX476" s="40"/>
      <c r="CY476" s="40"/>
      <c r="CZ476" s="40"/>
      <c r="DA476" s="11"/>
      <c r="DB476" s="11"/>
      <c r="DC476" s="11"/>
      <c r="DD476" s="11"/>
      <c r="DE476" s="11"/>
      <c r="DF476" s="11"/>
      <c r="DG476" s="11"/>
    </row>
    <row r="477" ht="15.75" customHeight="1">
      <c r="A477" s="41"/>
      <c r="B477" s="11"/>
      <c r="C477" s="11"/>
      <c r="D477" s="11"/>
      <c r="E477" s="11"/>
      <c r="F477" s="11"/>
      <c r="G477" s="11"/>
      <c r="H477" s="11"/>
      <c r="I477" s="41"/>
      <c r="J477" s="11"/>
      <c r="K477" s="11"/>
      <c r="L477" s="11"/>
      <c r="M477" s="11"/>
      <c r="N477" s="11"/>
      <c r="O477" s="11"/>
      <c r="P477" s="11"/>
      <c r="Q477" s="41"/>
      <c r="R477" s="11"/>
      <c r="S477" s="11"/>
      <c r="T477" s="11"/>
      <c r="U477" s="11"/>
      <c r="V477" s="11"/>
      <c r="W477" s="11"/>
      <c r="X477" s="11"/>
      <c r="Y477" s="4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40"/>
      <c r="CQ477" s="40"/>
      <c r="CR477" s="40"/>
      <c r="CS477" s="40"/>
      <c r="CT477" s="40"/>
      <c r="CU477" s="40"/>
      <c r="CV477" s="40"/>
      <c r="CW477" s="40"/>
      <c r="CX477" s="40"/>
      <c r="CY477" s="40"/>
      <c r="CZ477" s="40"/>
      <c r="DA477" s="11"/>
      <c r="DB477" s="11"/>
      <c r="DC477" s="11"/>
      <c r="DD477" s="11"/>
      <c r="DE477" s="11"/>
      <c r="DF477" s="11"/>
      <c r="DG477" s="11"/>
    </row>
    <row r="478" ht="15.75" customHeight="1">
      <c r="A478" s="41"/>
      <c r="B478" s="11"/>
      <c r="C478" s="11"/>
      <c r="D478" s="11"/>
      <c r="E478" s="11"/>
      <c r="F478" s="11"/>
      <c r="G478" s="11"/>
      <c r="H478" s="11"/>
      <c r="I478" s="41"/>
      <c r="J478" s="11"/>
      <c r="K478" s="11"/>
      <c r="L478" s="11"/>
      <c r="M478" s="11"/>
      <c r="N478" s="11"/>
      <c r="O478" s="11"/>
      <c r="P478" s="11"/>
      <c r="Q478" s="41"/>
      <c r="R478" s="11"/>
      <c r="S478" s="11"/>
      <c r="T478" s="11"/>
      <c r="U478" s="11"/>
      <c r="V478" s="11"/>
      <c r="W478" s="11"/>
      <c r="X478" s="11"/>
      <c r="Y478" s="4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40"/>
      <c r="CQ478" s="40"/>
      <c r="CR478" s="40"/>
      <c r="CS478" s="40"/>
      <c r="CT478" s="40"/>
      <c r="CU478" s="40"/>
      <c r="CV478" s="40"/>
      <c r="CW478" s="40"/>
      <c r="CX478" s="40"/>
      <c r="CY478" s="40"/>
      <c r="CZ478" s="40"/>
      <c r="DA478" s="11"/>
      <c r="DB478" s="11"/>
      <c r="DC478" s="11"/>
      <c r="DD478" s="11"/>
      <c r="DE478" s="11"/>
      <c r="DF478" s="11"/>
      <c r="DG478" s="11"/>
    </row>
    <row r="479" ht="15.75" customHeight="1">
      <c r="A479" s="41"/>
      <c r="B479" s="11"/>
      <c r="C479" s="11"/>
      <c r="D479" s="11"/>
      <c r="E479" s="11"/>
      <c r="F479" s="11"/>
      <c r="G479" s="11"/>
      <c r="H479" s="11"/>
      <c r="I479" s="41"/>
      <c r="J479" s="11"/>
      <c r="K479" s="11"/>
      <c r="L479" s="11"/>
      <c r="M479" s="11"/>
      <c r="N479" s="11"/>
      <c r="O479" s="11"/>
      <c r="P479" s="11"/>
      <c r="Q479" s="41"/>
      <c r="R479" s="11"/>
      <c r="S479" s="11"/>
      <c r="T479" s="11"/>
      <c r="U479" s="11"/>
      <c r="V479" s="11"/>
      <c r="W479" s="11"/>
      <c r="X479" s="11"/>
      <c r="Y479" s="4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40"/>
      <c r="CQ479" s="40"/>
      <c r="CR479" s="40"/>
      <c r="CS479" s="40"/>
      <c r="CT479" s="40"/>
      <c r="CU479" s="40"/>
      <c r="CV479" s="40"/>
      <c r="CW479" s="40"/>
      <c r="CX479" s="40"/>
      <c r="CY479" s="40"/>
      <c r="CZ479" s="40"/>
      <c r="DA479" s="11"/>
      <c r="DB479" s="11"/>
      <c r="DC479" s="11"/>
      <c r="DD479" s="11"/>
      <c r="DE479" s="11"/>
      <c r="DF479" s="11"/>
      <c r="DG479" s="11"/>
    </row>
    <row r="480" ht="15.75" customHeight="1">
      <c r="A480" s="41"/>
      <c r="B480" s="11"/>
      <c r="C480" s="11"/>
      <c r="D480" s="11"/>
      <c r="E480" s="11"/>
      <c r="F480" s="11"/>
      <c r="G480" s="11"/>
      <c r="H480" s="11"/>
      <c r="I480" s="41"/>
      <c r="J480" s="11"/>
      <c r="K480" s="11"/>
      <c r="L480" s="11"/>
      <c r="M480" s="11"/>
      <c r="N480" s="11"/>
      <c r="O480" s="11"/>
      <c r="P480" s="11"/>
      <c r="Q480" s="41"/>
      <c r="R480" s="11"/>
      <c r="S480" s="11"/>
      <c r="T480" s="11"/>
      <c r="U480" s="11"/>
      <c r="V480" s="11"/>
      <c r="W480" s="11"/>
      <c r="X480" s="11"/>
      <c r="Y480" s="4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40"/>
      <c r="CQ480" s="40"/>
      <c r="CR480" s="40"/>
      <c r="CS480" s="40"/>
      <c r="CT480" s="40"/>
      <c r="CU480" s="40"/>
      <c r="CV480" s="40"/>
      <c r="CW480" s="40"/>
      <c r="CX480" s="40"/>
      <c r="CY480" s="40"/>
      <c r="CZ480" s="40"/>
      <c r="DA480" s="11"/>
      <c r="DB480" s="11"/>
      <c r="DC480" s="11"/>
      <c r="DD480" s="11"/>
      <c r="DE480" s="11"/>
      <c r="DF480" s="11"/>
      <c r="DG480" s="11"/>
    </row>
    <row r="481" ht="15.75" customHeight="1">
      <c r="A481" s="41"/>
      <c r="B481" s="11"/>
      <c r="C481" s="11"/>
      <c r="D481" s="11"/>
      <c r="E481" s="11"/>
      <c r="F481" s="11"/>
      <c r="G481" s="11"/>
      <c r="H481" s="11"/>
      <c r="I481" s="41"/>
      <c r="J481" s="11"/>
      <c r="K481" s="11"/>
      <c r="L481" s="11"/>
      <c r="M481" s="11"/>
      <c r="N481" s="11"/>
      <c r="O481" s="11"/>
      <c r="P481" s="11"/>
      <c r="Q481" s="41"/>
      <c r="R481" s="11"/>
      <c r="S481" s="11"/>
      <c r="T481" s="11"/>
      <c r="U481" s="11"/>
      <c r="V481" s="11"/>
      <c r="W481" s="11"/>
      <c r="X481" s="11"/>
      <c r="Y481" s="4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40"/>
      <c r="CQ481" s="40"/>
      <c r="CR481" s="40"/>
      <c r="CS481" s="40"/>
      <c r="CT481" s="40"/>
      <c r="CU481" s="40"/>
      <c r="CV481" s="40"/>
      <c r="CW481" s="40"/>
      <c r="CX481" s="40"/>
      <c r="CY481" s="40"/>
      <c r="CZ481" s="40"/>
      <c r="DA481" s="11"/>
      <c r="DB481" s="11"/>
      <c r="DC481" s="11"/>
      <c r="DD481" s="11"/>
      <c r="DE481" s="11"/>
      <c r="DF481" s="11"/>
      <c r="DG481" s="11"/>
    </row>
    <row r="482" ht="15.75" customHeight="1">
      <c r="A482" s="41"/>
      <c r="B482" s="11"/>
      <c r="C482" s="11"/>
      <c r="D482" s="11"/>
      <c r="E482" s="11"/>
      <c r="F482" s="11"/>
      <c r="G482" s="11"/>
      <c r="H482" s="11"/>
      <c r="I482" s="41"/>
      <c r="J482" s="11"/>
      <c r="K482" s="11"/>
      <c r="L482" s="11"/>
      <c r="M482" s="11"/>
      <c r="N482" s="11"/>
      <c r="O482" s="11"/>
      <c r="P482" s="11"/>
      <c r="Q482" s="41"/>
      <c r="R482" s="11"/>
      <c r="S482" s="11"/>
      <c r="T482" s="11"/>
      <c r="U482" s="11"/>
      <c r="V482" s="11"/>
      <c r="W482" s="11"/>
      <c r="X482" s="11"/>
      <c r="Y482" s="4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40"/>
      <c r="CQ482" s="40"/>
      <c r="CR482" s="40"/>
      <c r="CS482" s="40"/>
      <c r="CT482" s="40"/>
      <c r="CU482" s="40"/>
      <c r="CV482" s="40"/>
      <c r="CW482" s="40"/>
      <c r="CX482" s="40"/>
      <c r="CY482" s="40"/>
      <c r="CZ482" s="40"/>
      <c r="DA482" s="11"/>
      <c r="DB482" s="11"/>
      <c r="DC482" s="11"/>
      <c r="DD482" s="11"/>
      <c r="DE482" s="11"/>
      <c r="DF482" s="11"/>
      <c r="DG482" s="11"/>
    </row>
    <row r="483" ht="15.75" customHeight="1">
      <c r="A483" s="41"/>
      <c r="B483" s="11"/>
      <c r="C483" s="11"/>
      <c r="D483" s="11"/>
      <c r="E483" s="11"/>
      <c r="F483" s="11"/>
      <c r="G483" s="11"/>
      <c r="H483" s="11"/>
      <c r="I483" s="41"/>
      <c r="J483" s="11"/>
      <c r="K483" s="11"/>
      <c r="L483" s="11"/>
      <c r="M483" s="11"/>
      <c r="N483" s="11"/>
      <c r="O483" s="11"/>
      <c r="P483" s="11"/>
      <c r="Q483" s="41"/>
      <c r="R483" s="11"/>
      <c r="S483" s="11"/>
      <c r="T483" s="11"/>
      <c r="U483" s="11"/>
      <c r="V483" s="11"/>
      <c r="W483" s="11"/>
      <c r="X483" s="11"/>
      <c r="Y483" s="4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40"/>
      <c r="CQ483" s="40"/>
      <c r="CR483" s="40"/>
      <c r="CS483" s="40"/>
      <c r="CT483" s="40"/>
      <c r="CU483" s="40"/>
      <c r="CV483" s="40"/>
      <c r="CW483" s="40"/>
      <c r="CX483" s="40"/>
      <c r="CY483" s="40"/>
      <c r="CZ483" s="40"/>
      <c r="DA483" s="11"/>
      <c r="DB483" s="11"/>
      <c r="DC483" s="11"/>
      <c r="DD483" s="11"/>
      <c r="DE483" s="11"/>
      <c r="DF483" s="11"/>
      <c r="DG483" s="11"/>
    </row>
    <row r="484" ht="15.75" customHeight="1">
      <c r="A484" s="41"/>
      <c r="B484" s="11"/>
      <c r="C484" s="11"/>
      <c r="D484" s="11"/>
      <c r="E484" s="11"/>
      <c r="F484" s="11"/>
      <c r="G484" s="11"/>
      <c r="H484" s="11"/>
      <c r="I484" s="41"/>
      <c r="J484" s="11"/>
      <c r="K484" s="11"/>
      <c r="L484" s="11"/>
      <c r="M484" s="11"/>
      <c r="N484" s="11"/>
      <c r="O484" s="11"/>
      <c r="P484" s="11"/>
      <c r="Q484" s="41"/>
      <c r="R484" s="11"/>
      <c r="S484" s="11"/>
      <c r="T484" s="11"/>
      <c r="U484" s="11"/>
      <c r="V484" s="11"/>
      <c r="W484" s="11"/>
      <c r="X484" s="11"/>
      <c r="Y484" s="4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40"/>
      <c r="CQ484" s="40"/>
      <c r="CR484" s="40"/>
      <c r="CS484" s="40"/>
      <c r="CT484" s="40"/>
      <c r="CU484" s="40"/>
      <c r="CV484" s="40"/>
      <c r="CW484" s="40"/>
      <c r="CX484" s="40"/>
      <c r="CY484" s="40"/>
      <c r="CZ484" s="40"/>
      <c r="DA484" s="11"/>
      <c r="DB484" s="11"/>
      <c r="DC484" s="11"/>
      <c r="DD484" s="11"/>
      <c r="DE484" s="11"/>
      <c r="DF484" s="11"/>
      <c r="DG484" s="11"/>
    </row>
    <row r="485" ht="15.75" customHeight="1">
      <c r="A485" s="41"/>
      <c r="B485" s="11"/>
      <c r="C485" s="11"/>
      <c r="D485" s="11"/>
      <c r="E485" s="11"/>
      <c r="F485" s="11"/>
      <c r="G485" s="11"/>
      <c r="H485" s="11"/>
      <c r="I485" s="41"/>
      <c r="J485" s="11"/>
      <c r="K485" s="11"/>
      <c r="L485" s="11"/>
      <c r="M485" s="11"/>
      <c r="N485" s="11"/>
      <c r="O485" s="11"/>
      <c r="P485" s="11"/>
      <c r="Q485" s="41"/>
      <c r="R485" s="11"/>
      <c r="S485" s="11"/>
      <c r="T485" s="11"/>
      <c r="U485" s="11"/>
      <c r="V485" s="11"/>
      <c r="W485" s="11"/>
      <c r="X485" s="11"/>
      <c r="Y485" s="4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40"/>
      <c r="CQ485" s="40"/>
      <c r="CR485" s="40"/>
      <c r="CS485" s="40"/>
      <c r="CT485" s="40"/>
      <c r="CU485" s="40"/>
      <c r="CV485" s="40"/>
      <c r="CW485" s="40"/>
      <c r="CX485" s="40"/>
      <c r="CY485" s="40"/>
      <c r="CZ485" s="40"/>
      <c r="DA485" s="11"/>
      <c r="DB485" s="11"/>
      <c r="DC485" s="11"/>
      <c r="DD485" s="11"/>
      <c r="DE485" s="11"/>
      <c r="DF485" s="11"/>
      <c r="DG485" s="11"/>
    </row>
    <row r="486" ht="15.75" customHeight="1">
      <c r="A486" s="41"/>
      <c r="B486" s="11"/>
      <c r="C486" s="11"/>
      <c r="D486" s="11"/>
      <c r="E486" s="11"/>
      <c r="F486" s="11"/>
      <c r="G486" s="11"/>
      <c r="H486" s="11"/>
      <c r="I486" s="41"/>
      <c r="J486" s="11"/>
      <c r="K486" s="11"/>
      <c r="L486" s="11"/>
      <c r="M486" s="11"/>
      <c r="N486" s="11"/>
      <c r="O486" s="11"/>
      <c r="P486" s="11"/>
      <c r="Q486" s="41"/>
      <c r="R486" s="11"/>
      <c r="S486" s="11"/>
      <c r="T486" s="11"/>
      <c r="U486" s="11"/>
      <c r="V486" s="11"/>
      <c r="W486" s="11"/>
      <c r="X486" s="11"/>
      <c r="Y486" s="4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/>
      <c r="CO486" s="11"/>
      <c r="CP486" s="40"/>
      <c r="CQ486" s="40"/>
      <c r="CR486" s="40"/>
      <c r="CS486" s="40"/>
      <c r="CT486" s="40"/>
      <c r="CU486" s="40"/>
      <c r="CV486" s="40"/>
      <c r="CW486" s="40"/>
      <c r="CX486" s="40"/>
      <c r="CY486" s="40"/>
      <c r="CZ486" s="40"/>
      <c r="DA486" s="11"/>
      <c r="DB486" s="11"/>
      <c r="DC486" s="11"/>
      <c r="DD486" s="11"/>
      <c r="DE486" s="11"/>
      <c r="DF486" s="11"/>
      <c r="DG486" s="11"/>
    </row>
    <row r="487" ht="15.75" customHeight="1">
      <c r="A487" s="41"/>
      <c r="B487" s="11"/>
      <c r="C487" s="11"/>
      <c r="D487" s="11"/>
      <c r="E487" s="11"/>
      <c r="F487" s="11"/>
      <c r="G487" s="11"/>
      <c r="H487" s="11"/>
      <c r="I487" s="41"/>
      <c r="J487" s="11"/>
      <c r="K487" s="11"/>
      <c r="L487" s="11"/>
      <c r="M487" s="11"/>
      <c r="N487" s="11"/>
      <c r="O487" s="11"/>
      <c r="P487" s="11"/>
      <c r="Q487" s="41"/>
      <c r="R487" s="11"/>
      <c r="S487" s="11"/>
      <c r="T487" s="11"/>
      <c r="U487" s="11"/>
      <c r="V487" s="11"/>
      <c r="W487" s="11"/>
      <c r="X487" s="11"/>
      <c r="Y487" s="4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  <c r="CM487" s="11"/>
      <c r="CN487" s="11"/>
      <c r="CO487" s="11"/>
      <c r="CP487" s="40"/>
      <c r="CQ487" s="40"/>
      <c r="CR487" s="40"/>
      <c r="CS487" s="40"/>
      <c r="CT487" s="40"/>
      <c r="CU487" s="40"/>
      <c r="CV487" s="40"/>
      <c r="CW487" s="40"/>
      <c r="CX487" s="40"/>
      <c r="CY487" s="40"/>
      <c r="CZ487" s="40"/>
      <c r="DA487" s="11"/>
      <c r="DB487" s="11"/>
      <c r="DC487" s="11"/>
      <c r="DD487" s="11"/>
      <c r="DE487" s="11"/>
      <c r="DF487" s="11"/>
      <c r="DG487" s="11"/>
    </row>
    <row r="488" ht="15.75" customHeight="1">
      <c r="A488" s="41"/>
      <c r="B488" s="11"/>
      <c r="C488" s="11"/>
      <c r="D488" s="11"/>
      <c r="E488" s="11"/>
      <c r="F488" s="11"/>
      <c r="G488" s="11"/>
      <c r="H488" s="11"/>
      <c r="I488" s="41"/>
      <c r="J488" s="11"/>
      <c r="K488" s="11"/>
      <c r="L488" s="11"/>
      <c r="M488" s="11"/>
      <c r="N488" s="11"/>
      <c r="O488" s="11"/>
      <c r="P488" s="11"/>
      <c r="Q488" s="41"/>
      <c r="R488" s="11"/>
      <c r="S488" s="11"/>
      <c r="T488" s="11"/>
      <c r="U488" s="11"/>
      <c r="V488" s="11"/>
      <c r="W488" s="11"/>
      <c r="X488" s="11"/>
      <c r="Y488" s="4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  <c r="CM488" s="11"/>
      <c r="CN488" s="11"/>
      <c r="CO488" s="11"/>
      <c r="CP488" s="40"/>
      <c r="CQ488" s="40"/>
      <c r="CR488" s="40"/>
      <c r="CS488" s="40"/>
      <c r="CT488" s="40"/>
      <c r="CU488" s="40"/>
      <c r="CV488" s="40"/>
      <c r="CW488" s="40"/>
      <c r="CX488" s="40"/>
      <c r="CY488" s="40"/>
      <c r="CZ488" s="40"/>
      <c r="DA488" s="11"/>
      <c r="DB488" s="11"/>
      <c r="DC488" s="11"/>
      <c r="DD488" s="11"/>
      <c r="DE488" s="11"/>
      <c r="DF488" s="11"/>
      <c r="DG488" s="11"/>
    </row>
    <row r="489" ht="15.75" customHeight="1">
      <c r="A489" s="41"/>
      <c r="B489" s="11"/>
      <c r="C489" s="11"/>
      <c r="D489" s="11"/>
      <c r="E489" s="11"/>
      <c r="F489" s="11"/>
      <c r="G489" s="11"/>
      <c r="H489" s="11"/>
      <c r="I489" s="41"/>
      <c r="J489" s="11"/>
      <c r="K489" s="11"/>
      <c r="L489" s="11"/>
      <c r="M489" s="11"/>
      <c r="N489" s="11"/>
      <c r="O489" s="11"/>
      <c r="P489" s="11"/>
      <c r="Q489" s="41"/>
      <c r="R489" s="11"/>
      <c r="S489" s="11"/>
      <c r="T489" s="11"/>
      <c r="U489" s="11"/>
      <c r="V489" s="11"/>
      <c r="W489" s="11"/>
      <c r="X489" s="11"/>
      <c r="Y489" s="4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CH489" s="11"/>
      <c r="CI489" s="11"/>
      <c r="CJ489" s="11"/>
      <c r="CK489" s="11"/>
      <c r="CL489" s="11"/>
      <c r="CM489" s="11"/>
      <c r="CN489" s="11"/>
      <c r="CO489" s="11"/>
      <c r="CP489" s="40"/>
      <c r="CQ489" s="40"/>
      <c r="CR489" s="40"/>
      <c r="CS489" s="40"/>
      <c r="CT489" s="40"/>
      <c r="CU489" s="40"/>
      <c r="CV489" s="40"/>
      <c r="CW489" s="40"/>
      <c r="CX489" s="40"/>
      <c r="CY489" s="40"/>
      <c r="CZ489" s="40"/>
      <c r="DA489" s="11"/>
      <c r="DB489" s="11"/>
      <c r="DC489" s="11"/>
      <c r="DD489" s="11"/>
      <c r="DE489" s="11"/>
      <c r="DF489" s="11"/>
      <c r="DG489" s="11"/>
    </row>
    <row r="490" ht="15.75" customHeight="1">
      <c r="A490" s="41"/>
      <c r="B490" s="11"/>
      <c r="C490" s="11"/>
      <c r="D490" s="11"/>
      <c r="E490" s="11"/>
      <c r="F490" s="11"/>
      <c r="G490" s="11"/>
      <c r="H490" s="11"/>
      <c r="I490" s="41"/>
      <c r="J490" s="11"/>
      <c r="K490" s="11"/>
      <c r="L490" s="11"/>
      <c r="M490" s="11"/>
      <c r="N490" s="11"/>
      <c r="O490" s="11"/>
      <c r="P490" s="11"/>
      <c r="Q490" s="41"/>
      <c r="R490" s="11"/>
      <c r="S490" s="11"/>
      <c r="T490" s="11"/>
      <c r="U490" s="11"/>
      <c r="V490" s="11"/>
      <c r="W490" s="11"/>
      <c r="X490" s="11"/>
      <c r="Y490" s="4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  <c r="CM490" s="11"/>
      <c r="CN490" s="11"/>
      <c r="CO490" s="11"/>
      <c r="CP490" s="40"/>
      <c r="CQ490" s="40"/>
      <c r="CR490" s="40"/>
      <c r="CS490" s="40"/>
      <c r="CT490" s="40"/>
      <c r="CU490" s="40"/>
      <c r="CV490" s="40"/>
      <c r="CW490" s="40"/>
      <c r="CX490" s="40"/>
      <c r="CY490" s="40"/>
      <c r="CZ490" s="40"/>
      <c r="DA490" s="11"/>
      <c r="DB490" s="11"/>
      <c r="DC490" s="11"/>
      <c r="DD490" s="11"/>
      <c r="DE490" s="11"/>
      <c r="DF490" s="11"/>
      <c r="DG490" s="11"/>
    </row>
    <row r="491" ht="15.75" customHeight="1">
      <c r="A491" s="41"/>
      <c r="B491" s="11"/>
      <c r="C491" s="11"/>
      <c r="D491" s="11"/>
      <c r="E491" s="11"/>
      <c r="F491" s="11"/>
      <c r="G491" s="11"/>
      <c r="H491" s="11"/>
      <c r="I491" s="41"/>
      <c r="J491" s="11"/>
      <c r="K491" s="11"/>
      <c r="L491" s="11"/>
      <c r="M491" s="11"/>
      <c r="N491" s="11"/>
      <c r="O491" s="11"/>
      <c r="P491" s="11"/>
      <c r="Q491" s="41"/>
      <c r="R491" s="11"/>
      <c r="S491" s="11"/>
      <c r="T491" s="11"/>
      <c r="U491" s="11"/>
      <c r="V491" s="11"/>
      <c r="W491" s="11"/>
      <c r="X491" s="11"/>
      <c r="Y491" s="4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  <c r="CM491" s="11"/>
      <c r="CN491" s="11"/>
      <c r="CO491" s="11"/>
      <c r="CP491" s="40"/>
      <c r="CQ491" s="40"/>
      <c r="CR491" s="40"/>
      <c r="CS491" s="40"/>
      <c r="CT491" s="40"/>
      <c r="CU491" s="40"/>
      <c r="CV491" s="40"/>
      <c r="CW491" s="40"/>
      <c r="CX491" s="40"/>
      <c r="CY491" s="40"/>
      <c r="CZ491" s="40"/>
      <c r="DA491" s="11"/>
      <c r="DB491" s="11"/>
      <c r="DC491" s="11"/>
      <c r="DD491" s="11"/>
      <c r="DE491" s="11"/>
      <c r="DF491" s="11"/>
      <c r="DG491" s="11"/>
    </row>
    <row r="492" ht="15.75" customHeight="1">
      <c r="A492" s="41"/>
      <c r="B492" s="11"/>
      <c r="C492" s="11"/>
      <c r="D492" s="11"/>
      <c r="E492" s="11"/>
      <c r="F492" s="11"/>
      <c r="G492" s="11"/>
      <c r="H492" s="11"/>
      <c r="I492" s="41"/>
      <c r="J492" s="11"/>
      <c r="K492" s="11"/>
      <c r="L492" s="11"/>
      <c r="M492" s="11"/>
      <c r="N492" s="11"/>
      <c r="O492" s="11"/>
      <c r="P492" s="11"/>
      <c r="Q492" s="41"/>
      <c r="R492" s="11"/>
      <c r="S492" s="11"/>
      <c r="T492" s="11"/>
      <c r="U492" s="11"/>
      <c r="V492" s="11"/>
      <c r="W492" s="11"/>
      <c r="X492" s="11"/>
      <c r="Y492" s="4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40"/>
      <c r="CQ492" s="40"/>
      <c r="CR492" s="40"/>
      <c r="CS492" s="40"/>
      <c r="CT492" s="40"/>
      <c r="CU492" s="40"/>
      <c r="CV492" s="40"/>
      <c r="CW492" s="40"/>
      <c r="CX492" s="40"/>
      <c r="CY492" s="40"/>
      <c r="CZ492" s="40"/>
      <c r="DA492" s="11"/>
      <c r="DB492" s="11"/>
      <c r="DC492" s="11"/>
      <c r="DD492" s="11"/>
      <c r="DE492" s="11"/>
      <c r="DF492" s="11"/>
      <c r="DG492" s="11"/>
    </row>
    <row r="493" ht="15.75" customHeight="1">
      <c r="A493" s="41"/>
      <c r="B493" s="11"/>
      <c r="C493" s="11"/>
      <c r="D493" s="11"/>
      <c r="E493" s="11"/>
      <c r="F493" s="11"/>
      <c r="G493" s="11"/>
      <c r="H493" s="11"/>
      <c r="I493" s="41"/>
      <c r="J493" s="11"/>
      <c r="K493" s="11"/>
      <c r="L493" s="11"/>
      <c r="M493" s="11"/>
      <c r="N493" s="11"/>
      <c r="O493" s="11"/>
      <c r="P493" s="11"/>
      <c r="Q493" s="41"/>
      <c r="R493" s="11"/>
      <c r="S493" s="11"/>
      <c r="T493" s="11"/>
      <c r="U493" s="11"/>
      <c r="V493" s="11"/>
      <c r="W493" s="11"/>
      <c r="X493" s="11"/>
      <c r="Y493" s="4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40"/>
      <c r="CQ493" s="40"/>
      <c r="CR493" s="40"/>
      <c r="CS493" s="40"/>
      <c r="CT493" s="40"/>
      <c r="CU493" s="40"/>
      <c r="CV493" s="40"/>
      <c r="CW493" s="40"/>
      <c r="CX493" s="40"/>
      <c r="CY493" s="40"/>
      <c r="CZ493" s="40"/>
      <c r="DA493" s="11"/>
      <c r="DB493" s="11"/>
      <c r="DC493" s="11"/>
      <c r="DD493" s="11"/>
      <c r="DE493" s="11"/>
      <c r="DF493" s="11"/>
      <c r="DG493" s="11"/>
    </row>
    <row r="494" ht="15.75" customHeight="1">
      <c r="A494" s="41"/>
      <c r="B494" s="11"/>
      <c r="C494" s="11"/>
      <c r="D494" s="11"/>
      <c r="E494" s="11"/>
      <c r="F494" s="11"/>
      <c r="G494" s="11"/>
      <c r="H494" s="11"/>
      <c r="I494" s="41"/>
      <c r="J494" s="11"/>
      <c r="K494" s="11"/>
      <c r="L494" s="11"/>
      <c r="M494" s="11"/>
      <c r="N494" s="11"/>
      <c r="O494" s="11"/>
      <c r="P494" s="11"/>
      <c r="Q494" s="41"/>
      <c r="R494" s="11"/>
      <c r="S494" s="11"/>
      <c r="T494" s="11"/>
      <c r="U494" s="11"/>
      <c r="V494" s="11"/>
      <c r="W494" s="11"/>
      <c r="X494" s="11"/>
      <c r="Y494" s="4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  <c r="CM494" s="11"/>
      <c r="CN494" s="11"/>
      <c r="CO494" s="11"/>
      <c r="CP494" s="40"/>
      <c r="CQ494" s="40"/>
      <c r="CR494" s="40"/>
      <c r="CS494" s="40"/>
      <c r="CT494" s="40"/>
      <c r="CU494" s="40"/>
      <c r="CV494" s="40"/>
      <c r="CW494" s="40"/>
      <c r="CX494" s="40"/>
      <c r="CY494" s="40"/>
      <c r="CZ494" s="40"/>
      <c r="DA494" s="11"/>
      <c r="DB494" s="11"/>
      <c r="DC494" s="11"/>
      <c r="DD494" s="11"/>
      <c r="DE494" s="11"/>
      <c r="DF494" s="11"/>
      <c r="DG494" s="11"/>
    </row>
    <row r="495" ht="15.75" customHeight="1">
      <c r="A495" s="41"/>
      <c r="B495" s="11"/>
      <c r="C495" s="11"/>
      <c r="D495" s="11"/>
      <c r="E495" s="11"/>
      <c r="F495" s="11"/>
      <c r="G495" s="11"/>
      <c r="H495" s="11"/>
      <c r="I495" s="41"/>
      <c r="J495" s="11"/>
      <c r="K495" s="11"/>
      <c r="L495" s="11"/>
      <c r="M495" s="11"/>
      <c r="N495" s="11"/>
      <c r="O495" s="11"/>
      <c r="P495" s="11"/>
      <c r="Q495" s="41"/>
      <c r="R495" s="11"/>
      <c r="S495" s="11"/>
      <c r="T495" s="11"/>
      <c r="U495" s="11"/>
      <c r="V495" s="11"/>
      <c r="W495" s="11"/>
      <c r="X495" s="11"/>
      <c r="Y495" s="4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  <c r="CM495" s="11"/>
      <c r="CN495" s="11"/>
      <c r="CO495" s="11"/>
      <c r="CP495" s="40"/>
      <c r="CQ495" s="40"/>
      <c r="CR495" s="40"/>
      <c r="CS495" s="40"/>
      <c r="CT495" s="40"/>
      <c r="CU495" s="40"/>
      <c r="CV495" s="40"/>
      <c r="CW495" s="40"/>
      <c r="CX495" s="40"/>
      <c r="CY495" s="40"/>
      <c r="CZ495" s="40"/>
      <c r="DA495" s="11"/>
      <c r="DB495" s="11"/>
      <c r="DC495" s="11"/>
      <c r="DD495" s="11"/>
      <c r="DE495" s="11"/>
      <c r="DF495" s="11"/>
      <c r="DG495" s="11"/>
    </row>
    <row r="496" ht="15.75" customHeight="1">
      <c r="A496" s="41"/>
      <c r="B496" s="11"/>
      <c r="C496" s="11"/>
      <c r="D496" s="11"/>
      <c r="E496" s="11"/>
      <c r="F496" s="11"/>
      <c r="G496" s="11"/>
      <c r="H496" s="11"/>
      <c r="I496" s="41"/>
      <c r="J496" s="11"/>
      <c r="K496" s="11"/>
      <c r="L496" s="11"/>
      <c r="M496" s="11"/>
      <c r="N496" s="11"/>
      <c r="O496" s="11"/>
      <c r="P496" s="11"/>
      <c r="Q496" s="41"/>
      <c r="R496" s="11"/>
      <c r="S496" s="11"/>
      <c r="T496" s="11"/>
      <c r="U496" s="11"/>
      <c r="V496" s="11"/>
      <c r="W496" s="11"/>
      <c r="X496" s="11"/>
      <c r="Y496" s="4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40"/>
      <c r="CQ496" s="40"/>
      <c r="CR496" s="40"/>
      <c r="CS496" s="40"/>
      <c r="CT496" s="40"/>
      <c r="CU496" s="40"/>
      <c r="CV496" s="40"/>
      <c r="CW496" s="40"/>
      <c r="CX496" s="40"/>
      <c r="CY496" s="40"/>
      <c r="CZ496" s="40"/>
      <c r="DA496" s="11"/>
      <c r="DB496" s="11"/>
      <c r="DC496" s="11"/>
      <c r="DD496" s="11"/>
      <c r="DE496" s="11"/>
      <c r="DF496" s="11"/>
      <c r="DG496" s="11"/>
    </row>
    <row r="497" ht="15.75" customHeight="1">
      <c r="A497" s="41"/>
      <c r="B497" s="11"/>
      <c r="C497" s="11"/>
      <c r="D497" s="11"/>
      <c r="E497" s="11"/>
      <c r="F497" s="11"/>
      <c r="G497" s="11"/>
      <c r="H497" s="11"/>
      <c r="I497" s="41"/>
      <c r="J497" s="11"/>
      <c r="K497" s="11"/>
      <c r="L497" s="11"/>
      <c r="M497" s="11"/>
      <c r="N497" s="11"/>
      <c r="O497" s="11"/>
      <c r="P497" s="11"/>
      <c r="Q497" s="41"/>
      <c r="R497" s="11"/>
      <c r="S497" s="11"/>
      <c r="T497" s="11"/>
      <c r="U497" s="11"/>
      <c r="V497" s="11"/>
      <c r="W497" s="11"/>
      <c r="X497" s="11"/>
      <c r="Y497" s="4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40"/>
      <c r="CQ497" s="40"/>
      <c r="CR497" s="40"/>
      <c r="CS497" s="40"/>
      <c r="CT497" s="40"/>
      <c r="CU497" s="40"/>
      <c r="CV497" s="40"/>
      <c r="CW497" s="40"/>
      <c r="CX497" s="40"/>
      <c r="CY497" s="40"/>
      <c r="CZ497" s="40"/>
      <c r="DA497" s="11"/>
      <c r="DB497" s="11"/>
      <c r="DC497" s="11"/>
      <c r="DD497" s="11"/>
      <c r="DE497" s="11"/>
      <c r="DF497" s="11"/>
      <c r="DG497" s="11"/>
    </row>
    <row r="498" ht="15.75" customHeight="1">
      <c r="A498" s="41"/>
      <c r="B498" s="11"/>
      <c r="C498" s="11"/>
      <c r="D498" s="11"/>
      <c r="E498" s="11"/>
      <c r="F498" s="11"/>
      <c r="G498" s="11"/>
      <c r="H498" s="11"/>
      <c r="I498" s="41"/>
      <c r="J498" s="11"/>
      <c r="K498" s="11"/>
      <c r="L498" s="11"/>
      <c r="M498" s="11"/>
      <c r="N498" s="11"/>
      <c r="O498" s="11"/>
      <c r="P498" s="11"/>
      <c r="Q498" s="41"/>
      <c r="R498" s="11"/>
      <c r="S498" s="11"/>
      <c r="T498" s="11"/>
      <c r="U498" s="11"/>
      <c r="V498" s="11"/>
      <c r="W498" s="11"/>
      <c r="X498" s="11"/>
      <c r="Y498" s="4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40"/>
      <c r="CQ498" s="40"/>
      <c r="CR498" s="40"/>
      <c r="CS498" s="40"/>
      <c r="CT498" s="40"/>
      <c r="CU498" s="40"/>
      <c r="CV498" s="40"/>
      <c r="CW498" s="40"/>
      <c r="CX498" s="40"/>
      <c r="CY498" s="40"/>
      <c r="CZ498" s="40"/>
      <c r="DA498" s="11"/>
      <c r="DB498" s="11"/>
      <c r="DC498" s="11"/>
      <c r="DD498" s="11"/>
      <c r="DE498" s="11"/>
      <c r="DF498" s="11"/>
      <c r="DG498" s="11"/>
    </row>
    <row r="499" ht="15.75" customHeight="1">
      <c r="A499" s="41"/>
      <c r="B499" s="11"/>
      <c r="C499" s="11"/>
      <c r="D499" s="11"/>
      <c r="E499" s="11"/>
      <c r="F499" s="11"/>
      <c r="G499" s="11"/>
      <c r="H499" s="11"/>
      <c r="I499" s="41"/>
      <c r="J499" s="11"/>
      <c r="K499" s="11"/>
      <c r="L499" s="11"/>
      <c r="M499" s="11"/>
      <c r="N499" s="11"/>
      <c r="O499" s="11"/>
      <c r="P499" s="11"/>
      <c r="Q499" s="41"/>
      <c r="R499" s="11"/>
      <c r="S499" s="11"/>
      <c r="T499" s="11"/>
      <c r="U499" s="11"/>
      <c r="V499" s="11"/>
      <c r="W499" s="11"/>
      <c r="X499" s="11"/>
      <c r="Y499" s="4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40"/>
      <c r="CQ499" s="40"/>
      <c r="CR499" s="40"/>
      <c r="CS499" s="40"/>
      <c r="CT499" s="40"/>
      <c r="CU499" s="40"/>
      <c r="CV499" s="40"/>
      <c r="CW499" s="40"/>
      <c r="CX499" s="40"/>
      <c r="CY499" s="40"/>
      <c r="CZ499" s="40"/>
      <c r="DA499" s="11"/>
      <c r="DB499" s="11"/>
      <c r="DC499" s="11"/>
      <c r="DD499" s="11"/>
      <c r="DE499" s="11"/>
      <c r="DF499" s="11"/>
      <c r="DG499" s="11"/>
    </row>
    <row r="500" ht="15.75" customHeight="1">
      <c r="A500" s="41"/>
      <c r="B500" s="11"/>
      <c r="C500" s="11"/>
      <c r="D500" s="11"/>
      <c r="E500" s="11"/>
      <c r="F500" s="11"/>
      <c r="G500" s="11"/>
      <c r="H500" s="11"/>
      <c r="I500" s="41"/>
      <c r="J500" s="11"/>
      <c r="K500" s="11"/>
      <c r="L500" s="11"/>
      <c r="M500" s="11"/>
      <c r="N500" s="11"/>
      <c r="O500" s="11"/>
      <c r="P500" s="11"/>
      <c r="Q500" s="41"/>
      <c r="R500" s="11"/>
      <c r="S500" s="11"/>
      <c r="T500" s="11"/>
      <c r="U500" s="11"/>
      <c r="V500" s="11"/>
      <c r="W500" s="11"/>
      <c r="X500" s="11"/>
      <c r="Y500" s="4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40"/>
      <c r="CQ500" s="40"/>
      <c r="CR500" s="40"/>
      <c r="CS500" s="40"/>
      <c r="CT500" s="40"/>
      <c r="CU500" s="40"/>
      <c r="CV500" s="40"/>
      <c r="CW500" s="40"/>
      <c r="CX500" s="40"/>
      <c r="CY500" s="40"/>
      <c r="CZ500" s="40"/>
      <c r="DA500" s="11"/>
      <c r="DB500" s="11"/>
      <c r="DC500" s="11"/>
      <c r="DD500" s="11"/>
      <c r="DE500" s="11"/>
      <c r="DF500" s="11"/>
      <c r="DG500" s="11"/>
    </row>
    <row r="501" ht="15.75" customHeight="1">
      <c r="A501" s="41"/>
      <c r="B501" s="11"/>
      <c r="C501" s="11"/>
      <c r="D501" s="11"/>
      <c r="E501" s="11"/>
      <c r="F501" s="11"/>
      <c r="G501" s="11"/>
      <c r="H501" s="11"/>
      <c r="I501" s="41"/>
      <c r="J501" s="11"/>
      <c r="K501" s="11"/>
      <c r="L501" s="11"/>
      <c r="M501" s="11"/>
      <c r="N501" s="11"/>
      <c r="O501" s="11"/>
      <c r="P501" s="11"/>
      <c r="Q501" s="41"/>
      <c r="R501" s="11"/>
      <c r="S501" s="11"/>
      <c r="T501" s="11"/>
      <c r="U501" s="11"/>
      <c r="V501" s="11"/>
      <c r="W501" s="11"/>
      <c r="X501" s="11"/>
      <c r="Y501" s="4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1"/>
      <c r="CP501" s="40"/>
      <c r="CQ501" s="40"/>
      <c r="CR501" s="40"/>
      <c r="CS501" s="40"/>
      <c r="CT501" s="40"/>
      <c r="CU501" s="40"/>
      <c r="CV501" s="40"/>
      <c r="CW501" s="40"/>
      <c r="CX501" s="40"/>
      <c r="CY501" s="40"/>
      <c r="CZ501" s="40"/>
      <c r="DA501" s="11"/>
      <c r="DB501" s="11"/>
      <c r="DC501" s="11"/>
      <c r="DD501" s="11"/>
      <c r="DE501" s="11"/>
      <c r="DF501" s="11"/>
      <c r="DG501" s="11"/>
    </row>
    <row r="502" ht="15.75" customHeight="1">
      <c r="A502" s="41"/>
      <c r="B502" s="11"/>
      <c r="C502" s="11"/>
      <c r="D502" s="11"/>
      <c r="E502" s="11"/>
      <c r="F502" s="11"/>
      <c r="G502" s="11"/>
      <c r="H502" s="11"/>
      <c r="I502" s="41"/>
      <c r="J502" s="11"/>
      <c r="K502" s="11"/>
      <c r="L502" s="11"/>
      <c r="M502" s="11"/>
      <c r="N502" s="11"/>
      <c r="O502" s="11"/>
      <c r="P502" s="11"/>
      <c r="Q502" s="41"/>
      <c r="R502" s="11"/>
      <c r="S502" s="11"/>
      <c r="T502" s="11"/>
      <c r="U502" s="11"/>
      <c r="V502" s="11"/>
      <c r="W502" s="11"/>
      <c r="X502" s="11"/>
      <c r="Y502" s="4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  <c r="CM502" s="11"/>
      <c r="CN502" s="11"/>
      <c r="CO502" s="11"/>
      <c r="CP502" s="40"/>
      <c r="CQ502" s="40"/>
      <c r="CR502" s="40"/>
      <c r="CS502" s="40"/>
      <c r="CT502" s="40"/>
      <c r="CU502" s="40"/>
      <c r="CV502" s="40"/>
      <c r="CW502" s="40"/>
      <c r="CX502" s="40"/>
      <c r="CY502" s="40"/>
      <c r="CZ502" s="40"/>
      <c r="DA502" s="11"/>
      <c r="DB502" s="11"/>
      <c r="DC502" s="11"/>
      <c r="DD502" s="11"/>
      <c r="DE502" s="11"/>
      <c r="DF502" s="11"/>
      <c r="DG502" s="11"/>
    </row>
    <row r="503" ht="15.75" customHeight="1">
      <c r="A503" s="41"/>
      <c r="B503" s="11"/>
      <c r="C503" s="11"/>
      <c r="D503" s="11"/>
      <c r="E503" s="11"/>
      <c r="F503" s="11"/>
      <c r="G503" s="11"/>
      <c r="H503" s="11"/>
      <c r="I503" s="41"/>
      <c r="J503" s="11"/>
      <c r="K503" s="11"/>
      <c r="L503" s="11"/>
      <c r="M503" s="11"/>
      <c r="N503" s="11"/>
      <c r="O503" s="11"/>
      <c r="P503" s="11"/>
      <c r="Q503" s="41"/>
      <c r="R503" s="11"/>
      <c r="S503" s="11"/>
      <c r="T503" s="11"/>
      <c r="U503" s="11"/>
      <c r="V503" s="11"/>
      <c r="W503" s="11"/>
      <c r="X503" s="11"/>
      <c r="Y503" s="4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1"/>
      <c r="CP503" s="40"/>
      <c r="CQ503" s="40"/>
      <c r="CR503" s="40"/>
      <c r="CS503" s="40"/>
      <c r="CT503" s="40"/>
      <c r="CU503" s="40"/>
      <c r="CV503" s="40"/>
      <c r="CW503" s="40"/>
      <c r="CX503" s="40"/>
      <c r="CY503" s="40"/>
      <c r="CZ503" s="40"/>
      <c r="DA503" s="11"/>
      <c r="DB503" s="11"/>
      <c r="DC503" s="11"/>
      <c r="DD503" s="11"/>
      <c r="DE503" s="11"/>
      <c r="DF503" s="11"/>
      <c r="DG503" s="11"/>
    </row>
    <row r="504" ht="15.75" customHeight="1">
      <c r="A504" s="41"/>
      <c r="B504" s="11"/>
      <c r="C504" s="11"/>
      <c r="D504" s="11"/>
      <c r="E504" s="11"/>
      <c r="F504" s="11"/>
      <c r="G504" s="11"/>
      <c r="H504" s="11"/>
      <c r="I504" s="41"/>
      <c r="J504" s="11"/>
      <c r="K504" s="11"/>
      <c r="L504" s="11"/>
      <c r="M504" s="11"/>
      <c r="N504" s="11"/>
      <c r="O504" s="11"/>
      <c r="P504" s="11"/>
      <c r="Q504" s="41"/>
      <c r="R504" s="11"/>
      <c r="S504" s="11"/>
      <c r="T504" s="11"/>
      <c r="U504" s="11"/>
      <c r="V504" s="11"/>
      <c r="W504" s="11"/>
      <c r="X504" s="11"/>
      <c r="Y504" s="4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40"/>
      <c r="CQ504" s="40"/>
      <c r="CR504" s="40"/>
      <c r="CS504" s="40"/>
      <c r="CT504" s="40"/>
      <c r="CU504" s="40"/>
      <c r="CV504" s="40"/>
      <c r="CW504" s="40"/>
      <c r="CX504" s="40"/>
      <c r="CY504" s="40"/>
      <c r="CZ504" s="40"/>
      <c r="DA504" s="11"/>
      <c r="DB504" s="11"/>
      <c r="DC504" s="11"/>
      <c r="DD504" s="11"/>
      <c r="DE504" s="11"/>
      <c r="DF504" s="11"/>
      <c r="DG504" s="11"/>
    </row>
    <row r="505" ht="15.75" customHeight="1">
      <c r="A505" s="41"/>
      <c r="B505" s="11"/>
      <c r="C505" s="11"/>
      <c r="D505" s="11"/>
      <c r="E505" s="11"/>
      <c r="F505" s="11"/>
      <c r="G505" s="11"/>
      <c r="H505" s="11"/>
      <c r="I505" s="41"/>
      <c r="J505" s="11"/>
      <c r="K505" s="11"/>
      <c r="L505" s="11"/>
      <c r="M505" s="11"/>
      <c r="N505" s="11"/>
      <c r="O505" s="11"/>
      <c r="P505" s="11"/>
      <c r="Q505" s="41"/>
      <c r="R505" s="11"/>
      <c r="S505" s="11"/>
      <c r="T505" s="11"/>
      <c r="U505" s="11"/>
      <c r="V505" s="11"/>
      <c r="W505" s="11"/>
      <c r="X505" s="11"/>
      <c r="Y505" s="4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40"/>
      <c r="CQ505" s="40"/>
      <c r="CR505" s="40"/>
      <c r="CS505" s="40"/>
      <c r="CT505" s="40"/>
      <c r="CU505" s="40"/>
      <c r="CV505" s="40"/>
      <c r="CW505" s="40"/>
      <c r="CX505" s="40"/>
      <c r="CY505" s="40"/>
      <c r="CZ505" s="40"/>
      <c r="DA505" s="11"/>
      <c r="DB505" s="11"/>
      <c r="DC505" s="11"/>
      <c r="DD505" s="11"/>
      <c r="DE505" s="11"/>
      <c r="DF505" s="11"/>
      <c r="DG505" s="11"/>
    </row>
    <row r="506" ht="15.75" customHeight="1">
      <c r="A506" s="41"/>
      <c r="B506" s="11"/>
      <c r="C506" s="11"/>
      <c r="D506" s="11"/>
      <c r="E506" s="11"/>
      <c r="F506" s="11"/>
      <c r="G506" s="11"/>
      <c r="H506" s="11"/>
      <c r="I506" s="41"/>
      <c r="J506" s="11"/>
      <c r="K506" s="11"/>
      <c r="L506" s="11"/>
      <c r="M506" s="11"/>
      <c r="N506" s="11"/>
      <c r="O506" s="11"/>
      <c r="P506" s="11"/>
      <c r="Q506" s="41"/>
      <c r="R506" s="11"/>
      <c r="S506" s="11"/>
      <c r="T506" s="11"/>
      <c r="U506" s="11"/>
      <c r="V506" s="11"/>
      <c r="W506" s="11"/>
      <c r="X506" s="11"/>
      <c r="Y506" s="4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40"/>
      <c r="CQ506" s="40"/>
      <c r="CR506" s="40"/>
      <c r="CS506" s="40"/>
      <c r="CT506" s="40"/>
      <c r="CU506" s="40"/>
      <c r="CV506" s="40"/>
      <c r="CW506" s="40"/>
      <c r="CX506" s="40"/>
      <c r="CY506" s="40"/>
      <c r="CZ506" s="40"/>
      <c r="DA506" s="11"/>
      <c r="DB506" s="11"/>
      <c r="DC506" s="11"/>
      <c r="DD506" s="11"/>
      <c r="DE506" s="11"/>
      <c r="DF506" s="11"/>
      <c r="DG506" s="11"/>
    </row>
    <row r="507" ht="15.75" customHeight="1">
      <c r="A507" s="41"/>
      <c r="B507" s="11"/>
      <c r="C507" s="11"/>
      <c r="D507" s="11"/>
      <c r="E507" s="11"/>
      <c r="F507" s="11"/>
      <c r="G507" s="11"/>
      <c r="H507" s="11"/>
      <c r="I507" s="41"/>
      <c r="J507" s="11"/>
      <c r="K507" s="11"/>
      <c r="L507" s="11"/>
      <c r="M507" s="11"/>
      <c r="N507" s="11"/>
      <c r="O507" s="11"/>
      <c r="P507" s="11"/>
      <c r="Q507" s="41"/>
      <c r="R507" s="11"/>
      <c r="S507" s="11"/>
      <c r="T507" s="11"/>
      <c r="U507" s="11"/>
      <c r="V507" s="11"/>
      <c r="W507" s="11"/>
      <c r="X507" s="11"/>
      <c r="Y507" s="4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CH507" s="11"/>
      <c r="CI507" s="11"/>
      <c r="CJ507" s="11"/>
      <c r="CK507" s="11"/>
      <c r="CL507" s="11"/>
      <c r="CM507" s="11"/>
      <c r="CN507" s="11"/>
      <c r="CO507" s="11"/>
      <c r="CP507" s="40"/>
      <c r="CQ507" s="40"/>
      <c r="CR507" s="40"/>
      <c r="CS507" s="40"/>
      <c r="CT507" s="40"/>
      <c r="CU507" s="40"/>
      <c r="CV507" s="40"/>
      <c r="CW507" s="40"/>
      <c r="CX507" s="40"/>
      <c r="CY507" s="40"/>
      <c r="CZ507" s="40"/>
      <c r="DA507" s="11"/>
      <c r="DB507" s="11"/>
      <c r="DC507" s="11"/>
      <c r="DD507" s="11"/>
      <c r="DE507" s="11"/>
      <c r="DF507" s="11"/>
      <c r="DG507" s="11"/>
    </row>
    <row r="508" ht="15.75" customHeight="1">
      <c r="A508" s="41"/>
      <c r="B508" s="11"/>
      <c r="C508" s="11"/>
      <c r="D508" s="11"/>
      <c r="E508" s="11"/>
      <c r="F508" s="11"/>
      <c r="G508" s="11"/>
      <c r="H508" s="11"/>
      <c r="I508" s="41"/>
      <c r="J508" s="11"/>
      <c r="K508" s="11"/>
      <c r="L508" s="11"/>
      <c r="M508" s="11"/>
      <c r="N508" s="11"/>
      <c r="O508" s="11"/>
      <c r="P508" s="11"/>
      <c r="Q508" s="41"/>
      <c r="R508" s="11"/>
      <c r="S508" s="11"/>
      <c r="T508" s="11"/>
      <c r="U508" s="11"/>
      <c r="V508" s="11"/>
      <c r="W508" s="11"/>
      <c r="X508" s="11"/>
      <c r="Y508" s="4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  <c r="CD508" s="11"/>
      <c r="CE508" s="11"/>
      <c r="CF508" s="11"/>
      <c r="CG508" s="11"/>
      <c r="CH508" s="11"/>
      <c r="CI508" s="11"/>
      <c r="CJ508" s="11"/>
      <c r="CK508" s="11"/>
      <c r="CL508" s="11"/>
      <c r="CM508" s="11"/>
      <c r="CN508" s="11"/>
      <c r="CO508" s="11"/>
      <c r="CP508" s="40"/>
      <c r="CQ508" s="40"/>
      <c r="CR508" s="40"/>
      <c r="CS508" s="40"/>
      <c r="CT508" s="40"/>
      <c r="CU508" s="40"/>
      <c r="CV508" s="40"/>
      <c r="CW508" s="40"/>
      <c r="CX508" s="40"/>
      <c r="CY508" s="40"/>
      <c r="CZ508" s="40"/>
      <c r="DA508" s="11"/>
      <c r="DB508" s="11"/>
      <c r="DC508" s="11"/>
      <c r="DD508" s="11"/>
      <c r="DE508" s="11"/>
      <c r="DF508" s="11"/>
      <c r="DG508" s="11"/>
    </row>
    <row r="509" ht="15.75" customHeight="1">
      <c r="A509" s="41"/>
      <c r="B509" s="11"/>
      <c r="C509" s="11"/>
      <c r="D509" s="11"/>
      <c r="E509" s="11"/>
      <c r="F509" s="11"/>
      <c r="G509" s="11"/>
      <c r="H509" s="11"/>
      <c r="I509" s="41"/>
      <c r="J509" s="11"/>
      <c r="K509" s="11"/>
      <c r="L509" s="11"/>
      <c r="M509" s="11"/>
      <c r="N509" s="11"/>
      <c r="O509" s="11"/>
      <c r="P509" s="11"/>
      <c r="Q509" s="41"/>
      <c r="R509" s="11"/>
      <c r="S509" s="11"/>
      <c r="T509" s="11"/>
      <c r="U509" s="11"/>
      <c r="V509" s="11"/>
      <c r="W509" s="11"/>
      <c r="X509" s="11"/>
      <c r="Y509" s="4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  <c r="CD509" s="11"/>
      <c r="CE509" s="11"/>
      <c r="CF509" s="11"/>
      <c r="CG509" s="11"/>
      <c r="CH509" s="11"/>
      <c r="CI509" s="11"/>
      <c r="CJ509" s="11"/>
      <c r="CK509" s="11"/>
      <c r="CL509" s="11"/>
      <c r="CM509" s="11"/>
      <c r="CN509" s="11"/>
      <c r="CO509" s="11"/>
      <c r="CP509" s="40"/>
      <c r="CQ509" s="40"/>
      <c r="CR509" s="40"/>
      <c r="CS509" s="40"/>
      <c r="CT509" s="40"/>
      <c r="CU509" s="40"/>
      <c r="CV509" s="40"/>
      <c r="CW509" s="40"/>
      <c r="CX509" s="40"/>
      <c r="CY509" s="40"/>
      <c r="CZ509" s="40"/>
      <c r="DA509" s="11"/>
      <c r="DB509" s="11"/>
      <c r="DC509" s="11"/>
      <c r="DD509" s="11"/>
      <c r="DE509" s="11"/>
      <c r="DF509" s="11"/>
      <c r="DG509" s="11"/>
    </row>
    <row r="510" ht="15.75" customHeight="1">
      <c r="A510" s="41"/>
      <c r="B510" s="11"/>
      <c r="C510" s="11"/>
      <c r="D510" s="11"/>
      <c r="E510" s="11"/>
      <c r="F510" s="11"/>
      <c r="G510" s="11"/>
      <c r="H510" s="11"/>
      <c r="I510" s="41"/>
      <c r="J510" s="11"/>
      <c r="K510" s="11"/>
      <c r="L510" s="11"/>
      <c r="M510" s="11"/>
      <c r="N510" s="11"/>
      <c r="O510" s="11"/>
      <c r="P510" s="11"/>
      <c r="Q510" s="41"/>
      <c r="R510" s="11"/>
      <c r="S510" s="11"/>
      <c r="T510" s="11"/>
      <c r="U510" s="11"/>
      <c r="V510" s="11"/>
      <c r="W510" s="11"/>
      <c r="X510" s="11"/>
      <c r="Y510" s="4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40"/>
      <c r="CQ510" s="40"/>
      <c r="CR510" s="40"/>
      <c r="CS510" s="40"/>
      <c r="CT510" s="40"/>
      <c r="CU510" s="40"/>
      <c r="CV510" s="40"/>
      <c r="CW510" s="40"/>
      <c r="CX510" s="40"/>
      <c r="CY510" s="40"/>
      <c r="CZ510" s="40"/>
      <c r="DA510" s="11"/>
      <c r="DB510" s="11"/>
      <c r="DC510" s="11"/>
      <c r="DD510" s="11"/>
      <c r="DE510" s="11"/>
      <c r="DF510" s="11"/>
      <c r="DG510" s="11"/>
    </row>
    <row r="511" ht="15.75" customHeight="1">
      <c r="A511" s="41"/>
      <c r="B511" s="11"/>
      <c r="C511" s="11"/>
      <c r="D511" s="11"/>
      <c r="E511" s="11"/>
      <c r="F511" s="11"/>
      <c r="G511" s="11"/>
      <c r="H511" s="11"/>
      <c r="I511" s="41"/>
      <c r="J511" s="11"/>
      <c r="K511" s="11"/>
      <c r="L511" s="11"/>
      <c r="M511" s="11"/>
      <c r="N511" s="11"/>
      <c r="O511" s="11"/>
      <c r="P511" s="11"/>
      <c r="Q511" s="41"/>
      <c r="R511" s="11"/>
      <c r="S511" s="11"/>
      <c r="T511" s="11"/>
      <c r="U511" s="11"/>
      <c r="V511" s="11"/>
      <c r="W511" s="11"/>
      <c r="X511" s="11"/>
      <c r="Y511" s="4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  <c r="CD511" s="11"/>
      <c r="CE511" s="11"/>
      <c r="CF511" s="11"/>
      <c r="CG511" s="11"/>
      <c r="CH511" s="11"/>
      <c r="CI511" s="11"/>
      <c r="CJ511" s="11"/>
      <c r="CK511" s="11"/>
      <c r="CL511" s="11"/>
      <c r="CM511" s="11"/>
      <c r="CN511" s="11"/>
      <c r="CO511" s="11"/>
      <c r="CP511" s="40"/>
      <c r="CQ511" s="40"/>
      <c r="CR511" s="40"/>
      <c r="CS511" s="40"/>
      <c r="CT511" s="40"/>
      <c r="CU511" s="40"/>
      <c r="CV511" s="40"/>
      <c r="CW511" s="40"/>
      <c r="CX511" s="40"/>
      <c r="CY511" s="40"/>
      <c r="CZ511" s="40"/>
      <c r="DA511" s="11"/>
      <c r="DB511" s="11"/>
      <c r="DC511" s="11"/>
      <c r="DD511" s="11"/>
      <c r="DE511" s="11"/>
      <c r="DF511" s="11"/>
      <c r="DG511" s="11"/>
    </row>
    <row r="512" ht="15.75" customHeight="1">
      <c r="A512" s="41"/>
      <c r="B512" s="11"/>
      <c r="C512" s="11"/>
      <c r="D512" s="11"/>
      <c r="E512" s="11"/>
      <c r="F512" s="11"/>
      <c r="G512" s="11"/>
      <c r="H512" s="11"/>
      <c r="I512" s="41"/>
      <c r="J512" s="11"/>
      <c r="K512" s="11"/>
      <c r="L512" s="11"/>
      <c r="M512" s="11"/>
      <c r="N512" s="11"/>
      <c r="O512" s="11"/>
      <c r="P512" s="11"/>
      <c r="Q512" s="41"/>
      <c r="R512" s="11"/>
      <c r="S512" s="11"/>
      <c r="T512" s="11"/>
      <c r="U512" s="11"/>
      <c r="V512" s="11"/>
      <c r="W512" s="11"/>
      <c r="X512" s="11"/>
      <c r="Y512" s="4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CH512" s="11"/>
      <c r="CI512" s="11"/>
      <c r="CJ512" s="11"/>
      <c r="CK512" s="11"/>
      <c r="CL512" s="11"/>
      <c r="CM512" s="11"/>
      <c r="CN512" s="11"/>
      <c r="CO512" s="11"/>
      <c r="CP512" s="40"/>
      <c r="CQ512" s="40"/>
      <c r="CR512" s="40"/>
      <c r="CS512" s="40"/>
      <c r="CT512" s="40"/>
      <c r="CU512" s="40"/>
      <c r="CV512" s="40"/>
      <c r="CW512" s="40"/>
      <c r="CX512" s="40"/>
      <c r="CY512" s="40"/>
      <c r="CZ512" s="40"/>
      <c r="DA512" s="11"/>
      <c r="DB512" s="11"/>
      <c r="DC512" s="11"/>
      <c r="DD512" s="11"/>
      <c r="DE512" s="11"/>
      <c r="DF512" s="11"/>
      <c r="DG512" s="11"/>
    </row>
    <row r="513" ht="15.75" customHeight="1">
      <c r="A513" s="41"/>
      <c r="B513" s="11"/>
      <c r="C513" s="11"/>
      <c r="D513" s="11"/>
      <c r="E513" s="11"/>
      <c r="F513" s="11"/>
      <c r="G513" s="11"/>
      <c r="H513" s="11"/>
      <c r="I513" s="41"/>
      <c r="J513" s="11"/>
      <c r="K513" s="11"/>
      <c r="L513" s="11"/>
      <c r="M513" s="11"/>
      <c r="N513" s="11"/>
      <c r="O513" s="11"/>
      <c r="P513" s="11"/>
      <c r="Q513" s="41"/>
      <c r="R513" s="11"/>
      <c r="S513" s="11"/>
      <c r="T513" s="11"/>
      <c r="U513" s="11"/>
      <c r="V513" s="11"/>
      <c r="W513" s="11"/>
      <c r="X513" s="11"/>
      <c r="Y513" s="4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/>
      <c r="CG513" s="11"/>
      <c r="CH513" s="11"/>
      <c r="CI513" s="11"/>
      <c r="CJ513" s="11"/>
      <c r="CK513" s="11"/>
      <c r="CL513" s="11"/>
      <c r="CM513" s="11"/>
      <c r="CN513" s="11"/>
      <c r="CO513" s="11"/>
      <c r="CP513" s="40"/>
      <c r="CQ513" s="40"/>
      <c r="CR513" s="40"/>
      <c r="CS513" s="40"/>
      <c r="CT513" s="40"/>
      <c r="CU513" s="40"/>
      <c r="CV513" s="40"/>
      <c r="CW513" s="40"/>
      <c r="CX513" s="40"/>
      <c r="CY513" s="40"/>
      <c r="CZ513" s="40"/>
      <c r="DA513" s="11"/>
      <c r="DB513" s="11"/>
      <c r="DC513" s="11"/>
      <c r="DD513" s="11"/>
      <c r="DE513" s="11"/>
      <c r="DF513" s="11"/>
      <c r="DG513" s="11"/>
    </row>
    <row r="514" ht="15.75" customHeight="1">
      <c r="A514" s="41"/>
      <c r="B514" s="11"/>
      <c r="C514" s="11"/>
      <c r="D514" s="11"/>
      <c r="E514" s="11"/>
      <c r="F514" s="11"/>
      <c r="G514" s="11"/>
      <c r="H514" s="11"/>
      <c r="I514" s="41"/>
      <c r="J514" s="11"/>
      <c r="K514" s="11"/>
      <c r="L514" s="11"/>
      <c r="M514" s="11"/>
      <c r="N514" s="11"/>
      <c r="O514" s="11"/>
      <c r="P514" s="11"/>
      <c r="Q514" s="41"/>
      <c r="R514" s="11"/>
      <c r="S514" s="11"/>
      <c r="T514" s="11"/>
      <c r="U514" s="11"/>
      <c r="V514" s="11"/>
      <c r="W514" s="11"/>
      <c r="X514" s="11"/>
      <c r="Y514" s="4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CH514" s="11"/>
      <c r="CI514" s="11"/>
      <c r="CJ514" s="11"/>
      <c r="CK514" s="11"/>
      <c r="CL514" s="11"/>
      <c r="CM514" s="11"/>
      <c r="CN514" s="11"/>
      <c r="CO514" s="11"/>
      <c r="CP514" s="40"/>
      <c r="CQ514" s="40"/>
      <c r="CR514" s="40"/>
      <c r="CS514" s="40"/>
      <c r="CT514" s="40"/>
      <c r="CU514" s="40"/>
      <c r="CV514" s="40"/>
      <c r="CW514" s="40"/>
      <c r="CX514" s="40"/>
      <c r="CY514" s="40"/>
      <c r="CZ514" s="40"/>
      <c r="DA514" s="11"/>
      <c r="DB514" s="11"/>
      <c r="DC514" s="11"/>
      <c r="DD514" s="11"/>
      <c r="DE514" s="11"/>
      <c r="DF514" s="11"/>
      <c r="DG514" s="11"/>
    </row>
    <row r="515" ht="15.75" customHeight="1">
      <c r="A515" s="41"/>
      <c r="B515" s="11"/>
      <c r="C515" s="11"/>
      <c r="D515" s="11"/>
      <c r="E515" s="11"/>
      <c r="F515" s="11"/>
      <c r="G515" s="11"/>
      <c r="H515" s="11"/>
      <c r="I515" s="41"/>
      <c r="J515" s="11"/>
      <c r="K515" s="11"/>
      <c r="L515" s="11"/>
      <c r="M515" s="11"/>
      <c r="N515" s="11"/>
      <c r="O515" s="11"/>
      <c r="P515" s="11"/>
      <c r="Q515" s="41"/>
      <c r="R515" s="11"/>
      <c r="S515" s="11"/>
      <c r="T515" s="11"/>
      <c r="U515" s="11"/>
      <c r="V515" s="11"/>
      <c r="W515" s="11"/>
      <c r="X515" s="11"/>
      <c r="Y515" s="4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  <c r="CD515" s="11"/>
      <c r="CE515" s="11"/>
      <c r="CF515" s="11"/>
      <c r="CG515" s="11"/>
      <c r="CH515" s="11"/>
      <c r="CI515" s="11"/>
      <c r="CJ515" s="11"/>
      <c r="CK515" s="11"/>
      <c r="CL515" s="11"/>
      <c r="CM515" s="11"/>
      <c r="CN515" s="11"/>
      <c r="CO515" s="11"/>
      <c r="CP515" s="40"/>
      <c r="CQ515" s="40"/>
      <c r="CR515" s="40"/>
      <c r="CS515" s="40"/>
      <c r="CT515" s="40"/>
      <c r="CU515" s="40"/>
      <c r="CV515" s="40"/>
      <c r="CW515" s="40"/>
      <c r="CX515" s="40"/>
      <c r="CY515" s="40"/>
      <c r="CZ515" s="40"/>
      <c r="DA515" s="11"/>
      <c r="DB515" s="11"/>
      <c r="DC515" s="11"/>
      <c r="DD515" s="11"/>
      <c r="DE515" s="11"/>
      <c r="DF515" s="11"/>
      <c r="DG515" s="11"/>
    </row>
    <row r="516" ht="15.75" customHeight="1">
      <c r="A516" s="41"/>
      <c r="B516" s="11"/>
      <c r="C516" s="11"/>
      <c r="D516" s="11"/>
      <c r="E516" s="11"/>
      <c r="F516" s="11"/>
      <c r="G516" s="11"/>
      <c r="H516" s="11"/>
      <c r="I516" s="41"/>
      <c r="J516" s="11"/>
      <c r="K516" s="11"/>
      <c r="L516" s="11"/>
      <c r="M516" s="11"/>
      <c r="N516" s="11"/>
      <c r="O516" s="11"/>
      <c r="P516" s="11"/>
      <c r="Q516" s="41"/>
      <c r="R516" s="11"/>
      <c r="S516" s="11"/>
      <c r="T516" s="11"/>
      <c r="U516" s="11"/>
      <c r="V516" s="11"/>
      <c r="W516" s="11"/>
      <c r="X516" s="11"/>
      <c r="Y516" s="4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  <c r="CD516" s="11"/>
      <c r="CE516" s="11"/>
      <c r="CF516" s="11"/>
      <c r="CG516" s="11"/>
      <c r="CH516" s="11"/>
      <c r="CI516" s="11"/>
      <c r="CJ516" s="11"/>
      <c r="CK516" s="11"/>
      <c r="CL516" s="11"/>
      <c r="CM516" s="11"/>
      <c r="CN516" s="11"/>
      <c r="CO516" s="11"/>
      <c r="CP516" s="40"/>
      <c r="CQ516" s="40"/>
      <c r="CR516" s="40"/>
      <c r="CS516" s="40"/>
      <c r="CT516" s="40"/>
      <c r="CU516" s="40"/>
      <c r="CV516" s="40"/>
      <c r="CW516" s="40"/>
      <c r="CX516" s="40"/>
      <c r="CY516" s="40"/>
      <c r="CZ516" s="40"/>
      <c r="DA516" s="11"/>
      <c r="DB516" s="11"/>
      <c r="DC516" s="11"/>
      <c r="DD516" s="11"/>
      <c r="DE516" s="11"/>
      <c r="DF516" s="11"/>
      <c r="DG516" s="11"/>
    </row>
    <row r="517" ht="15.75" customHeight="1">
      <c r="A517" s="41"/>
      <c r="B517" s="11"/>
      <c r="C517" s="11"/>
      <c r="D517" s="11"/>
      <c r="E517" s="11"/>
      <c r="F517" s="11"/>
      <c r="G517" s="11"/>
      <c r="H517" s="11"/>
      <c r="I517" s="41"/>
      <c r="J517" s="11"/>
      <c r="K517" s="11"/>
      <c r="L517" s="11"/>
      <c r="M517" s="11"/>
      <c r="N517" s="11"/>
      <c r="O517" s="11"/>
      <c r="P517" s="11"/>
      <c r="Q517" s="41"/>
      <c r="R517" s="11"/>
      <c r="S517" s="11"/>
      <c r="T517" s="11"/>
      <c r="U517" s="11"/>
      <c r="V517" s="11"/>
      <c r="W517" s="11"/>
      <c r="X517" s="11"/>
      <c r="Y517" s="4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  <c r="CD517" s="11"/>
      <c r="CE517" s="11"/>
      <c r="CF517" s="11"/>
      <c r="CG517" s="11"/>
      <c r="CH517" s="11"/>
      <c r="CI517" s="11"/>
      <c r="CJ517" s="11"/>
      <c r="CK517" s="11"/>
      <c r="CL517" s="11"/>
      <c r="CM517" s="11"/>
      <c r="CN517" s="11"/>
      <c r="CO517" s="11"/>
      <c r="CP517" s="40"/>
      <c r="CQ517" s="40"/>
      <c r="CR517" s="40"/>
      <c r="CS517" s="40"/>
      <c r="CT517" s="40"/>
      <c r="CU517" s="40"/>
      <c r="CV517" s="40"/>
      <c r="CW517" s="40"/>
      <c r="CX517" s="40"/>
      <c r="CY517" s="40"/>
      <c r="CZ517" s="40"/>
      <c r="DA517" s="11"/>
      <c r="DB517" s="11"/>
      <c r="DC517" s="11"/>
      <c r="DD517" s="11"/>
      <c r="DE517" s="11"/>
      <c r="DF517" s="11"/>
      <c r="DG517" s="11"/>
    </row>
    <row r="518" ht="15.75" customHeight="1">
      <c r="A518" s="41"/>
      <c r="B518" s="11"/>
      <c r="C518" s="11"/>
      <c r="D518" s="11"/>
      <c r="E518" s="11"/>
      <c r="F518" s="11"/>
      <c r="G518" s="11"/>
      <c r="H518" s="11"/>
      <c r="I518" s="41"/>
      <c r="J518" s="11"/>
      <c r="K518" s="11"/>
      <c r="L518" s="11"/>
      <c r="M518" s="11"/>
      <c r="N518" s="11"/>
      <c r="O518" s="11"/>
      <c r="P518" s="11"/>
      <c r="Q518" s="41"/>
      <c r="R518" s="11"/>
      <c r="S518" s="11"/>
      <c r="T518" s="11"/>
      <c r="U518" s="11"/>
      <c r="V518" s="11"/>
      <c r="W518" s="11"/>
      <c r="X518" s="11"/>
      <c r="Y518" s="4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  <c r="CD518" s="11"/>
      <c r="CE518" s="11"/>
      <c r="CF518" s="11"/>
      <c r="CG518" s="11"/>
      <c r="CH518" s="11"/>
      <c r="CI518" s="11"/>
      <c r="CJ518" s="11"/>
      <c r="CK518" s="11"/>
      <c r="CL518" s="11"/>
      <c r="CM518" s="11"/>
      <c r="CN518" s="11"/>
      <c r="CO518" s="11"/>
      <c r="CP518" s="40"/>
      <c r="CQ518" s="40"/>
      <c r="CR518" s="40"/>
      <c r="CS518" s="40"/>
      <c r="CT518" s="40"/>
      <c r="CU518" s="40"/>
      <c r="CV518" s="40"/>
      <c r="CW518" s="40"/>
      <c r="CX518" s="40"/>
      <c r="CY518" s="40"/>
      <c r="CZ518" s="40"/>
      <c r="DA518" s="11"/>
      <c r="DB518" s="11"/>
      <c r="DC518" s="11"/>
      <c r="DD518" s="11"/>
      <c r="DE518" s="11"/>
      <c r="DF518" s="11"/>
      <c r="DG518" s="11"/>
    </row>
    <row r="519" ht="15.75" customHeight="1">
      <c r="A519" s="41"/>
      <c r="B519" s="11"/>
      <c r="C519" s="11"/>
      <c r="D519" s="11"/>
      <c r="E519" s="11"/>
      <c r="F519" s="11"/>
      <c r="G519" s="11"/>
      <c r="H519" s="11"/>
      <c r="I519" s="41"/>
      <c r="J519" s="11"/>
      <c r="K519" s="11"/>
      <c r="L519" s="11"/>
      <c r="M519" s="11"/>
      <c r="N519" s="11"/>
      <c r="O519" s="11"/>
      <c r="P519" s="11"/>
      <c r="Q519" s="41"/>
      <c r="R519" s="11"/>
      <c r="S519" s="11"/>
      <c r="T519" s="11"/>
      <c r="U519" s="11"/>
      <c r="V519" s="11"/>
      <c r="W519" s="11"/>
      <c r="X519" s="11"/>
      <c r="Y519" s="4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40"/>
      <c r="CQ519" s="40"/>
      <c r="CR519" s="40"/>
      <c r="CS519" s="40"/>
      <c r="CT519" s="40"/>
      <c r="CU519" s="40"/>
      <c r="CV519" s="40"/>
      <c r="CW519" s="40"/>
      <c r="CX519" s="40"/>
      <c r="CY519" s="40"/>
      <c r="CZ519" s="40"/>
      <c r="DA519" s="11"/>
      <c r="DB519" s="11"/>
      <c r="DC519" s="11"/>
      <c r="DD519" s="11"/>
      <c r="DE519" s="11"/>
      <c r="DF519" s="11"/>
      <c r="DG519" s="11"/>
    </row>
    <row r="520" ht="15.75" customHeight="1">
      <c r="A520" s="41"/>
      <c r="B520" s="11"/>
      <c r="C520" s="11"/>
      <c r="D520" s="11"/>
      <c r="E520" s="11"/>
      <c r="F520" s="11"/>
      <c r="G520" s="11"/>
      <c r="H520" s="11"/>
      <c r="I520" s="41"/>
      <c r="J520" s="11"/>
      <c r="K520" s="11"/>
      <c r="L520" s="11"/>
      <c r="M520" s="11"/>
      <c r="N520" s="11"/>
      <c r="O520" s="11"/>
      <c r="P520" s="11"/>
      <c r="Q520" s="41"/>
      <c r="R520" s="11"/>
      <c r="S520" s="11"/>
      <c r="T520" s="11"/>
      <c r="U520" s="11"/>
      <c r="V520" s="11"/>
      <c r="W520" s="11"/>
      <c r="X520" s="11"/>
      <c r="Y520" s="4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  <c r="CD520" s="11"/>
      <c r="CE520" s="11"/>
      <c r="CF520" s="11"/>
      <c r="CG520" s="11"/>
      <c r="CH520" s="11"/>
      <c r="CI520" s="11"/>
      <c r="CJ520" s="11"/>
      <c r="CK520" s="11"/>
      <c r="CL520" s="11"/>
      <c r="CM520" s="11"/>
      <c r="CN520" s="11"/>
      <c r="CO520" s="11"/>
      <c r="CP520" s="40"/>
      <c r="CQ520" s="40"/>
      <c r="CR520" s="40"/>
      <c r="CS520" s="40"/>
      <c r="CT520" s="40"/>
      <c r="CU520" s="40"/>
      <c r="CV520" s="40"/>
      <c r="CW520" s="40"/>
      <c r="CX520" s="40"/>
      <c r="CY520" s="40"/>
      <c r="CZ520" s="40"/>
      <c r="DA520" s="11"/>
      <c r="DB520" s="11"/>
      <c r="DC520" s="11"/>
      <c r="DD520" s="11"/>
      <c r="DE520" s="11"/>
      <c r="DF520" s="11"/>
      <c r="DG520" s="11"/>
    </row>
    <row r="521" ht="15.75" customHeight="1">
      <c r="A521" s="41"/>
      <c r="B521" s="11"/>
      <c r="C521" s="11"/>
      <c r="D521" s="11"/>
      <c r="E521" s="11"/>
      <c r="F521" s="11"/>
      <c r="G521" s="11"/>
      <c r="H521" s="11"/>
      <c r="I521" s="41"/>
      <c r="J521" s="11"/>
      <c r="K521" s="11"/>
      <c r="L521" s="11"/>
      <c r="M521" s="11"/>
      <c r="N521" s="11"/>
      <c r="O521" s="11"/>
      <c r="P521" s="11"/>
      <c r="Q521" s="41"/>
      <c r="R521" s="11"/>
      <c r="S521" s="11"/>
      <c r="T521" s="11"/>
      <c r="U521" s="11"/>
      <c r="V521" s="11"/>
      <c r="W521" s="11"/>
      <c r="X521" s="11"/>
      <c r="Y521" s="4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  <c r="CD521" s="11"/>
      <c r="CE521" s="11"/>
      <c r="CF521" s="11"/>
      <c r="CG521" s="11"/>
      <c r="CH521" s="11"/>
      <c r="CI521" s="11"/>
      <c r="CJ521" s="11"/>
      <c r="CK521" s="11"/>
      <c r="CL521" s="11"/>
      <c r="CM521" s="11"/>
      <c r="CN521" s="11"/>
      <c r="CO521" s="11"/>
      <c r="CP521" s="40"/>
      <c r="CQ521" s="40"/>
      <c r="CR521" s="40"/>
      <c r="CS521" s="40"/>
      <c r="CT521" s="40"/>
      <c r="CU521" s="40"/>
      <c r="CV521" s="40"/>
      <c r="CW521" s="40"/>
      <c r="CX521" s="40"/>
      <c r="CY521" s="40"/>
      <c r="CZ521" s="40"/>
      <c r="DA521" s="11"/>
      <c r="DB521" s="11"/>
      <c r="DC521" s="11"/>
      <c r="DD521" s="11"/>
      <c r="DE521" s="11"/>
      <c r="DF521" s="11"/>
      <c r="DG521" s="11"/>
    </row>
    <row r="522" ht="15.75" customHeight="1">
      <c r="A522" s="41"/>
      <c r="B522" s="11"/>
      <c r="C522" s="11"/>
      <c r="D522" s="11"/>
      <c r="E522" s="11"/>
      <c r="F522" s="11"/>
      <c r="G522" s="11"/>
      <c r="H522" s="11"/>
      <c r="I522" s="41"/>
      <c r="J522" s="11"/>
      <c r="K522" s="11"/>
      <c r="L522" s="11"/>
      <c r="M522" s="11"/>
      <c r="N522" s="11"/>
      <c r="O522" s="11"/>
      <c r="P522" s="11"/>
      <c r="Q522" s="41"/>
      <c r="R522" s="11"/>
      <c r="S522" s="11"/>
      <c r="T522" s="11"/>
      <c r="U522" s="11"/>
      <c r="V522" s="11"/>
      <c r="W522" s="11"/>
      <c r="X522" s="11"/>
      <c r="Y522" s="4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  <c r="CD522" s="11"/>
      <c r="CE522" s="11"/>
      <c r="CF522" s="11"/>
      <c r="CG522" s="11"/>
      <c r="CH522" s="11"/>
      <c r="CI522" s="11"/>
      <c r="CJ522" s="11"/>
      <c r="CK522" s="11"/>
      <c r="CL522" s="11"/>
      <c r="CM522" s="11"/>
      <c r="CN522" s="11"/>
      <c r="CO522" s="11"/>
      <c r="CP522" s="40"/>
      <c r="CQ522" s="40"/>
      <c r="CR522" s="40"/>
      <c r="CS522" s="40"/>
      <c r="CT522" s="40"/>
      <c r="CU522" s="40"/>
      <c r="CV522" s="40"/>
      <c r="CW522" s="40"/>
      <c r="CX522" s="40"/>
      <c r="CY522" s="40"/>
      <c r="CZ522" s="40"/>
      <c r="DA522" s="11"/>
      <c r="DB522" s="11"/>
      <c r="DC522" s="11"/>
      <c r="DD522" s="11"/>
      <c r="DE522" s="11"/>
      <c r="DF522" s="11"/>
      <c r="DG522" s="11"/>
    </row>
    <row r="523" ht="15.75" customHeight="1">
      <c r="A523" s="41"/>
      <c r="B523" s="11"/>
      <c r="C523" s="11"/>
      <c r="D523" s="11"/>
      <c r="E523" s="11"/>
      <c r="F523" s="11"/>
      <c r="G523" s="11"/>
      <c r="H523" s="11"/>
      <c r="I523" s="41"/>
      <c r="J523" s="11"/>
      <c r="K523" s="11"/>
      <c r="L523" s="11"/>
      <c r="M523" s="11"/>
      <c r="N523" s="11"/>
      <c r="O523" s="11"/>
      <c r="P523" s="11"/>
      <c r="Q523" s="41"/>
      <c r="R523" s="11"/>
      <c r="S523" s="11"/>
      <c r="T523" s="11"/>
      <c r="U523" s="11"/>
      <c r="V523" s="11"/>
      <c r="W523" s="11"/>
      <c r="X523" s="11"/>
      <c r="Y523" s="4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/>
      <c r="CG523" s="11"/>
      <c r="CH523" s="11"/>
      <c r="CI523" s="11"/>
      <c r="CJ523" s="11"/>
      <c r="CK523" s="11"/>
      <c r="CL523" s="11"/>
      <c r="CM523" s="11"/>
      <c r="CN523" s="11"/>
      <c r="CO523" s="11"/>
      <c r="CP523" s="40"/>
      <c r="CQ523" s="40"/>
      <c r="CR523" s="40"/>
      <c r="CS523" s="40"/>
      <c r="CT523" s="40"/>
      <c r="CU523" s="40"/>
      <c r="CV523" s="40"/>
      <c r="CW523" s="40"/>
      <c r="CX523" s="40"/>
      <c r="CY523" s="40"/>
      <c r="CZ523" s="40"/>
      <c r="DA523" s="11"/>
      <c r="DB523" s="11"/>
      <c r="DC523" s="11"/>
      <c r="DD523" s="11"/>
      <c r="DE523" s="11"/>
      <c r="DF523" s="11"/>
      <c r="DG523" s="11"/>
    </row>
    <row r="524" ht="15.75" customHeight="1">
      <c r="A524" s="41"/>
      <c r="B524" s="11"/>
      <c r="C524" s="11"/>
      <c r="D524" s="11"/>
      <c r="E524" s="11"/>
      <c r="F524" s="11"/>
      <c r="G524" s="11"/>
      <c r="H524" s="11"/>
      <c r="I524" s="41"/>
      <c r="J524" s="11"/>
      <c r="K524" s="11"/>
      <c r="L524" s="11"/>
      <c r="M524" s="11"/>
      <c r="N524" s="11"/>
      <c r="O524" s="11"/>
      <c r="P524" s="11"/>
      <c r="Q524" s="41"/>
      <c r="R524" s="11"/>
      <c r="S524" s="11"/>
      <c r="T524" s="11"/>
      <c r="U524" s="11"/>
      <c r="V524" s="11"/>
      <c r="W524" s="11"/>
      <c r="X524" s="11"/>
      <c r="Y524" s="4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  <c r="CD524" s="11"/>
      <c r="CE524" s="11"/>
      <c r="CF524" s="11"/>
      <c r="CG524" s="11"/>
      <c r="CH524" s="11"/>
      <c r="CI524" s="11"/>
      <c r="CJ524" s="11"/>
      <c r="CK524" s="11"/>
      <c r="CL524" s="11"/>
      <c r="CM524" s="11"/>
      <c r="CN524" s="11"/>
      <c r="CO524" s="11"/>
      <c r="CP524" s="40"/>
      <c r="CQ524" s="40"/>
      <c r="CR524" s="40"/>
      <c r="CS524" s="40"/>
      <c r="CT524" s="40"/>
      <c r="CU524" s="40"/>
      <c r="CV524" s="40"/>
      <c r="CW524" s="40"/>
      <c r="CX524" s="40"/>
      <c r="CY524" s="40"/>
      <c r="CZ524" s="40"/>
      <c r="DA524" s="11"/>
      <c r="DB524" s="11"/>
      <c r="DC524" s="11"/>
      <c r="DD524" s="11"/>
      <c r="DE524" s="11"/>
      <c r="DF524" s="11"/>
      <c r="DG524" s="11"/>
    </row>
    <row r="525" ht="15.75" customHeight="1">
      <c r="A525" s="41"/>
      <c r="B525" s="11"/>
      <c r="C525" s="11"/>
      <c r="D525" s="11"/>
      <c r="E525" s="11"/>
      <c r="F525" s="11"/>
      <c r="G525" s="11"/>
      <c r="H525" s="11"/>
      <c r="I525" s="41"/>
      <c r="J525" s="11"/>
      <c r="K525" s="11"/>
      <c r="L525" s="11"/>
      <c r="M525" s="11"/>
      <c r="N525" s="11"/>
      <c r="O525" s="11"/>
      <c r="P525" s="11"/>
      <c r="Q525" s="41"/>
      <c r="R525" s="11"/>
      <c r="S525" s="11"/>
      <c r="T525" s="11"/>
      <c r="U525" s="11"/>
      <c r="V525" s="11"/>
      <c r="W525" s="11"/>
      <c r="X525" s="11"/>
      <c r="Y525" s="4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/>
      <c r="CP525" s="40"/>
      <c r="CQ525" s="40"/>
      <c r="CR525" s="40"/>
      <c r="CS525" s="40"/>
      <c r="CT525" s="40"/>
      <c r="CU525" s="40"/>
      <c r="CV525" s="40"/>
      <c r="CW525" s="40"/>
      <c r="CX525" s="40"/>
      <c r="CY525" s="40"/>
      <c r="CZ525" s="40"/>
      <c r="DA525" s="11"/>
      <c r="DB525" s="11"/>
      <c r="DC525" s="11"/>
      <c r="DD525" s="11"/>
      <c r="DE525" s="11"/>
      <c r="DF525" s="11"/>
      <c r="DG525" s="11"/>
    </row>
    <row r="526" ht="15.75" customHeight="1">
      <c r="A526" s="41"/>
      <c r="B526" s="11"/>
      <c r="C526" s="11"/>
      <c r="D526" s="11"/>
      <c r="E526" s="11"/>
      <c r="F526" s="11"/>
      <c r="G526" s="11"/>
      <c r="H526" s="11"/>
      <c r="I526" s="41"/>
      <c r="J526" s="11"/>
      <c r="K526" s="11"/>
      <c r="L526" s="11"/>
      <c r="M526" s="11"/>
      <c r="N526" s="11"/>
      <c r="O526" s="11"/>
      <c r="P526" s="11"/>
      <c r="Q526" s="41"/>
      <c r="R526" s="11"/>
      <c r="S526" s="11"/>
      <c r="T526" s="11"/>
      <c r="U526" s="11"/>
      <c r="V526" s="11"/>
      <c r="W526" s="11"/>
      <c r="X526" s="11"/>
      <c r="Y526" s="4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  <c r="CK526" s="11"/>
      <c r="CL526" s="11"/>
      <c r="CM526" s="11"/>
      <c r="CN526" s="11"/>
      <c r="CO526" s="11"/>
      <c r="CP526" s="40"/>
      <c r="CQ526" s="40"/>
      <c r="CR526" s="40"/>
      <c r="CS526" s="40"/>
      <c r="CT526" s="40"/>
      <c r="CU526" s="40"/>
      <c r="CV526" s="40"/>
      <c r="CW526" s="40"/>
      <c r="CX526" s="40"/>
      <c r="CY526" s="40"/>
      <c r="CZ526" s="40"/>
      <c r="DA526" s="11"/>
      <c r="DB526" s="11"/>
      <c r="DC526" s="11"/>
      <c r="DD526" s="11"/>
      <c r="DE526" s="11"/>
      <c r="DF526" s="11"/>
      <c r="DG526" s="11"/>
    </row>
    <row r="527" ht="15.75" customHeight="1">
      <c r="A527" s="41"/>
      <c r="B527" s="11"/>
      <c r="C527" s="11"/>
      <c r="D527" s="11"/>
      <c r="E527" s="11"/>
      <c r="F527" s="11"/>
      <c r="G527" s="11"/>
      <c r="H527" s="11"/>
      <c r="I527" s="41"/>
      <c r="J527" s="11"/>
      <c r="K527" s="11"/>
      <c r="L527" s="11"/>
      <c r="M527" s="11"/>
      <c r="N527" s="11"/>
      <c r="O527" s="11"/>
      <c r="P527" s="11"/>
      <c r="Q527" s="41"/>
      <c r="R527" s="11"/>
      <c r="S527" s="11"/>
      <c r="T527" s="11"/>
      <c r="U527" s="11"/>
      <c r="V527" s="11"/>
      <c r="W527" s="11"/>
      <c r="X527" s="11"/>
      <c r="Y527" s="4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  <c r="CK527" s="11"/>
      <c r="CL527" s="11"/>
      <c r="CM527" s="11"/>
      <c r="CN527" s="11"/>
      <c r="CO527" s="11"/>
      <c r="CP527" s="40"/>
      <c r="CQ527" s="40"/>
      <c r="CR527" s="40"/>
      <c r="CS527" s="40"/>
      <c r="CT527" s="40"/>
      <c r="CU527" s="40"/>
      <c r="CV527" s="40"/>
      <c r="CW527" s="40"/>
      <c r="CX527" s="40"/>
      <c r="CY527" s="40"/>
      <c r="CZ527" s="40"/>
      <c r="DA527" s="11"/>
      <c r="DB527" s="11"/>
      <c r="DC527" s="11"/>
      <c r="DD527" s="11"/>
      <c r="DE527" s="11"/>
      <c r="DF527" s="11"/>
      <c r="DG527" s="11"/>
    </row>
    <row r="528" ht="15.75" customHeight="1">
      <c r="A528" s="41"/>
      <c r="B528" s="11"/>
      <c r="C528" s="11"/>
      <c r="D528" s="11"/>
      <c r="E528" s="11"/>
      <c r="F528" s="11"/>
      <c r="G528" s="11"/>
      <c r="H528" s="11"/>
      <c r="I528" s="41"/>
      <c r="J528" s="11"/>
      <c r="K528" s="11"/>
      <c r="L528" s="11"/>
      <c r="M528" s="11"/>
      <c r="N528" s="11"/>
      <c r="O528" s="11"/>
      <c r="P528" s="11"/>
      <c r="Q528" s="41"/>
      <c r="R528" s="11"/>
      <c r="S528" s="11"/>
      <c r="T528" s="11"/>
      <c r="U528" s="11"/>
      <c r="V528" s="11"/>
      <c r="W528" s="11"/>
      <c r="X528" s="11"/>
      <c r="Y528" s="4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40"/>
      <c r="CQ528" s="40"/>
      <c r="CR528" s="40"/>
      <c r="CS528" s="40"/>
      <c r="CT528" s="40"/>
      <c r="CU528" s="40"/>
      <c r="CV528" s="40"/>
      <c r="CW528" s="40"/>
      <c r="CX528" s="40"/>
      <c r="CY528" s="40"/>
      <c r="CZ528" s="40"/>
      <c r="DA528" s="11"/>
      <c r="DB528" s="11"/>
      <c r="DC528" s="11"/>
      <c r="DD528" s="11"/>
      <c r="DE528" s="11"/>
      <c r="DF528" s="11"/>
      <c r="DG528" s="11"/>
    </row>
    <row r="529" ht="15.75" customHeight="1">
      <c r="A529" s="41"/>
      <c r="B529" s="11"/>
      <c r="C529" s="11"/>
      <c r="D529" s="11"/>
      <c r="E529" s="11"/>
      <c r="F529" s="11"/>
      <c r="G529" s="11"/>
      <c r="H529" s="11"/>
      <c r="I529" s="41"/>
      <c r="J529" s="11"/>
      <c r="K529" s="11"/>
      <c r="L529" s="11"/>
      <c r="M529" s="11"/>
      <c r="N529" s="11"/>
      <c r="O529" s="11"/>
      <c r="P529" s="11"/>
      <c r="Q529" s="41"/>
      <c r="R529" s="11"/>
      <c r="S529" s="11"/>
      <c r="T529" s="11"/>
      <c r="U529" s="11"/>
      <c r="V529" s="11"/>
      <c r="W529" s="11"/>
      <c r="X529" s="11"/>
      <c r="Y529" s="4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  <c r="CK529" s="11"/>
      <c r="CL529" s="11"/>
      <c r="CM529" s="11"/>
      <c r="CN529" s="11"/>
      <c r="CO529" s="11"/>
      <c r="CP529" s="40"/>
      <c r="CQ529" s="40"/>
      <c r="CR529" s="40"/>
      <c r="CS529" s="40"/>
      <c r="CT529" s="40"/>
      <c r="CU529" s="40"/>
      <c r="CV529" s="40"/>
      <c r="CW529" s="40"/>
      <c r="CX529" s="40"/>
      <c r="CY529" s="40"/>
      <c r="CZ529" s="40"/>
      <c r="DA529" s="11"/>
      <c r="DB529" s="11"/>
      <c r="DC529" s="11"/>
      <c r="DD529" s="11"/>
      <c r="DE529" s="11"/>
      <c r="DF529" s="11"/>
      <c r="DG529" s="11"/>
    </row>
    <row r="530" ht="15.75" customHeight="1">
      <c r="A530" s="41"/>
      <c r="B530" s="11"/>
      <c r="C530" s="11"/>
      <c r="D530" s="11"/>
      <c r="E530" s="11"/>
      <c r="F530" s="11"/>
      <c r="G530" s="11"/>
      <c r="H530" s="11"/>
      <c r="I530" s="41"/>
      <c r="J530" s="11"/>
      <c r="K530" s="11"/>
      <c r="L530" s="11"/>
      <c r="M530" s="11"/>
      <c r="N530" s="11"/>
      <c r="O530" s="11"/>
      <c r="P530" s="11"/>
      <c r="Q530" s="41"/>
      <c r="R530" s="11"/>
      <c r="S530" s="11"/>
      <c r="T530" s="11"/>
      <c r="U530" s="11"/>
      <c r="V530" s="11"/>
      <c r="W530" s="11"/>
      <c r="X530" s="11"/>
      <c r="Y530" s="4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  <c r="CK530" s="11"/>
      <c r="CL530" s="11"/>
      <c r="CM530" s="11"/>
      <c r="CN530" s="11"/>
      <c r="CO530" s="11"/>
      <c r="CP530" s="40"/>
      <c r="CQ530" s="40"/>
      <c r="CR530" s="40"/>
      <c r="CS530" s="40"/>
      <c r="CT530" s="40"/>
      <c r="CU530" s="40"/>
      <c r="CV530" s="40"/>
      <c r="CW530" s="40"/>
      <c r="CX530" s="40"/>
      <c r="CY530" s="40"/>
      <c r="CZ530" s="40"/>
      <c r="DA530" s="11"/>
      <c r="DB530" s="11"/>
      <c r="DC530" s="11"/>
      <c r="DD530" s="11"/>
      <c r="DE530" s="11"/>
      <c r="DF530" s="11"/>
      <c r="DG530" s="11"/>
    </row>
    <row r="531" ht="15.75" customHeight="1">
      <c r="A531" s="41"/>
      <c r="B531" s="11"/>
      <c r="C531" s="11"/>
      <c r="D531" s="11"/>
      <c r="E531" s="11"/>
      <c r="F531" s="11"/>
      <c r="G531" s="11"/>
      <c r="H531" s="11"/>
      <c r="I531" s="41"/>
      <c r="J531" s="11"/>
      <c r="K531" s="11"/>
      <c r="L531" s="11"/>
      <c r="M531" s="11"/>
      <c r="N531" s="11"/>
      <c r="O531" s="11"/>
      <c r="P531" s="11"/>
      <c r="Q531" s="41"/>
      <c r="R531" s="11"/>
      <c r="S531" s="11"/>
      <c r="T531" s="11"/>
      <c r="U531" s="11"/>
      <c r="V531" s="11"/>
      <c r="W531" s="11"/>
      <c r="X531" s="11"/>
      <c r="Y531" s="4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40"/>
      <c r="CQ531" s="40"/>
      <c r="CR531" s="40"/>
      <c r="CS531" s="40"/>
      <c r="CT531" s="40"/>
      <c r="CU531" s="40"/>
      <c r="CV531" s="40"/>
      <c r="CW531" s="40"/>
      <c r="CX531" s="40"/>
      <c r="CY531" s="40"/>
      <c r="CZ531" s="40"/>
      <c r="DA531" s="11"/>
      <c r="DB531" s="11"/>
      <c r="DC531" s="11"/>
      <c r="DD531" s="11"/>
      <c r="DE531" s="11"/>
      <c r="DF531" s="11"/>
      <c r="DG531" s="11"/>
    </row>
    <row r="532" ht="15.75" customHeight="1">
      <c r="A532" s="41"/>
      <c r="B532" s="11"/>
      <c r="C532" s="11"/>
      <c r="D532" s="11"/>
      <c r="E532" s="11"/>
      <c r="F532" s="11"/>
      <c r="G532" s="11"/>
      <c r="H532" s="11"/>
      <c r="I532" s="41"/>
      <c r="J532" s="11"/>
      <c r="K532" s="11"/>
      <c r="L532" s="11"/>
      <c r="M532" s="11"/>
      <c r="N532" s="11"/>
      <c r="O532" s="11"/>
      <c r="P532" s="11"/>
      <c r="Q532" s="41"/>
      <c r="R532" s="11"/>
      <c r="S532" s="11"/>
      <c r="T532" s="11"/>
      <c r="U532" s="11"/>
      <c r="V532" s="11"/>
      <c r="W532" s="11"/>
      <c r="X532" s="11"/>
      <c r="Y532" s="4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CH532" s="11"/>
      <c r="CI532" s="11"/>
      <c r="CJ532" s="11"/>
      <c r="CK532" s="11"/>
      <c r="CL532" s="11"/>
      <c r="CM532" s="11"/>
      <c r="CN532" s="11"/>
      <c r="CO532" s="11"/>
      <c r="CP532" s="40"/>
      <c r="CQ532" s="40"/>
      <c r="CR532" s="40"/>
      <c r="CS532" s="40"/>
      <c r="CT532" s="40"/>
      <c r="CU532" s="40"/>
      <c r="CV532" s="40"/>
      <c r="CW532" s="40"/>
      <c r="CX532" s="40"/>
      <c r="CY532" s="40"/>
      <c r="CZ532" s="40"/>
      <c r="DA532" s="11"/>
      <c r="DB532" s="11"/>
      <c r="DC532" s="11"/>
      <c r="DD532" s="11"/>
      <c r="DE532" s="11"/>
      <c r="DF532" s="11"/>
      <c r="DG532" s="11"/>
    </row>
    <row r="533" ht="15.75" customHeight="1">
      <c r="A533" s="41"/>
      <c r="B533" s="11"/>
      <c r="C533" s="11"/>
      <c r="D533" s="11"/>
      <c r="E533" s="11"/>
      <c r="F533" s="11"/>
      <c r="G533" s="11"/>
      <c r="H533" s="11"/>
      <c r="I533" s="41"/>
      <c r="J533" s="11"/>
      <c r="K533" s="11"/>
      <c r="L533" s="11"/>
      <c r="M533" s="11"/>
      <c r="N533" s="11"/>
      <c r="O533" s="11"/>
      <c r="P533" s="11"/>
      <c r="Q533" s="41"/>
      <c r="R533" s="11"/>
      <c r="S533" s="11"/>
      <c r="T533" s="11"/>
      <c r="U533" s="11"/>
      <c r="V533" s="11"/>
      <c r="W533" s="11"/>
      <c r="X533" s="11"/>
      <c r="Y533" s="4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40"/>
      <c r="CQ533" s="40"/>
      <c r="CR533" s="40"/>
      <c r="CS533" s="40"/>
      <c r="CT533" s="40"/>
      <c r="CU533" s="40"/>
      <c r="CV533" s="40"/>
      <c r="CW533" s="40"/>
      <c r="CX533" s="40"/>
      <c r="CY533" s="40"/>
      <c r="CZ533" s="40"/>
      <c r="DA533" s="11"/>
      <c r="DB533" s="11"/>
      <c r="DC533" s="11"/>
      <c r="DD533" s="11"/>
      <c r="DE533" s="11"/>
      <c r="DF533" s="11"/>
      <c r="DG533" s="11"/>
    </row>
    <row r="534" ht="15.75" customHeight="1">
      <c r="A534" s="41"/>
      <c r="B534" s="11"/>
      <c r="C534" s="11"/>
      <c r="D534" s="11"/>
      <c r="E534" s="11"/>
      <c r="F534" s="11"/>
      <c r="G534" s="11"/>
      <c r="H534" s="11"/>
      <c r="I534" s="41"/>
      <c r="J534" s="11"/>
      <c r="K534" s="11"/>
      <c r="L534" s="11"/>
      <c r="M534" s="11"/>
      <c r="N534" s="11"/>
      <c r="O534" s="11"/>
      <c r="P534" s="11"/>
      <c r="Q534" s="41"/>
      <c r="R534" s="11"/>
      <c r="S534" s="11"/>
      <c r="T534" s="11"/>
      <c r="U534" s="11"/>
      <c r="V534" s="11"/>
      <c r="W534" s="11"/>
      <c r="X534" s="11"/>
      <c r="Y534" s="4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  <c r="CD534" s="11"/>
      <c r="CE534" s="11"/>
      <c r="CF534" s="11"/>
      <c r="CG534" s="11"/>
      <c r="CH534" s="11"/>
      <c r="CI534" s="11"/>
      <c r="CJ534" s="11"/>
      <c r="CK534" s="11"/>
      <c r="CL534" s="11"/>
      <c r="CM534" s="11"/>
      <c r="CN534" s="11"/>
      <c r="CO534" s="11"/>
      <c r="CP534" s="40"/>
      <c r="CQ534" s="40"/>
      <c r="CR534" s="40"/>
      <c r="CS534" s="40"/>
      <c r="CT534" s="40"/>
      <c r="CU534" s="40"/>
      <c r="CV534" s="40"/>
      <c r="CW534" s="40"/>
      <c r="CX534" s="40"/>
      <c r="CY534" s="40"/>
      <c r="CZ534" s="40"/>
      <c r="DA534" s="11"/>
      <c r="DB534" s="11"/>
      <c r="DC534" s="11"/>
      <c r="DD534" s="11"/>
      <c r="DE534" s="11"/>
      <c r="DF534" s="11"/>
      <c r="DG534" s="11"/>
    </row>
    <row r="535" ht="15.75" customHeight="1">
      <c r="A535" s="41"/>
      <c r="B535" s="11"/>
      <c r="C535" s="11"/>
      <c r="D535" s="11"/>
      <c r="E535" s="11"/>
      <c r="F535" s="11"/>
      <c r="G535" s="11"/>
      <c r="H535" s="11"/>
      <c r="I535" s="41"/>
      <c r="J535" s="11"/>
      <c r="K535" s="11"/>
      <c r="L535" s="11"/>
      <c r="M535" s="11"/>
      <c r="N535" s="11"/>
      <c r="O535" s="11"/>
      <c r="P535" s="11"/>
      <c r="Q535" s="41"/>
      <c r="R535" s="11"/>
      <c r="S535" s="11"/>
      <c r="T535" s="11"/>
      <c r="U535" s="11"/>
      <c r="V535" s="11"/>
      <c r="W535" s="11"/>
      <c r="X535" s="11"/>
      <c r="Y535" s="4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/>
      <c r="CG535" s="11"/>
      <c r="CH535" s="11"/>
      <c r="CI535" s="11"/>
      <c r="CJ535" s="11"/>
      <c r="CK535" s="11"/>
      <c r="CL535" s="11"/>
      <c r="CM535" s="11"/>
      <c r="CN535" s="11"/>
      <c r="CO535" s="11"/>
      <c r="CP535" s="40"/>
      <c r="CQ535" s="40"/>
      <c r="CR535" s="40"/>
      <c r="CS535" s="40"/>
      <c r="CT535" s="40"/>
      <c r="CU535" s="40"/>
      <c r="CV535" s="40"/>
      <c r="CW535" s="40"/>
      <c r="CX535" s="40"/>
      <c r="CY535" s="40"/>
      <c r="CZ535" s="40"/>
      <c r="DA535" s="11"/>
      <c r="DB535" s="11"/>
      <c r="DC535" s="11"/>
      <c r="DD535" s="11"/>
      <c r="DE535" s="11"/>
      <c r="DF535" s="11"/>
      <c r="DG535" s="11"/>
    </row>
    <row r="536" ht="15.75" customHeight="1">
      <c r="A536" s="41"/>
      <c r="B536" s="11"/>
      <c r="C536" s="11"/>
      <c r="D536" s="11"/>
      <c r="E536" s="11"/>
      <c r="F536" s="11"/>
      <c r="G536" s="11"/>
      <c r="H536" s="11"/>
      <c r="I536" s="41"/>
      <c r="J536" s="11"/>
      <c r="K536" s="11"/>
      <c r="L536" s="11"/>
      <c r="M536" s="11"/>
      <c r="N536" s="11"/>
      <c r="O536" s="11"/>
      <c r="P536" s="11"/>
      <c r="Q536" s="41"/>
      <c r="R536" s="11"/>
      <c r="S536" s="11"/>
      <c r="T536" s="11"/>
      <c r="U536" s="11"/>
      <c r="V536" s="11"/>
      <c r="W536" s="11"/>
      <c r="X536" s="11"/>
      <c r="Y536" s="4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  <c r="CD536" s="11"/>
      <c r="CE536" s="11"/>
      <c r="CF536" s="11"/>
      <c r="CG536" s="11"/>
      <c r="CH536" s="11"/>
      <c r="CI536" s="11"/>
      <c r="CJ536" s="11"/>
      <c r="CK536" s="11"/>
      <c r="CL536" s="11"/>
      <c r="CM536" s="11"/>
      <c r="CN536" s="11"/>
      <c r="CO536" s="11"/>
      <c r="CP536" s="40"/>
      <c r="CQ536" s="40"/>
      <c r="CR536" s="40"/>
      <c r="CS536" s="40"/>
      <c r="CT536" s="40"/>
      <c r="CU536" s="40"/>
      <c r="CV536" s="40"/>
      <c r="CW536" s="40"/>
      <c r="CX536" s="40"/>
      <c r="CY536" s="40"/>
      <c r="CZ536" s="40"/>
      <c r="DA536" s="11"/>
      <c r="DB536" s="11"/>
      <c r="DC536" s="11"/>
      <c r="DD536" s="11"/>
      <c r="DE536" s="11"/>
      <c r="DF536" s="11"/>
      <c r="DG536" s="11"/>
    </row>
    <row r="537" ht="15.75" customHeight="1">
      <c r="A537" s="41"/>
      <c r="B537" s="11"/>
      <c r="C537" s="11"/>
      <c r="D537" s="11"/>
      <c r="E537" s="11"/>
      <c r="F537" s="11"/>
      <c r="G537" s="11"/>
      <c r="H537" s="11"/>
      <c r="I537" s="41"/>
      <c r="J537" s="11"/>
      <c r="K537" s="11"/>
      <c r="L537" s="11"/>
      <c r="M537" s="11"/>
      <c r="N537" s="11"/>
      <c r="O537" s="11"/>
      <c r="P537" s="11"/>
      <c r="Q537" s="41"/>
      <c r="R537" s="11"/>
      <c r="S537" s="11"/>
      <c r="T537" s="11"/>
      <c r="U537" s="11"/>
      <c r="V537" s="11"/>
      <c r="W537" s="11"/>
      <c r="X537" s="11"/>
      <c r="Y537" s="4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  <c r="CD537" s="11"/>
      <c r="CE537" s="11"/>
      <c r="CF537" s="11"/>
      <c r="CG537" s="11"/>
      <c r="CH537" s="11"/>
      <c r="CI537" s="11"/>
      <c r="CJ537" s="11"/>
      <c r="CK537" s="11"/>
      <c r="CL537" s="11"/>
      <c r="CM537" s="11"/>
      <c r="CN537" s="11"/>
      <c r="CO537" s="11"/>
      <c r="CP537" s="40"/>
      <c r="CQ537" s="40"/>
      <c r="CR537" s="40"/>
      <c r="CS537" s="40"/>
      <c r="CT537" s="40"/>
      <c r="CU537" s="40"/>
      <c r="CV537" s="40"/>
      <c r="CW537" s="40"/>
      <c r="CX537" s="40"/>
      <c r="CY537" s="40"/>
      <c r="CZ537" s="40"/>
      <c r="DA537" s="11"/>
      <c r="DB537" s="11"/>
      <c r="DC537" s="11"/>
      <c r="DD537" s="11"/>
      <c r="DE537" s="11"/>
      <c r="DF537" s="11"/>
      <c r="DG537" s="11"/>
    </row>
    <row r="538" ht="15.75" customHeight="1">
      <c r="A538" s="41"/>
      <c r="B538" s="11"/>
      <c r="C538" s="11"/>
      <c r="D538" s="11"/>
      <c r="E538" s="11"/>
      <c r="F538" s="11"/>
      <c r="G538" s="11"/>
      <c r="H538" s="11"/>
      <c r="I538" s="41"/>
      <c r="J538" s="11"/>
      <c r="K538" s="11"/>
      <c r="L538" s="11"/>
      <c r="M538" s="11"/>
      <c r="N538" s="11"/>
      <c r="O538" s="11"/>
      <c r="P538" s="11"/>
      <c r="Q538" s="41"/>
      <c r="R538" s="11"/>
      <c r="S538" s="11"/>
      <c r="T538" s="11"/>
      <c r="U538" s="11"/>
      <c r="V538" s="11"/>
      <c r="W538" s="11"/>
      <c r="X538" s="11"/>
      <c r="Y538" s="4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  <c r="CD538" s="11"/>
      <c r="CE538" s="11"/>
      <c r="CF538" s="11"/>
      <c r="CG538" s="11"/>
      <c r="CH538" s="11"/>
      <c r="CI538" s="11"/>
      <c r="CJ538" s="11"/>
      <c r="CK538" s="11"/>
      <c r="CL538" s="11"/>
      <c r="CM538" s="11"/>
      <c r="CN538" s="11"/>
      <c r="CO538" s="11"/>
      <c r="CP538" s="40"/>
      <c r="CQ538" s="40"/>
      <c r="CR538" s="40"/>
      <c r="CS538" s="40"/>
      <c r="CT538" s="40"/>
      <c r="CU538" s="40"/>
      <c r="CV538" s="40"/>
      <c r="CW538" s="40"/>
      <c r="CX538" s="40"/>
      <c r="CY538" s="40"/>
      <c r="CZ538" s="40"/>
      <c r="DA538" s="11"/>
      <c r="DB538" s="11"/>
      <c r="DC538" s="11"/>
      <c r="DD538" s="11"/>
      <c r="DE538" s="11"/>
      <c r="DF538" s="11"/>
      <c r="DG538" s="11"/>
    </row>
    <row r="539" ht="15.75" customHeight="1">
      <c r="A539" s="41"/>
      <c r="B539" s="11"/>
      <c r="C539" s="11"/>
      <c r="D539" s="11"/>
      <c r="E539" s="11"/>
      <c r="F539" s="11"/>
      <c r="G539" s="11"/>
      <c r="H539" s="11"/>
      <c r="I539" s="41"/>
      <c r="J539" s="11"/>
      <c r="K539" s="11"/>
      <c r="L539" s="11"/>
      <c r="M539" s="11"/>
      <c r="N539" s="11"/>
      <c r="O539" s="11"/>
      <c r="P539" s="11"/>
      <c r="Q539" s="41"/>
      <c r="R539" s="11"/>
      <c r="S539" s="11"/>
      <c r="T539" s="11"/>
      <c r="U539" s="11"/>
      <c r="V539" s="11"/>
      <c r="W539" s="11"/>
      <c r="X539" s="11"/>
      <c r="Y539" s="4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11"/>
      <c r="CD539" s="11"/>
      <c r="CE539" s="11"/>
      <c r="CF539" s="11"/>
      <c r="CG539" s="11"/>
      <c r="CH539" s="11"/>
      <c r="CI539" s="11"/>
      <c r="CJ539" s="11"/>
      <c r="CK539" s="11"/>
      <c r="CL539" s="11"/>
      <c r="CM539" s="11"/>
      <c r="CN539" s="11"/>
      <c r="CO539" s="11"/>
      <c r="CP539" s="40"/>
      <c r="CQ539" s="40"/>
      <c r="CR539" s="40"/>
      <c r="CS539" s="40"/>
      <c r="CT539" s="40"/>
      <c r="CU539" s="40"/>
      <c r="CV539" s="40"/>
      <c r="CW539" s="40"/>
      <c r="CX539" s="40"/>
      <c r="CY539" s="40"/>
      <c r="CZ539" s="40"/>
      <c r="DA539" s="11"/>
      <c r="DB539" s="11"/>
      <c r="DC539" s="11"/>
      <c r="DD539" s="11"/>
      <c r="DE539" s="11"/>
      <c r="DF539" s="11"/>
      <c r="DG539" s="11"/>
    </row>
    <row r="540" ht="15.75" customHeight="1">
      <c r="A540" s="41"/>
      <c r="B540" s="11"/>
      <c r="C540" s="11"/>
      <c r="D540" s="11"/>
      <c r="E540" s="11"/>
      <c r="F540" s="11"/>
      <c r="G540" s="11"/>
      <c r="H540" s="11"/>
      <c r="I540" s="41"/>
      <c r="J540" s="11"/>
      <c r="K540" s="11"/>
      <c r="L540" s="11"/>
      <c r="M540" s="11"/>
      <c r="N540" s="11"/>
      <c r="O540" s="11"/>
      <c r="P540" s="11"/>
      <c r="Q540" s="41"/>
      <c r="R540" s="11"/>
      <c r="S540" s="11"/>
      <c r="T540" s="11"/>
      <c r="U540" s="11"/>
      <c r="V540" s="11"/>
      <c r="W540" s="11"/>
      <c r="X540" s="11"/>
      <c r="Y540" s="4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  <c r="CD540" s="11"/>
      <c r="CE540" s="11"/>
      <c r="CF540" s="11"/>
      <c r="CG540" s="11"/>
      <c r="CH540" s="11"/>
      <c r="CI540" s="11"/>
      <c r="CJ540" s="11"/>
      <c r="CK540" s="11"/>
      <c r="CL540" s="11"/>
      <c r="CM540" s="11"/>
      <c r="CN540" s="11"/>
      <c r="CO540" s="11"/>
      <c r="CP540" s="40"/>
      <c r="CQ540" s="40"/>
      <c r="CR540" s="40"/>
      <c r="CS540" s="40"/>
      <c r="CT540" s="40"/>
      <c r="CU540" s="40"/>
      <c r="CV540" s="40"/>
      <c r="CW540" s="40"/>
      <c r="CX540" s="40"/>
      <c r="CY540" s="40"/>
      <c r="CZ540" s="40"/>
      <c r="DA540" s="11"/>
      <c r="DB540" s="11"/>
      <c r="DC540" s="11"/>
      <c r="DD540" s="11"/>
      <c r="DE540" s="11"/>
      <c r="DF540" s="11"/>
      <c r="DG540" s="11"/>
    </row>
    <row r="541" ht="15.75" customHeight="1">
      <c r="A541" s="41"/>
      <c r="B541" s="11"/>
      <c r="C541" s="11"/>
      <c r="D541" s="11"/>
      <c r="E541" s="11"/>
      <c r="F541" s="11"/>
      <c r="G541" s="11"/>
      <c r="H541" s="11"/>
      <c r="I541" s="41"/>
      <c r="J541" s="11"/>
      <c r="K541" s="11"/>
      <c r="L541" s="11"/>
      <c r="M541" s="11"/>
      <c r="N541" s="11"/>
      <c r="O541" s="11"/>
      <c r="P541" s="11"/>
      <c r="Q541" s="41"/>
      <c r="R541" s="11"/>
      <c r="S541" s="11"/>
      <c r="T541" s="11"/>
      <c r="U541" s="11"/>
      <c r="V541" s="11"/>
      <c r="W541" s="11"/>
      <c r="X541" s="11"/>
      <c r="Y541" s="4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  <c r="CD541" s="11"/>
      <c r="CE541" s="11"/>
      <c r="CF541" s="11"/>
      <c r="CG541" s="11"/>
      <c r="CH541" s="11"/>
      <c r="CI541" s="11"/>
      <c r="CJ541" s="11"/>
      <c r="CK541" s="11"/>
      <c r="CL541" s="11"/>
      <c r="CM541" s="11"/>
      <c r="CN541" s="11"/>
      <c r="CO541" s="11"/>
      <c r="CP541" s="40"/>
      <c r="CQ541" s="40"/>
      <c r="CR541" s="40"/>
      <c r="CS541" s="40"/>
      <c r="CT541" s="40"/>
      <c r="CU541" s="40"/>
      <c r="CV541" s="40"/>
      <c r="CW541" s="40"/>
      <c r="CX541" s="40"/>
      <c r="CY541" s="40"/>
      <c r="CZ541" s="40"/>
      <c r="DA541" s="11"/>
      <c r="DB541" s="11"/>
      <c r="DC541" s="11"/>
      <c r="DD541" s="11"/>
      <c r="DE541" s="11"/>
      <c r="DF541" s="11"/>
      <c r="DG541" s="11"/>
    </row>
    <row r="542" ht="15.75" customHeight="1">
      <c r="A542" s="41"/>
      <c r="B542" s="11"/>
      <c r="C542" s="11"/>
      <c r="D542" s="11"/>
      <c r="E542" s="11"/>
      <c r="F542" s="11"/>
      <c r="G542" s="11"/>
      <c r="H542" s="11"/>
      <c r="I542" s="41"/>
      <c r="J542" s="11"/>
      <c r="K542" s="11"/>
      <c r="L542" s="11"/>
      <c r="M542" s="11"/>
      <c r="N542" s="11"/>
      <c r="O542" s="11"/>
      <c r="P542" s="11"/>
      <c r="Q542" s="41"/>
      <c r="R542" s="11"/>
      <c r="S542" s="11"/>
      <c r="T542" s="11"/>
      <c r="U542" s="11"/>
      <c r="V542" s="11"/>
      <c r="W542" s="11"/>
      <c r="X542" s="11"/>
      <c r="Y542" s="4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  <c r="CD542" s="11"/>
      <c r="CE542" s="11"/>
      <c r="CF542" s="11"/>
      <c r="CG542" s="11"/>
      <c r="CH542" s="11"/>
      <c r="CI542" s="11"/>
      <c r="CJ542" s="11"/>
      <c r="CK542" s="11"/>
      <c r="CL542" s="11"/>
      <c r="CM542" s="11"/>
      <c r="CN542" s="11"/>
      <c r="CO542" s="11"/>
      <c r="CP542" s="40"/>
      <c r="CQ542" s="40"/>
      <c r="CR542" s="40"/>
      <c r="CS542" s="40"/>
      <c r="CT542" s="40"/>
      <c r="CU542" s="40"/>
      <c r="CV542" s="40"/>
      <c r="CW542" s="40"/>
      <c r="CX542" s="40"/>
      <c r="CY542" s="40"/>
      <c r="CZ542" s="40"/>
      <c r="DA542" s="11"/>
      <c r="DB542" s="11"/>
      <c r="DC542" s="11"/>
      <c r="DD542" s="11"/>
      <c r="DE542" s="11"/>
      <c r="DF542" s="11"/>
      <c r="DG542" s="11"/>
    </row>
    <row r="543" ht="15.75" customHeight="1">
      <c r="A543" s="41"/>
      <c r="B543" s="11"/>
      <c r="C543" s="11"/>
      <c r="D543" s="11"/>
      <c r="E543" s="11"/>
      <c r="F543" s="11"/>
      <c r="G543" s="11"/>
      <c r="H543" s="11"/>
      <c r="I543" s="41"/>
      <c r="J543" s="11"/>
      <c r="K543" s="11"/>
      <c r="L543" s="11"/>
      <c r="M543" s="11"/>
      <c r="N543" s="11"/>
      <c r="O543" s="11"/>
      <c r="P543" s="11"/>
      <c r="Q543" s="41"/>
      <c r="R543" s="11"/>
      <c r="S543" s="11"/>
      <c r="T543" s="11"/>
      <c r="U543" s="11"/>
      <c r="V543" s="11"/>
      <c r="W543" s="11"/>
      <c r="X543" s="11"/>
      <c r="Y543" s="4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  <c r="CD543" s="11"/>
      <c r="CE543" s="11"/>
      <c r="CF543" s="11"/>
      <c r="CG543" s="11"/>
      <c r="CH543" s="11"/>
      <c r="CI543" s="11"/>
      <c r="CJ543" s="11"/>
      <c r="CK543" s="11"/>
      <c r="CL543" s="11"/>
      <c r="CM543" s="11"/>
      <c r="CN543" s="11"/>
      <c r="CO543" s="11"/>
      <c r="CP543" s="40"/>
      <c r="CQ543" s="40"/>
      <c r="CR543" s="40"/>
      <c r="CS543" s="40"/>
      <c r="CT543" s="40"/>
      <c r="CU543" s="40"/>
      <c r="CV543" s="40"/>
      <c r="CW543" s="40"/>
      <c r="CX543" s="40"/>
      <c r="CY543" s="40"/>
      <c r="CZ543" s="40"/>
      <c r="DA543" s="11"/>
      <c r="DB543" s="11"/>
      <c r="DC543" s="11"/>
      <c r="DD543" s="11"/>
      <c r="DE543" s="11"/>
      <c r="DF543" s="11"/>
      <c r="DG543" s="11"/>
    </row>
    <row r="544" ht="15.75" customHeight="1">
      <c r="A544" s="41"/>
      <c r="B544" s="11"/>
      <c r="C544" s="11"/>
      <c r="D544" s="11"/>
      <c r="E544" s="11"/>
      <c r="F544" s="11"/>
      <c r="G544" s="11"/>
      <c r="H544" s="11"/>
      <c r="I544" s="41"/>
      <c r="J544" s="11"/>
      <c r="K544" s="11"/>
      <c r="L544" s="11"/>
      <c r="M544" s="11"/>
      <c r="N544" s="11"/>
      <c r="O544" s="11"/>
      <c r="P544" s="11"/>
      <c r="Q544" s="41"/>
      <c r="R544" s="11"/>
      <c r="S544" s="11"/>
      <c r="T544" s="11"/>
      <c r="U544" s="11"/>
      <c r="V544" s="11"/>
      <c r="W544" s="11"/>
      <c r="X544" s="11"/>
      <c r="Y544" s="4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40"/>
      <c r="CQ544" s="40"/>
      <c r="CR544" s="40"/>
      <c r="CS544" s="40"/>
      <c r="CT544" s="40"/>
      <c r="CU544" s="40"/>
      <c r="CV544" s="40"/>
      <c r="CW544" s="40"/>
      <c r="CX544" s="40"/>
      <c r="CY544" s="40"/>
      <c r="CZ544" s="40"/>
      <c r="DA544" s="11"/>
      <c r="DB544" s="11"/>
      <c r="DC544" s="11"/>
      <c r="DD544" s="11"/>
      <c r="DE544" s="11"/>
      <c r="DF544" s="11"/>
      <c r="DG544" s="11"/>
    </row>
    <row r="545" ht="15.75" customHeight="1">
      <c r="A545" s="41"/>
      <c r="B545" s="11"/>
      <c r="C545" s="11"/>
      <c r="D545" s="11"/>
      <c r="E545" s="11"/>
      <c r="F545" s="11"/>
      <c r="G545" s="11"/>
      <c r="H545" s="11"/>
      <c r="I545" s="41"/>
      <c r="J545" s="11"/>
      <c r="K545" s="11"/>
      <c r="L545" s="11"/>
      <c r="M545" s="11"/>
      <c r="N545" s="11"/>
      <c r="O545" s="11"/>
      <c r="P545" s="11"/>
      <c r="Q545" s="41"/>
      <c r="R545" s="11"/>
      <c r="S545" s="11"/>
      <c r="T545" s="11"/>
      <c r="U545" s="11"/>
      <c r="V545" s="11"/>
      <c r="W545" s="11"/>
      <c r="X545" s="11"/>
      <c r="Y545" s="4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40"/>
      <c r="CQ545" s="40"/>
      <c r="CR545" s="40"/>
      <c r="CS545" s="40"/>
      <c r="CT545" s="40"/>
      <c r="CU545" s="40"/>
      <c r="CV545" s="40"/>
      <c r="CW545" s="40"/>
      <c r="CX545" s="40"/>
      <c r="CY545" s="40"/>
      <c r="CZ545" s="40"/>
      <c r="DA545" s="11"/>
      <c r="DB545" s="11"/>
      <c r="DC545" s="11"/>
      <c r="DD545" s="11"/>
      <c r="DE545" s="11"/>
      <c r="DF545" s="11"/>
      <c r="DG545" s="11"/>
    </row>
    <row r="546" ht="15.75" customHeight="1">
      <c r="A546" s="41"/>
      <c r="B546" s="11"/>
      <c r="C546" s="11"/>
      <c r="D546" s="11"/>
      <c r="E546" s="11"/>
      <c r="F546" s="11"/>
      <c r="G546" s="11"/>
      <c r="H546" s="11"/>
      <c r="I546" s="41"/>
      <c r="J546" s="11"/>
      <c r="K546" s="11"/>
      <c r="L546" s="11"/>
      <c r="M546" s="11"/>
      <c r="N546" s="11"/>
      <c r="O546" s="11"/>
      <c r="P546" s="11"/>
      <c r="Q546" s="41"/>
      <c r="R546" s="11"/>
      <c r="S546" s="11"/>
      <c r="T546" s="11"/>
      <c r="U546" s="11"/>
      <c r="V546" s="11"/>
      <c r="W546" s="11"/>
      <c r="X546" s="11"/>
      <c r="Y546" s="4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  <c r="CD546" s="11"/>
      <c r="CE546" s="11"/>
      <c r="CF546" s="11"/>
      <c r="CG546" s="11"/>
      <c r="CH546" s="11"/>
      <c r="CI546" s="11"/>
      <c r="CJ546" s="11"/>
      <c r="CK546" s="11"/>
      <c r="CL546" s="11"/>
      <c r="CM546" s="11"/>
      <c r="CN546" s="11"/>
      <c r="CO546" s="11"/>
      <c r="CP546" s="40"/>
      <c r="CQ546" s="40"/>
      <c r="CR546" s="40"/>
      <c r="CS546" s="40"/>
      <c r="CT546" s="40"/>
      <c r="CU546" s="40"/>
      <c r="CV546" s="40"/>
      <c r="CW546" s="40"/>
      <c r="CX546" s="40"/>
      <c r="CY546" s="40"/>
      <c r="CZ546" s="40"/>
      <c r="DA546" s="11"/>
      <c r="DB546" s="11"/>
      <c r="DC546" s="11"/>
      <c r="DD546" s="11"/>
      <c r="DE546" s="11"/>
      <c r="DF546" s="11"/>
      <c r="DG546" s="11"/>
    </row>
    <row r="547" ht="15.75" customHeight="1">
      <c r="A547" s="41"/>
      <c r="B547" s="11"/>
      <c r="C547" s="11"/>
      <c r="D547" s="11"/>
      <c r="E547" s="11"/>
      <c r="F547" s="11"/>
      <c r="G547" s="11"/>
      <c r="H547" s="11"/>
      <c r="I547" s="41"/>
      <c r="J547" s="11"/>
      <c r="K547" s="11"/>
      <c r="L547" s="11"/>
      <c r="M547" s="11"/>
      <c r="N547" s="11"/>
      <c r="O547" s="11"/>
      <c r="P547" s="11"/>
      <c r="Q547" s="41"/>
      <c r="R547" s="11"/>
      <c r="S547" s="11"/>
      <c r="T547" s="11"/>
      <c r="U547" s="11"/>
      <c r="V547" s="11"/>
      <c r="W547" s="11"/>
      <c r="X547" s="11"/>
      <c r="Y547" s="4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  <c r="CD547" s="11"/>
      <c r="CE547" s="11"/>
      <c r="CF547" s="11"/>
      <c r="CG547" s="11"/>
      <c r="CH547" s="11"/>
      <c r="CI547" s="11"/>
      <c r="CJ547" s="11"/>
      <c r="CK547" s="11"/>
      <c r="CL547" s="11"/>
      <c r="CM547" s="11"/>
      <c r="CN547" s="11"/>
      <c r="CO547" s="11"/>
      <c r="CP547" s="40"/>
      <c r="CQ547" s="40"/>
      <c r="CR547" s="40"/>
      <c r="CS547" s="40"/>
      <c r="CT547" s="40"/>
      <c r="CU547" s="40"/>
      <c r="CV547" s="40"/>
      <c r="CW547" s="40"/>
      <c r="CX547" s="40"/>
      <c r="CY547" s="40"/>
      <c r="CZ547" s="40"/>
      <c r="DA547" s="11"/>
      <c r="DB547" s="11"/>
      <c r="DC547" s="11"/>
      <c r="DD547" s="11"/>
      <c r="DE547" s="11"/>
      <c r="DF547" s="11"/>
      <c r="DG547" s="11"/>
    </row>
    <row r="548" ht="15.75" customHeight="1">
      <c r="A548" s="41"/>
      <c r="B548" s="11"/>
      <c r="C548" s="11"/>
      <c r="D548" s="11"/>
      <c r="E548" s="11"/>
      <c r="F548" s="11"/>
      <c r="G548" s="11"/>
      <c r="H548" s="11"/>
      <c r="I548" s="41"/>
      <c r="J548" s="11"/>
      <c r="K548" s="11"/>
      <c r="L548" s="11"/>
      <c r="M548" s="11"/>
      <c r="N548" s="11"/>
      <c r="O548" s="11"/>
      <c r="P548" s="11"/>
      <c r="Q548" s="41"/>
      <c r="R548" s="11"/>
      <c r="S548" s="11"/>
      <c r="T548" s="11"/>
      <c r="U548" s="11"/>
      <c r="V548" s="11"/>
      <c r="W548" s="11"/>
      <c r="X548" s="11"/>
      <c r="Y548" s="4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  <c r="CD548" s="11"/>
      <c r="CE548" s="11"/>
      <c r="CF548" s="11"/>
      <c r="CG548" s="11"/>
      <c r="CH548" s="11"/>
      <c r="CI548" s="11"/>
      <c r="CJ548" s="11"/>
      <c r="CK548" s="11"/>
      <c r="CL548" s="11"/>
      <c r="CM548" s="11"/>
      <c r="CN548" s="11"/>
      <c r="CO548" s="11"/>
      <c r="CP548" s="40"/>
      <c r="CQ548" s="40"/>
      <c r="CR548" s="40"/>
      <c r="CS548" s="40"/>
      <c r="CT548" s="40"/>
      <c r="CU548" s="40"/>
      <c r="CV548" s="40"/>
      <c r="CW548" s="40"/>
      <c r="CX548" s="40"/>
      <c r="CY548" s="40"/>
      <c r="CZ548" s="40"/>
      <c r="DA548" s="11"/>
      <c r="DB548" s="11"/>
      <c r="DC548" s="11"/>
      <c r="DD548" s="11"/>
      <c r="DE548" s="11"/>
      <c r="DF548" s="11"/>
      <c r="DG548" s="11"/>
    </row>
    <row r="549" ht="15.75" customHeight="1">
      <c r="A549" s="41"/>
      <c r="B549" s="11"/>
      <c r="C549" s="11"/>
      <c r="D549" s="11"/>
      <c r="E549" s="11"/>
      <c r="F549" s="11"/>
      <c r="G549" s="11"/>
      <c r="H549" s="11"/>
      <c r="I549" s="41"/>
      <c r="J549" s="11"/>
      <c r="K549" s="11"/>
      <c r="L549" s="11"/>
      <c r="M549" s="11"/>
      <c r="N549" s="11"/>
      <c r="O549" s="11"/>
      <c r="P549" s="11"/>
      <c r="Q549" s="41"/>
      <c r="R549" s="11"/>
      <c r="S549" s="11"/>
      <c r="T549" s="11"/>
      <c r="U549" s="11"/>
      <c r="V549" s="11"/>
      <c r="W549" s="11"/>
      <c r="X549" s="11"/>
      <c r="Y549" s="4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11"/>
      <c r="CD549" s="11"/>
      <c r="CE549" s="11"/>
      <c r="CF549" s="11"/>
      <c r="CG549" s="11"/>
      <c r="CH549" s="11"/>
      <c r="CI549" s="11"/>
      <c r="CJ549" s="11"/>
      <c r="CK549" s="11"/>
      <c r="CL549" s="11"/>
      <c r="CM549" s="11"/>
      <c r="CN549" s="11"/>
      <c r="CO549" s="11"/>
      <c r="CP549" s="40"/>
      <c r="CQ549" s="40"/>
      <c r="CR549" s="40"/>
      <c r="CS549" s="40"/>
      <c r="CT549" s="40"/>
      <c r="CU549" s="40"/>
      <c r="CV549" s="40"/>
      <c r="CW549" s="40"/>
      <c r="CX549" s="40"/>
      <c r="CY549" s="40"/>
      <c r="CZ549" s="40"/>
      <c r="DA549" s="11"/>
      <c r="DB549" s="11"/>
      <c r="DC549" s="11"/>
      <c r="DD549" s="11"/>
      <c r="DE549" s="11"/>
      <c r="DF549" s="11"/>
      <c r="DG549" s="11"/>
    </row>
    <row r="550" ht="15.75" customHeight="1">
      <c r="A550" s="41"/>
      <c r="B550" s="11"/>
      <c r="C550" s="11"/>
      <c r="D550" s="11"/>
      <c r="E550" s="11"/>
      <c r="F550" s="11"/>
      <c r="G550" s="11"/>
      <c r="H550" s="11"/>
      <c r="I550" s="41"/>
      <c r="J550" s="11"/>
      <c r="K550" s="11"/>
      <c r="L550" s="11"/>
      <c r="M550" s="11"/>
      <c r="N550" s="11"/>
      <c r="O550" s="11"/>
      <c r="P550" s="11"/>
      <c r="Q550" s="41"/>
      <c r="R550" s="11"/>
      <c r="S550" s="11"/>
      <c r="T550" s="11"/>
      <c r="U550" s="11"/>
      <c r="V550" s="11"/>
      <c r="W550" s="11"/>
      <c r="X550" s="11"/>
      <c r="Y550" s="4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40"/>
      <c r="CQ550" s="40"/>
      <c r="CR550" s="40"/>
      <c r="CS550" s="40"/>
      <c r="CT550" s="40"/>
      <c r="CU550" s="40"/>
      <c r="CV550" s="40"/>
      <c r="CW550" s="40"/>
      <c r="CX550" s="40"/>
      <c r="CY550" s="40"/>
      <c r="CZ550" s="40"/>
      <c r="DA550" s="11"/>
      <c r="DB550" s="11"/>
      <c r="DC550" s="11"/>
      <c r="DD550" s="11"/>
      <c r="DE550" s="11"/>
      <c r="DF550" s="11"/>
      <c r="DG550" s="11"/>
    </row>
    <row r="551" ht="15.75" customHeight="1">
      <c r="A551" s="41"/>
      <c r="B551" s="11"/>
      <c r="C551" s="11"/>
      <c r="D551" s="11"/>
      <c r="E551" s="11"/>
      <c r="F551" s="11"/>
      <c r="G551" s="11"/>
      <c r="H551" s="11"/>
      <c r="I551" s="41"/>
      <c r="J551" s="11"/>
      <c r="K551" s="11"/>
      <c r="L551" s="11"/>
      <c r="M551" s="11"/>
      <c r="N551" s="11"/>
      <c r="O551" s="11"/>
      <c r="P551" s="11"/>
      <c r="Q551" s="41"/>
      <c r="R551" s="11"/>
      <c r="S551" s="11"/>
      <c r="T551" s="11"/>
      <c r="U551" s="11"/>
      <c r="V551" s="11"/>
      <c r="W551" s="11"/>
      <c r="X551" s="11"/>
      <c r="Y551" s="4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  <c r="CD551" s="11"/>
      <c r="CE551" s="11"/>
      <c r="CF551" s="11"/>
      <c r="CG551" s="11"/>
      <c r="CH551" s="11"/>
      <c r="CI551" s="11"/>
      <c r="CJ551" s="11"/>
      <c r="CK551" s="11"/>
      <c r="CL551" s="11"/>
      <c r="CM551" s="11"/>
      <c r="CN551" s="11"/>
      <c r="CO551" s="11"/>
      <c r="CP551" s="40"/>
      <c r="CQ551" s="40"/>
      <c r="CR551" s="40"/>
      <c r="CS551" s="40"/>
      <c r="CT551" s="40"/>
      <c r="CU551" s="40"/>
      <c r="CV551" s="40"/>
      <c r="CW551" s="40"/>
      <c r="CX551" s="40"/>
      <c r="CY551" s="40"/>
      <c r="CZ551" s="40"/>
      <c r="DA551" s="11"/>
      <c r="DB551" s="11"/>
      <c r="DC551" s="11"/>
      <c r="DD551" s="11"/>
      <c r="DE551" s="11"/>
      <c r="DF551" s="11"/>
      <c r="DG551" s="11"/>
    </row>
    <row r="552" ht="15.75" customHeight="1">
      <c r="A552" s="41"/>
      <c r="B552" s="11"/>
      <c r="C552" s="11"/>
      <c r="D552" s="11"/>
      <c r="E552" s="11"/>
      <c r="F552" s="11"/>
      <c r="G552" s="11"/>
      <c r="H552" s="11"/>
      <c r="I552" s="41"/>
      <c r="J552" s="11"/>
      <c r="K552" s="11"/>
      <c r="L552" s="11"/>
      <c r="M552" s="11"/>
      <c r="N552" s="11"/>
      <c r="O552" s="11"/>
      <c r="P552" s="11"/>
      <c r="Q552" s="41"/>
      <c r="R552" s="11"/>
      <c r="S552" s="11"/>
      <c r="T552" s="11"/>
      <c r="U552" s="11"/>
      <c r="V552" s="11"/>
      <c r="W552" s="11"/>
      <c r="X552" s="11"/>
      <c r="Y552" s="4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CH552" s="11"/>
      <c r="CI552" s="11"/>
      <c r="CJ552" s="11"/>
      <c r="CK552" s="11"/>
      <c r="CL552" s="11"/>
      <c r="CM552" s="11"/>
      <c r="CN552" s="11"/>
      <c r="CO552" s="11"/>
      <c r="CP552" s="40"/>
      <c r="CQ552" s="40"/>
      <c r="CR552" s="40"/>
      <c r="CS552" s="40"/>
      <c r="CT552" s="40"/>
      <c r="CU552" s="40"/>
      <c r="CV552" s="40"/>
      <c r="CW552" s="40"/>
      <c r="CX552" s="40"/>
      <c r="CY552" s="40"/>
      <c r="CZ552" s="40"/>
      <c r="DA552" s="11"/>
      <c r="DB552" s="11"/>
      <c r="DC552" s="11"/>
      <c r="DD552" s="11"/>
      <c r="DE552" s="11"/>
      <c r="DF552" s="11"/>
      <c r="DG552" s="11"/>
    </row>
    <row r="553" ht="15.75" customHeight="1">
      <c r="A553" s="41"/>
      <c r="B553" s="11"/>
      <c r="C553" s="11"/>
      <c r="D553" s="11"/>
      <c r="E553" s="11"/>
      <c r="F553" s="11"/>
      <c r="G553" s="11"/>
      <c r="H553" s="11"/>
      <c r="I553" s="41"/>
      <c r="J553" s="11"/>
      <c r="K553" s="11"/>
      <c r="L553" s="11"/>
      <c r="M553" s="11"/>
      <c r="N553" s="11"/>
      <c r="O553" s="11"/>
      <c r="P553" s="11"/>
      <c r="Q553" s="41"/>
      <c r="R553" s="11"/>
      <c r="S553" s="11"/>
      <c r="T553" s="11"/>
      <c r="U553" s="11"/>
      <c r="V553" s="11"/>
      <c r="W553" s="11"/>
      <c r="X553" s="11"/>
      <c r="Y553" s="4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  <c r="CD553" s="11"/>
      <c r="CE553" s="11"/>
      <c r="CF553" s="11"/>
      <c r="CG553" s="11"/>
      <c r="CH553" s="11"/>
      <c r="CI553" s="11"/>
      <c r="CJ553" s="11"/>
      <c r="CK553" s="11"/>
      <c r="CL553" s="11"/>
      <c r="CM553" s="11"/>
      <c r="CN553" s="11"/>
      <c r="CO553" s="11"/>
      <c r="CP553" s="40"/>
      <c r="CQ553" s="40"/>
      <c r="CR553" s="40"/>
      <c r="CS553" s="40"/>
      <c r="CT553" s="40"/>
      <c r="CU553" s="40"/>
      <c r="CV553" s="40"/>
      <c r="CW553" s="40"/>
      <c r="CX553" s="40"/>
      <c r="CY553" s="40"/>
      <c r="CZ553" s="40"/>
      <c r="DA553" s="11"/>
      <c r="DB553" s="11"/>
      <c r="DC553" s="11"/>
      <c r="DD553" s="11"/>
      <c r="DE553" s="11"/>
      <c r="DF553" s="11"/>
      <c r="DG553" s="11"/>
    </row>
    <row r="554" ht="15.75" customHeight="1">
      <c r="A554" s="41"/>
      <c r="B554" s="11"/>
      <c r="C554" s="11"/>
      <c r="D554" s="11"/>
      <c r="E554" s="11"/>
      <c r="F554" s="11"/>
      <c r="G554" s="11"/>
      <c r="H554" s="11"/>
      <c r="I554" s="41"/>
      <c r="J554" s="11"/>
      <c r="K554" s="11"/>
      <c r="L554" s="11"/>
      <c r="M554" s="11"/>
      <c r="N554" s="11"/>
      <c r="O554" s="11"/>
      <c r="P554" s="11"/>
      <c r="Q554" s="41"/>
      <c r="R554" s="11"/>
      <c r="S554" s="11"/>
      <c r="T554" s="11"/>
      <c r="U554" s="11"/>
      <c r="V554" s="11"/>
      <c r="W554" s="11"/>
      <c r="X554" s="11"/>
      <c r="Y554" s="4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  <c r="CD554" s="11"/>
      <c r="CE554" s="11"/>
      <c r="CF554" s="11"/>
      <c r="CG554" s="11"/>
      <c r="CH554" s="11"/>
      <c r="CI554" s="11"/>
      <c r="CJ554" s="11"/>
      <c r="CK554" s="11"/>
      <c r="CL554" s="11"/>
      <c r="CM554" s="11"/>
      <c r="CN554" s="11"/>
      <c r="CO554" s="11"/>
      <c r="CP554" s="40"/>
      <c r="CQ554" s="40"/>
      <c r="CR554" s="40"/>
      <c r="CS554" s="40"/>
      <c r="CT554" s="40"/>
      <c r="CU554" s="40"/>
      <c r="CV554" s="40"/>
      <c r="CW554" s="40"/>
      <c r="CX554" s="40"/>
      <c r="CY554" s="40"/>
      <c r="CZ554" s="40"/>
      <c r="DA554" s="11"/>
      <c r="DB554" s="11"/>
      <c r="DC554" s="11"/>
      <c r="DD554" s="11"/>
      <c r="DE554" s="11"/>
      <c r="DF554" s="11"/>
      <c r="DG554" s="11"/>
    </row>
    <row r="555" ht="15.75" customHeight="1">
      <c r="A555" s="41"/>
      <c r="B555" s="11"/>
      <c r="C555" s="11"/>
      <c r="D555" s="11"/>
      <c r="E555" s="11"/>
      <c r="F555" s="11"/>
      <c r="G555" s="11"/>
      <c r="H555" s="11"/>
      <c r="I555" s="41"/>
      <c r="J555" s="11"/>
      <c r="K555" s="11"/>
      <c r="L555" s="11"/>
      <c r="M555" s="11"/>
      <c r="N555" s="11"/>
      <c r="O555" s="11"/>
      <c r="P555" s="11"/>
      <c r="Q555" s="41"/>
      <c r="R555" s="11"/>
      <c r="S555" s="11"/>
      <c r="T555" s="11"/>
      <c r="U555" s="11"/>
      <c r="V555" s="11"/>
      <c r="W555" s="11"/>
      <c r="X555" s="11"/>
      <c r="Y555" s="4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  <c r="CD555" s="11"/>
      <c r="CE555" s="11"/>
      <c r="CF555" s="11"/>
      <c r="CG555" s="11"/>
      <c r="CH555" s="11"/>
      <c r="CI555" s="11"/>
      <c r="CJ555" s="11"/>
      <c r="CK555" s="11"/>
      <c r="CL555" s="11"/>
      <c r="CM555" s="11"/>
      <c r="CN555" s="11"/>
      <c r="CO555" s="11"/>
      <c r="CP555" s="40"/>
      <c r="CQ555" s="40"/>
      <c r="CR555" s="40"/>
      <c r="CS555" s="40"/>
      <c r="CT555" s="40"/>
      <c r="CU555" s="40"/>
      <c r="CV555" s="40"/>
      <c r="CW555" s="40"/>
      <c r="CX555" s="40"/>
      <c r="CY555" s="40"/>
      <c r="CZ555" s="40"/>
      <c r="DA555" s="11"/>
      <c r="DB555" s="11"/>
      <c r="DC555" s="11"/>
      <c r="DD555" s="11"/>
      <c r="DE555" s="11"/>
      <c r="DF555" s="11"/>
      <c r="DG555" s="11"/>
    </row>
    <row r="556" ht="15.75" customHeight="1">
      <c r="A556" s="41"/>
      <c r="B556" s="11"/>
      <c r="C556" s="11"/>
      <c r="D556" s="11"/>
      <c r="E556" s="11"/>
      <c r="F556" s="11"/>
      <c r="G556" s="11"/>
      <c r="H556" s="11"/>
      <c r="I556" s="41"/>
      <c r="J556" s="11"/>
      <c r="K556" s="11"/>
      <c r="L556" s="11"/>
      <c r="M556" s="11"/>
      <c r="N556" s="11"/>
      <c r="O556" s="11"/>
      <c r="P556" s="11"/>
      <c r="Q556" s="41"/>
      <c r="R556" s="11"/>
      <c r="S556" s="11"/>
      <c r="T556" s="11"/>
      <c r="U556" s="11"/>
      <c r="V556" s="11"/>
      <c r="W556" s="11"/>
      <c r="X556" s="11"/>
      <c r="Y556" s="4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40"/>
      <c r="CQ556" s="40"/>
      <c r="CR556" s="40"/>
      <c r="CS556" s="40"/>
      <c r="CT556" s="40"/>
      <c r="CU556" s="40"/>
      <c r="CV556" s="40"/>
      <c r="CW556" s="40"/>
      <c r="CX556" s="40"/>
      <c r="CY556" s="40"/>
      <c r="CZ556" s="40"/>
      <c r="DA556" s="11"/>
      <c r="DB556" s="11"/>
      <c r="DC556" s="11"/>
      <c r="DD556" s="11"/>
      <c r="DE556" s="11"/>
      <c r="DF556" s="11"/>
      <c r="DG556" s="11"/>
    </row>
    <row r="557" ht="15.75" customHeight="1">
      <c r="A557" s="41"/>
      <c r="B557" s="11"/>
      <c r="C557" s="11"/>
      <c r="D557" s="11"/>
      <c r="E557" s="11"/>
      <c r="F557" s="11"/>
      <c r="G557" s="11"/>
      <c r="H557" s="11"/>
      <c r="I557" s="41"/>
      <c r="J557" s="11"/>
      <c r="K557" s="11"/>
      <c r="L557" s="11"/>
      <c r="M557" s="11"/>
      <c r="N557" s="11"/>
      <c r="O557" s="11"/>
      <c r="P557" s="11"/>
      <c r="Q557" s="41"/>
      <c r="R557" s="11"/>
      <c r="S557" s="11"/>
      <c r="T557" s="11"/>
      <c r="U557" s="11"/>
      <c r="V557" s="11"/>
      <c r="W557" s="11"/>
      <c r="X557" s="11"/>
      <c r="Y557" s="4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40"/>
      <c r="CQ557" s="40"/>
      <c r="CR557" s="40"/>
      <c r="CS557" s="40"/>
      <c r="CT557" s="40"/>
      <c r="CU557" s="40"/>
      <c r="CV557" s="40"/>
      <c r="CW557" s="40"/>
      <c r="CX557" s="40"/>
      <c r="CY557" s="40"/>
      <c r="CZ557" s="40"/>
      <c r="DA557" s="11"/>
      <c r="DB557" s="11"/>
      <c r="DC557" s="11"/>
      <c r="DD557" s="11"/>
      <c r="DE557" s="11"/>
      <c r="DF557" s="11"/>
      <c r="DG557" s="11"/>
    </row>
    <row r="558" ht="15.75" customHeight="1">
      <c r="A558" s="41"/>
      <c r="B558" s="11"/>
      <c r="C558" s="11"/>
      <c r="D558" s="11"/>
      <c r="E558" s="11"/>
      <c r="F558" s="11"/>
      <c r="G558" s="11"/>
      <c r="H558" s="11"/>
      <c r="I558" s="41"/>
      <c r="J558" s="11"/>
      <c r="K558" s="11"/>
      <c r="L558" s="11"/>
      <c r="M558" s="11"/>
      <c r="N558" s="11"/>
      <c r="O558" s="11"/>
      <c r="P558" s="11"/>
      <c r="Q558" s="41"/>
      <c r="R558" s="11"/>
      <c r="S558" s="11"/>
      <c r="T558" s="11"/>
      <c r="U558" s="11"/>
      <c r="V558" s="11"/>
      <c r="W558" s="11"/>
      <c r="X558" s="11"/>
      <c r="Y558" s="4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40"/>
      <c r="CQ558" s="40"/>
      <c r="CR558" s="40"/>
      <c r="CS558" s="40"/>
      <c r="CT558" s="40"/>
      <c r="CU558" s="40"/>
      <c r="CV558" s="40"/>
      <c r="CW558" s="40"/>
      <c r="CX558" s="40"/>
      <c r="CY558" s="40"/>
      <c r="CZ558" s="40"/>
      <c r="DA558" s="11"/>
      <c r="DB558" s="11"/>
      <c r="DC558" s="11"/>
      <c r="DD558" s="11"/>
      <c r="DE558" s="11"/>
      <c r="DF558" s="11"/>
      <c r="DG558" s="11"/>
    </row>
    <row r="559" ht="15.75" customHeight="1">
      <c r="A559" s="41"/>
      <c r="B559" s="11"/>
      <c r="C559" s="11"/>
      <c r="D559" s="11"/>
      <c r="E559" s="11"/>
      <c r="F559" s="11"/>
      <c r="G559" s="11"/>
      <c r="H559" s="11"/>
      <c r="I559" s="41"/>
      <c r="J559" s="11"/>
      <c r="K559" s="11"/>
      <c r="L559" s="11"/>
      <c r="M559" s="11"/>
      <c r="N559" s="11"/>
      <c r="O559" s="11"/>
      <c r="P559" s="11"/>
      <c r="Q559" s="41"/>
      <c r="R559" s="11"/>
      <c r="S559" s="11"/>
      <c r="T559" s="11"/>
      <c r="U559" s="11"/>
      <c r="V559" s="11"/>
      <c r="W559" s="11"/>
      <c r="X559" s="11"/>
      <c r="Y559" s="4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/>
      <c r="CG559" s="11"/>
      <c r="CH559" s="11"/>
      <c r="CI559" s="11"/>
      <c r="CJ559" s="11"/>
      <c r="CK559" s="11"/>
      <c r="CL559" s="11"/>
      <c r="CM559" s="11"/>
      <c r="CN559" s="11"/>
      <c r="CO559" s="11"/>
      <c r="CP559" s="40"/>
      <c r="CQ559" s="40"/>
      <c r="CR559" s="40"/>
      <c r="CS559" s="40"/>
      <c r="CT559" s="40"/>
      <c r="CU559" s="40"/>
      <c r="CV559" s="40"/>
      <c r="CW559" s="40"/>
      <c r="CX559" s="40"/>
      <c r="CY559" s="40"/>
      <c r="CZ559" s="40"/>
      <c r="DA559" s="11"/>
      <c r="DB559" s="11"/>
      <c r="DC559" s="11"/>
      <c r="DD559" s="11"/>
      <c r="DE559" s="11"/>
      <c r="DF559" s="11"/>
      <c r="DG559" s="11"/>
    </row>
    <row r="560" ht="15.75" customHeight="1">
      <c r="A560" s="41"/>
      <c r="B560" s="11"/>
      <c r="C560" s="11"/>
      <c r="D560" s="11"/>
      <c r="E560" s="11"/>
      <c r="F560" s="11"/>
      <c r="G560" s="11"/>
      <c r="H560" s="11"/>
      <c r="I560" s="41"/>
      <c r="J560" s="11"/>
      <c r="K560" s="11"/>
      <c r="L560" s="11"/>
      <c r="M560" s="11"/>
      <c r="N560" s="11"/>
      <c r="O560" s="11"/>
      <c r="P560" s="11"/>
      <c r="Q560" s="41"/>
      <c r="R560" s="11"/>
      <c r="S560" s="11"/>
      <c r="T560" s="11"/>
      <c r="U560" s="11"/>
      <c r="V560" s="11"/>
      <c r="W560" s="11"/>
      <c r="X560" s="11"/>
      <c r="Y560" s="4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  <c r="CD560" s="11"/>
      <c r="CE560" s="11"/>
      <c r="CF560" s="11"/>
      <c r="CG560" s="11"/>
      <c r="CH560" s="11"/>
      <c r="CI560" s="11"/>
      <c r="CJ560" s="11"/>
      <c r="CK560" s="11"/>
      <c r="CL560" s="11"/>
      <c r="CM560" s="11"/>
      <c r="CN560" s="11"/>
      <c r="CO560" s="11"/>
      <c r="CP560" s="40"/>
      <c r="CQ560" s="40"/>
      <c r="CR560" s="40"/>
      <c r="CS560" s="40"/>
      <c r="CT560" s="40"/>
      <c r="CU560" s="40"/>
      <c r="CV560" s="40"/>
      <c r="CW560" s="40"/>
      <c r="CX560" s="40"/>
      <c r="CY560" s="40"/>
      <c r="CZ560" s="40"/>
      <c r="DA560" s="11"/>
      <c r="DB560" s="11"/>
      <c r="DC560" s="11"/>
      <c r="DD560" s="11"/>
      <c r="DE560" s="11"/>
      <c r="DF560" s="11"/>
      <c r="DG560" s="11"/>
    </row>
    <row r="561" ht="15.75" customHeight="1">
      <c r="A561" s="41"/>
      <c r="B561" s="11"/>
      <c r="C561" s="11"/>
      <c r="D561" s="11"/>
      <c r="E561" s="11"/>
      <c r="F561" s="11"/>
      <c r="G561" s="11"/>
      <c r="H561" s="11"/>
      <c r="I561" s="41"/>
      <c r="J561" s="11"/>
      <c r="K561" s="11"/>
      <c r="L561" s="11"/>
      <c r="M561" s="11"/>
      <c r="N561" s="11"/>
      <c r="O561" s="11"/>
      <c r="P561" s="11"/>
      <c r="Q561" s="41"/>
      <c r="R561" s="11"/>
      <c r="S561" s="11"/>
      <c r="T561" s="11"/>
      <c r="U561" s="11"/>
      <c r="V561" s="11"/>
      <c r="W561" s="11"/>
      <c r="X561" s="11"/>
      <c r="Y561" s="4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  <c r="CD561" s="11"/>
      <c r="CE561" s="11"/>
      <c r="CF561" s="11"/>
      <c r="CG561" s="11"/>
      <c r="CH561" s="11"/>
      <c r="CI561" s="11"/>
      <c r="CJ561" s="11"/>
      <c r="CK561" s="11"/>
      <c r="CL561" s="11"/>
      <c r="CM561" s="11"/>
      <c r="CN561" s="11"/>
      <c r="CO561" s="11"/>
      <c r="CP561" s="40"/>
      <c r="CQ561" s="40"/>
      <c r="CR561" s="40"/>
      <c r="CS561" s="40"/>
      <c r="CT561" s="40"/>
      <c r="CU561" s="40"/>
      <c r="CV561" s="40"/>
      <c r="CW561" s="40"/>
      <c r="CX561" s="40"/>
      <c r="CY561" s="40"/>
      <c r="CZ561" s="40"/>
      <c r="DA561" s="11"/>
      <c r="DB561" s="11"/>
      <c r="DC561" s="11"/>
      <c r="DD561" s="11"/>
      <c r="DE561" s="11"/>
      <c r="DF561" s="11"/>
      <c r="DG561" s="11"/>
    </row>
    <row r="562" ht="15.75" customHeight="1">
      <c r="A562" s="41"/>
      <c r="B562" s="11"/>
      <c r="C562" s="11"/>
      <c r="D562" s="11"/>
      <c r="E562" s="11"/>
      <c r="F562" s="11"/>
      <c r="G562" s="11"/>
      <c r="H562" s="11"/>
      <c r="I562" s="41"/>
      <c r="J562" s="11"/>
      <c r="K562" s="11"/>
      <c r="L562" s="11"/>
      <c r="M562" s="11"/>
      <c r="N562" s="11"/>
      <c r="O562" s="11"/>
      <c r="P562" s="11"/>
      <c r="Q562" s="41"/>
      <c r="R562" s="11"/>
      <c r="S562" s="11"/>
      <c r="T562" s="11"/>
      <c r="U562" s="11"/>
      <c r="V562" s="11"/>
      <c r="W562" s="11"/>
      <c r="X562" s="11"/>
      <c r="Y562" s="4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  <c r="CD562" s="11"/>
      <c r="CE562" s="11"/>
      <c r="CF562" s="11"/>
      <c r="CG562" s="11"/>
      <c r="CH562" s="11"/>
      <c r="CI562" s="11"/>
      <c r="CJ562" s="11"/>
      <c r="CK562" s="11"/>
      <c r="CL562" s="11"/>
      <c r="CM562" s="11"/>
      <c r="CN562" s="11"/>
      <c r="CO562" s="11"/>
      <c r="CP562" s="40"/>
      <c r="CQ562" s="40"/>
      <c r="CR562" s="40"/>
      <c r="CS562" s="40"/>
      <c r="CT562" s="40"/>
      <c r="CU562" s="40"/>
      <c r="CV562" s="40"/>
      <c r="CW562" s="40"/>
      <c r="CX562" s="40"/>
      <c r="CY562" s="40"/>
      <c r="CZ562" s="40"/>
      <c r="DA562" s="11"/>
      <c r="DB562" s="11"/>
      <c r="DC562" s="11"/>
      <c r="DD562" s="11"/>
      <c r="DE562" s="11"/>
      <c r="DF562" s="11"/>
      <c r="DG562" s="11"/>
    </row>
    <row r="563" ht="15.75" customHeight="1">
      <c r="A563" s="41"/>
      <c r="B563" s="11"/>
      <c r="C563" s="11"/>
      <c r="D563" s="11"/>
      <c r="E563" s="11"/>
      <c r="F563" s="11"/>
      <c r="G563" s="11"/>
      <c r="H563" s="11"/>
      <c r="I563" s="41"/>
      <c r="J563" s="11"/>
      <c r="K563" s="11"/>
      <c r="L563" s="11"/>
      <c r="M563" s="11"/>
      <c r="N563" s="11"/>
      <c r="O563" s="11"/>
      <c r="P563" s="11"/>
      <c r="Q563" s="41"/>
      <c r="R563" s="11"/>
      <c r="S563" s="11"/>
      <c r="T563" s="11"/>
      <c r="U563" s="11"/>
      <c r="V563" s="11"/>
      <c r="W563" s="11"/>
      <c r="X563" s="11"/>
      <c r="Y563" s="4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  <c r="CH563" s="11"/>
      <c r="CI563" s="11"/>
      <c r="CJ563" s="11"/>
      <c r="CK563" s="11"/>
      <c r="CL563" s="11"/>
      <c r="CM563" s="11"/>
      <c r="CN563" s="11"/>
      <c r="CO563" s="11"/>
      <c r="CP563" s="40"/>
      <c r="CQ563" s="40"/>
      <c r="CR563" s="40"/>
      <c r="CS563" s="40"/>
      <c r="CT563" s="40"/>
      <c r="CU563" s="40"/>
      <c r="CV563" s="40"/>
      <c r="CW563" s="40"/>
      <c r="CX563" s="40"/>
      <c r="CY563" s="40"/>
      <c r="CZ563" s="40"/>
      <c r="DA563" s="11"/>
      <c r="DB563" s="11"/>
      <c r="DC563" s="11"/>
      <c r="DD563" s="11"/>
      <c r="DE563" s="11"/>
      <c r="DF563" s="11"/>
      <c r="DG563" s="11"/>
    </row>
    <row r="564" ht="15.75" customHeight="1">
      <c r="A564" s="41"/>
      <c r="B564" s="11"/>
      <c r="C564" s="11"/>
      <c r="D564" s="11"/>
      <c r="E564" s="11"/>
      <c r="F564" s="11"/>
      <c r="G564" s="11"/>
      <c r="H564" s="11"/>
      <c r="I564" s="41"/>
      <c r="J564" s="11"/>
      <c r="K564" s="11"/>
      <c r="L564" s="11"/>
      <c r="M564" s="11"/>
      <c r="N564" s="11"/>
      <c r="O564" s="11"/>
      <c r="P564" s="11"/>
      <c r="Q564" s="41"/>
      <c r="R564" s="11"/>
      <c r="S564" s="11"/>
      <c r="T564" s="11"/>
      <c r="U564" s="11"/>
      <c r="V564" s="11"/>
      <c r="W564" s="11"/>
      <c r="X564" s="11"/>
      <c r="Y564" s="4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  <c r="CD564" s="11"/>
      <c r="CE564" s="11"/>
      <c r="CF564" s="11"/>
      <c r="CG564" s="11"/>
      <c r="CH564" s="11"/>
      <c r="CI564" s="11"/>
      <c r="CJ564" s="11"/>
      <c r="CK564" s="11"/>
      <c r="CL564" s="11"/>
      <c r="CM564" s="11"/>
      <c r="CN564" s="11"/>
      <c r="CO564" s="11"/>
      <c r="CP564" s="40"/>
      <c r="CQ564" s="40"/>
      <c r="CR564" s="40"/>
      <c r="CS564" s="40"/>
      <c r="CT564" s="40"/>
      <c r="CU564" s="40"/>
      <c r="CV564" s="40"/>
      <c r="CW564" s="40"/>
      <c r="CX564" s="40"/>
      <c r="CY564" s="40"/>
      <c r="CZ564" s="40"/>
      <c r="DA564" s="11"/>
      <c r="DB564" s="11"/>
      <c r="DC564" s="11"/>
      <c r="DD564" s="11"/>
      <c r="DE564" s="11"/>
      <c r="DF564" s="11"/>
      <c r="DG564" s="11"/>
    </row>
    <row r="565" ht="15.75" customHeight="1">
      <c r="A565" s="41"/>
      <c r="B565" s="11"/>
      <c r="C565" s="11"/>
      <c r="D565" s="11"/>
      <c r="E565" s="11"/>
      <c r="F565" s="11"/>
      <c r="G565" s="11"/>
      <c r="H565" s="11"/>
      <c r="I565" s="41"/>
      <c r="J565" s="11"/>
      <c r="K565" s="11"/>
      <c r="L565" s="11"/>
      <c r="M565" s="11"/>
      <c r="N565" s="11"/>
      <c r="O565" s="11"/>
      <c r="P565" s="11"/>
      <c r="Q565" s="41"/>
      <c r="R565" s="11"/>
      <c r="S565" s="11"/>
      <c r="T565" s="11"/>
      <c r="U565" s="11"/>
      <c r="V565" s="11"/>
      <c r="W565" s="11"/>
      <c r="X565" s="11"/>
      <c r="Y565" s="4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  <c r="CD565" s="11"/>
      <c r="CE565" s="11"/>
      <c r="CF565" s="11"/>
      <c r="CG565" s="11"/>
      <c r="CH565" s="11"/>
      <c r="CI565" s="11"/>
      <c r="CJ565" s="11"/>
      <c r="CK565" s="11"/>
      <c r="CL565" s="11"/>
      <c r="CM565" s="11"/>
      <c r="CN565" s="11"/>
      <c r="CO565" s="11"/>
      <c r="CP565" s="40"/>
      <c r="CQ565" s="40"/>
      <c r="CR565" s="40"/>
      <c r="CS565" s="40"/>
      <c r="CT565" s="40"/>
      <c r="CU565" s="40"/>
      <c r="CV565" s="40"/>
      <c r="CW565" s="40"/>
      <c r="CX565" s="40"/>
      <c r="CY565" s="40"/>
      <c r="CZ565" s="40"/>
      <c r="DA565" s="11"/>
      <c r="DB565" s="11"/>
      <c r="DC565" s="11"/>
      <c r="DD565" s="11"/>
      <c r="DE565" s="11"/>
      <c r="DF565" s="11"/>
      <c r="DG565" s="11"/>
    </row>
    <row r="566" ht="15.75" customHeight="1">
      <c r="A566" s="41"/>
      <c r="B566" s="11"/>
      <c r="C566" s="11"/>
      <c r="D566" s="11"/>
      <c r="E566" s="11"/>
      <c r="F566" s="11"/>
      <c r="G566" s="11"/>
      <c r="H566" s="11"/>
      <c r="I566" s="41"/>
      <c r="J566" s="11"/>
      <c r="K566" s="11"/>
      <c r="L566" s="11"/>
      <c r="M566" s="11"/>
      <c r="N566" s="11"/>
      <c r="O566" s="11"/>
      <c r="P566" s="11"/>
      <c r="Q566" s="41"/>
      <c r="R566" s="11"/>
      <c r="S566" s="11"/>
      <c r="T566" s="11"/>
      <c r="U566" s="11"/>
      <c r="V566" s="11"/>
      <c r="W566" s="11"/>
      <c r="X566" s="11"/>
      <c r="Y566" s="4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  <c r="CD566" s="11"/>
      <c r="CE566" s="11"/>
      <c r="CF566" s="11"/>
      <c r="CG566" s="11"/>
      <c r="CH566" s="11"/>
      <c r="CI566" s="11"/>
      <c r="CJ566" s="11"/>
      <c r="CK566" s="11"/>
      <c r="CL566" s="11"/>
      <c r="CM566" s="11"/>
      <c r="CN566" s="11"/>
      <c r="CO566" s="11"/>
      <c r="CP566" s="40"/>
      <c r="CQ566" s="40"/>
      <c r="CR566" s="40"/>
      <c r="CS566" s="40"/>
      <c r="CT566" s="40"/>
      <c r="CU566" s="40"/>
      <c r="CV566" s="40"/>
      <c r="CW566" s="40"/>
      <c r="CX566" s="40"/>
      <c r="CY566" s="40"/>
      <c r="CZ566" s="40"/>
      <c r="DA566" s="11"/>
      <c r="DB566" s="11"/>
      <c r="DC566" s="11"/>
      <c r="DD566" s="11"/>
      <c r="DE566" s="11"/>
      <c r="DF566" s="11"/>
      <c r="DG566" s="11"/>
    </row>
    <row r="567" ht="15.75" customHeight="1">
      <c r="A567" s="41"/>
      <c r="B567" s="11"/>
      <c r="C567" s="11"/>
      <c r="D567" s="11"/>
      <c r="E567" s="11"/>
      <c r="F567" s="11"/>
      <c r="G567" s="11"/>
      <c r="H567" s="11"/>
      <c r="I567" s="41"/>
      <c r="J567" s="11"/>
      <c r="K567" s="11"/>
      <c r="L567" s="11"/>
      <c r="M567" s="11"/>
      <c r="N567" s="11"/>
      <c r="O567" s="11"/>
      <c r="P567" s="11"/>
      <c r="Q567" s="41"/>
      <c r="R567" s="11"/>
      <c r="S567" s="11"/>
      <c r="T567" s="11"/>
      <c r="U567" s="11"/>
      <c r="V567" s="11"/>
      <c r="W567" s="11"/>
      <c r="X567" s="11"/>
      <c r="Y567" s="4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  <c r="CD567" s="11"/>
      <c r="CE567" s="11"/>
      <c r="CF567" s="11"/>
      <c r="CG567" s="11"/>
      <c r="CH567" s="11"/>
      <c r="CI567" s="11"/>
      <c r="CJ567" s="11"/>
      <c r="CK567" s="11"/>
      <c r="CL567" s="11"/>
      <c r="CM567" s="11"/>
      <c r="CN567" s="11"/>
      <c r="CO567" s="11"/>
      <c r="CP567" s="40"/>
      <c r="CQ567" s="40"/>
      <c r="CR567" s="40"/>
      <c r="CS567" s="40"/>
      <c r="CT567" s="40"/>
      <c r="CU567" s="40"/>
      <c r="CV567" s="40"/>
      <c r="CW567" s="40"/>
      <c r="CX567" s="40"/>
      <c r="CY567" s="40"/>
      <c r="CZ567" s="40"/>
      <c r="DA567" s="11"/>
      <c r="DB567" s="11"/>
      <c r="DC567" s="11"/>
      <c r="DD567" s="11"/>
      <c r="DE567" s="11"/>
      <c r="DF567" s="11"/>
      <c r="DG567" s="11"/>
    </row>
    <row r="568" ht="15.75" customHeight="1">
      <c r="A568" s="41"/>
      <c r="B568" s="11"/>
      <c r="C568" s="11"/>
      <c r="D568" s="11"/>
      <c r="E568" s="11"/>
      <c r="F568" s="11"/>
      <c r="G568" s="11"/>
      <c r="H568" s="11"/>
      <c r="I568" s="41"/>
      <c r="J568" s="11"/>
      <c r="K568" s="11"/>
      <c r="L568" s="11"/>
      <c r="M568" s="11"/>
      <c r="N568" s="11"/>
      <c r="O568" s="11"/>
      <c r="P568" s="11"/>
      <c r="Q568" s="41"/>
      <c r="R568" s="11"/>
      <c r="S568" s="11"/>
      <c r="T568" s="11"/>
      <c r="U568" s="11"/>
      <c r="V568" s="11"/>
      <c r="W568" s="11"/>
      <c r="X568" s="11"/>
      <c r="Y568" s="4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  <c r="CD568" s="11"/>
      <c r="CE568" s="11"/>
      <c r="CF568" s="11"/>
      <c r="CG568" s="11"/>
      <c r="CH568" s="11"/>
      <c r="CI568" s="11"/>
      <c r="CJ568" s="11"/>
      <c r="CK568" s="11"/>
      <c r="CL568" s="11"/>
      <c r="CM568" s="11"/>
      <c r="CN568" s="11"/>
      <c r="CO568" s="11"/>
      <c r="CP568" s="40"/>
      <c r="CQ568" s="40"/>
      <c r="CR568" s="40"/>
      <c r="CS568" s="40"/>
      <c r="CT568" s="40"/>
      <c r="CU568" s="40"/>
      <c r="CV568" s="40"/>
      <c r="CW568" s="40"/>
      <c r="CX568" s="40"/>
      <c r="CY568" s="40"/>
      <c r="CZ568" s="40"/>
      <c r="DA568" s="11"/>
      <c r="DB568" s="11"/>
      <c r="DC568" s="11"/>
      <c r="DD568" s="11"/>
      <c r="DE568" s="11"/>
      <c r="DF568" s="11"/>
      <c r="DG568" s="11"/>
    </row>
    <row r="569" ht="15.75" customHeight="1">
      <c r="A569" s="41"/>
      <c r="B569" s="11"/>
      <c r="C569" s="11"/>
      <c r="D569" s="11"/>
      <c r="E569" s="11"/>
      <c r="F569" s="11"/>
      <c r="G569" s="11"/>
      <c r="H569" s="11"/>
      <c r="I569" s="41"/>
      <c r="J569" s="11"/>
      <c r="K569" s="11"/>
      <c r="L569" s="11"/>
      <c r="M569" s="11"/>
      <c r="N569" s="11"/>
      <c r="O569" s="11"/>
      <c r="P569" s="11"/>
      <c r="Q569" s="41"/>
      <c r="R569" s="11"/>
      <c r="S569" s="11"/>
      <c r="T569" s="11"/>
      <c r="U569" s="11"/>
      <c r="V569" s="11"/>
      <c r="W569" s="11"/>
      <c r="X569" s="11"/>
      <c r="Y569" s="4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  <c r="CD569" s="11"/>
      <c r="CE569" s="11"/>
      <c r="CF569" s="11"/>
      <c r="CG569" s="11"/>
      <c r="CH569" s="11"/>
      <c r="CI569" s="11"/>
      <c r="CJ569" s="11"/>
      <c r="CK569" s="11"/>
      <c r="CL569" s="11"/>
      <c r="CM569" s="11"/>
      <c r="CN569" s="11"/>
      <c r="CO569" s="11"/>
      <c r="CP569" s="40"/>
      <c r="CQ569" s="40"/>
      <c r="CR569" s="40"/>
      <c r="CS569" s="40"/>
      <c r="CT569" s="40"/>
      <c r="CU569" s="40"/>
      <c r="CV569" s="40"/>
      <c r="CW569" s="40"/>
      <c r="CX569" s="40"/>
      <c r="CY569" s="40"/>
      <c r="CZ569" s="40"/>
      <c r="DA569" s="11"/>
      <c r="DB569" s="11"/>
      <c r="DC569" s="11"/>
      <c r="DD569" s="11"/>
      <c r="DE569" s="11"/>
      <c r="DF569" s="11"/>
      <c r="DG569" s="11"/>
    </row>
    <row r="570" ht="15.75" customHeight="1">
      <c r="A570" s="41"/>
      <c r="B570" s="11"/>
      <c r="C570" s="11"/>
      <c r="D570" s="11"/>
      <c r="E570" s="11"/>
      <c r="F570" s="11"/>
      <c r="G570" s="11"/>
      <c r="H570" s="11"/>
      <c r="I570" s="41"/>
      <c r="J570" s="11"/>
      <c r="K570" s="11"/>
      <c r="L570" s="11"/>
      <c r="M570" s="11"/>
      <c r="N570" s="11"/>
      <c r="O570" s="11"/>
      <c r="P570" s="11"/>
      <c r="Q570" s="41"/>
      <c r="R570" s="11"/>
      <c r="S570" s="11"/>
      <c r="T570" s="11"/>
      <c r="U570" s="11"/>
      <c r="V570" s="11"/>
      <c r="W570" s="11"/>
      <c r="X570" s="11"/>
      <c r="Y570" s="4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  <c r="CD570" s="11"/>
      <c r="CE570" s="11"/>
      <c r="CF570" s="11"/>
      <c r="CG570" s="11"/>
      <c r="CH570" s="11"/>
      <c r="CI570" s="11"/>
      <c r="CJ570" s="11"/>
      <c r="CK570" s="11"/>
      <c r="CL570" s="11"/>
      <c r="CM570" s="11"/>
      <c r="CN570" s="11"/>
      <c r="CO570" s="11"/>
      <c r="CP570" s="40"/>
      <c r="CQ570" s="40"/>
      <c r="CR570" s="40"/>
      <c r="CS570" s="40"/>
      <c r="CT570" s="40"/>
      <c r="CU570" s="40"/>
      <c r="CV570" s="40"/>
      <c r="CW570" s="40"/>
      <c r="CX570" s="40"/>
      <c r="CY570" s="40"/>
      <c r="CZ570" s="40"/>
      <c r="DA570" s="11"/>
      <c r="DB570" s="11"/>
      <c r="DC570" s="11"/>
      <c r="DD570" s="11"/>
      <c r="DE570" s="11"/>
      <c r="DF570" s="11"/>
      <c r="DG570" s="11"/>
    </row>
    <row r="571" ht="15.75" customHeight="1">
      <c r="A571" s="41"/>
      <c r="B571" s="11"/>
      <c r="C571" s="11"/>
      <c r="D571" s="11"/>
      <c r="E571" s="11"/>
      <c r="F571" s="11"/>
      <c r="G571" s="11"/>
      <c r="H571" s="11"/>
      <c r="I571" s="41"/>
      <c r="J571" s="11"/>
      <c r="K571" s="11"/>
      <c r="L571" s="11"/>
      <c r="M571" s="11"/>
      <c r="N571" s="11"/>
      <c r="O571" s="11"/>
      <c r="P571" s="11"/>
      <c r="Q571" s="41"/>
      <c r="R571" s="11"/>
      <c r="S571" s="11"/>
      <c r="T571" s="11"/>
      <c r="U571" s="11"/>
      <c r="V571" s="11"/>
      <c r="W571" s="11"/>
      <c r="X571" s="11"/>
      <c r="Y571" s="4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  <c r="CD571" s="11"/>
      <c r="CE571" s="11"/>
      <c r="CF571" s="11"/>
      <c r="CG571" s="11"/>
      <c r="CH571" s="11"/>
      <c r="CI571" s="11"/>
      <c r="CJ571" s="11"/>
      <c r="CK571" s="11"/>
      <c r="CL571" s="11"/>
      <c r="CM571" s="11"/>
      <c r="CN571" s="11"/>
      <c r="CO571" s="11"/>
      <c r="CP571" s="40"/>
      <c r="CQ571" s="40"/>
      <c r="CR571" s="40"/>
      <c r="CS571" s="40"/>
      <c r="CT571" s="40"/>
      <c r="CU571" s="40"/>
      <c r="CV571" s="40"/>
      <c r="CW571" s="40"/>
      <c r="CX571" s="40"/>
      <c r="CY571" s="40"/>
      <c r="CZ571" s="40"/>
      <c r="DA571" s="11"/>
      <c r="DB571" s="11"/>
      <c r="DC571" s="11"/>
      <c r="DD571" s="11"/>
      <c r="DE571" s="11"/>
      <c r="DF571" s="11"/>
      <c r="DG571" s="11"/>
    </row>
    <row r="572" ht="15.75" customHeight="1">
      <c r="A572" s="41"/>
      <c r="B572" s="11"/>
      <c r="C572" s="11"/>
      <c r="D572" s="11"/>
      <c r="E572" s="11"/>
      <c r="F572" s="11"/>
      <c r="G572" s="11"/>
      <c r="H572" s="11"/>
      <c r="I572" s="41"/>
      <c r="J572" s="11"/>
      <c r="K572" s="11"/>
      <c r="L572" s="11"/>
      <c r="M572" s="11"/>
      <c r="N572" s="11"/>
      <c r="O572" s="11"/>
      <c r="P572" s="11"/>
      <c r="Q572" s="41"/>
      <c r="R572" s="11"/>
      <c r="S572" s="11"/>
      <c r="T572" s="11"/>
      <c r="U572" s="11"/>
      <c r="V572" s="11"/>
      <c r="W572" s="11"/>
      <c r="X572" s="11"/>
      <c r="Y572" s="4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  <c r="CD572" s="11"/>
      <c r="CE572" s="11"/>
      <c r="CF572" s="11"/>
      <c r="CG572" s="11"/>
      <c r="CH572" s="11"/>
      <c r="CI572" s="11"/>
      <c r="CJ572" s="11"/>
      <c r="CK572" s="11"/>
      <c r="CL572" s="11"/>
      <c r="CM572" s="11"/>
      <c r="CN572" s="11"/>
      <c r="CO572" s="11"/>
      <c r="CP572" s="40"/>
      <c r="CQ572" s="40"/>
      <c r="CR572" s="40"/>
      <c r="CS572" s="40"/>
      <c r="CT572" s="40"/>
      <c r="CU572" s="40"/>
      <c r="CV572" s="40"/>
      <c r="CW572" s="40"/>
      <c r="CX572" s="40"/>
      <c r="CY572" s="40"/>
      <c r="CZ572" s="40"/>
      <c r="DA572" s="11"/>
      <c r="DB572" s="11"/>
      <c r="DC572" s="11"/>
      <c r="DD572" s="11"/>
      <c r="DE572" s="11"/>
      <c r="DF572" s="11"/>
      <c r="DG572" s="11"/>
    </row>
    <row r="573" ht="15.75" customHeight="1">
      <c r="A573" s="41"/>
      <c r="B573" s="11"/>
      <c r="C573" s="11"/>
      <c r="D573" s="11"/>
      <c r="E573" s="11"/>
      <c r="F573" s="11"/>
      <c r="G573" s="11"/>
      <c r="H573" s="11"/>
      <c r="I573" s="41"/>
      <c r="J573" s="11"/>
      <c r="K573" s="11"/>
      <c r="L573" s="11"/>
      <c r="M573" s="11"/>
      <c r="N573" s="11"/>
      <c r="O573" s="11"/>
      <c r="P573" s="11"/>
      <c r="Q573" s="41"/>
      <c r="R573" s="11"/>
      <c r="S573" s="11"/>
      <c r="T573" s="11"/>
      <c r="U573" s="11"/>
      <c r="V573" s="11"/>
      <c r="W573" s="11"/>
      <c r="X573" s="11"/>
      <c r="Y573" s="4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  <c r="CD573" s="11"/>
      <c r="CE573" s="11"/>
      <c r="CF573" s="11"/>
      <c r="CG573" s="11"/>
      <c r="CH573" s="11"/>
      <c r="CI573" s="11"/>
      <c r="CJ573" s="11"/>
      <c r="CK573" s="11"/>
      <c r="CL573" s="11"/>
      <c r="CM573" s="11"/>
      <c r="CN573" s="11"/>
      <c r="CO573" s="11"/>
      <c r="CP573" s="40"/>
      <c r="CQ573" s="40"/>
      <c r="CR573" s="40"/>
      <c r="CS573" s="40"/>
      <c r="CT573" s="40"/>
      <c r="CU573" s="40"/>
      <c r="CV573" s="40"/>
      <c r="CW573" s="40"/>
      <c r="CX573" s="40"/>
      <c r="CY573" s="40"/>
      <c r="CZ573" s="40"/>
      <c r="DA573" s="11"/>
      <c r="DB573" s="11"/>
      <c r="DC573" s="11"/>
      <c r="DD573" s="11"/>
      <c r="DE573" s="11"/>
      <c r="DF573" s="11"/>
      <c r="DG573" s="11"/>
    </row>
    <row r="574" ht="15.75" customHeight="1">
      <c r="A574" s="41"/>
      <c r="B574" s="11"/>
      <c r="C574" s="11"/>
      <c r="D574" s="11"/>
      <c r="E574" s="11"/>
      <c r="F574" s="11"/>
      <c r="G574" s="11"/>
      <c r="H574" s="11"/>
      <c r="I574" s="41"/>
      <c r="J574" s="11"/>
      <c r="K574" s="11"/>
      <c r="L574" s="11"/>
      <c r="M574" s="11"/>
      <c r="N574" s="11"/>
      <c r="O574" s="11"/>
      <c r="P574" s="11"/>
      <c r="Q574" s="41"/>
      <c r="R574" s="11"/>
      <c r="S574" s="11"/>
      <c r="T574" s="11"/>
      <c r="U574" s="11"/>
      <c r="V574" s="11"/>
      <c r="W574" s="11"/>
      <c r="X574" s="11"/>
      <c r="Y574" s="4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  <c r="CD574" s="11"/>
      <c r="CE574" s="11"/>
      <c r="CF574" s="11"/>
      <c r="CG574" s="11"/>
      <c r="CH574" s="11"/>
      <c r="CI574" s="11"/>
      <c r="CJ574" s="11"/>
      <c r="CK574" s="11"/>
      <c r="CL574" s="11"/>
      <c r="CM574" s="11"/>
      <c r="CN574" s="11"/>
      <c r="CO574" s="11"/>
      <c r="CP574" s="40"/>
      <c r="CQ574" s="40"/>
      <c r="CR574" s="40"/>
      <c r="CS574" s="40"/>
      <c r="CT574" s="40"/>
      <c r="CU574" s="40"/>
      <c r="CV574" s="40"/>
      <c r="CW574" s="40"/>
      <c r="CX574" s="40"/>
      <c r="CY574" s="40"/>
      <c r="CZ574" s="40"/>
      <c r="DA574" s="11"/>
      <c r="DB574" s="11"/>
      <c r="DC574" s="11"/>
      <c r="DD574" s="11"/>
      <c r="DE574" s="11"/>
      <c r="DF574" s="11"/>
      <c r="DG574" s="11"/>
    </row>
    <row r="575" ht="15.75" customHeight="1">
      <c r="A575" s="41"/>
      <c r="B575" s="11"/>
      <c r="C575" s="11"/>
      <c r="D575" s="11"/>
      <c r="E575" s="11"/>
      <c r="F575" s="11"/>
      <c r="G575" s="11"/>
      <c r="H575" s="11"/>
      <c r="I575" s="41"/>
      <c r="J575" s="11"/>
      <c r="K575" s="11"/>
      <c r="L575" s="11"/>
      <c r="M575" s="11"/>
      <c r="N575" s="11"/>
      <c r="O575" s="11"/>
      <c r="P575" s="11"/>
      <c r="Q575" s="41"/>
      <c r="R575" s="11"/>
      <c r="S575" s="11"/>
      <c r="T575" s="11"/>
      <c r="U575" s="11"/>
      <c r="V575" s="11"/>
      <c r="W575" s="11"/>
      <c r="X575" s="11"/>
      <c r="Y575" s="4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  <c r="CD575" s="11"/>
      <c r="CE575" s="11"/>
      <c r="CF575" s="11"/>
      <c r="CG575" s="11"/>
      <c r="CH575" s="11"/>
      <c r="CI575" s="11"/>
      <c r="CJ575" s="11"/>
      <c r="CK575" s="11"/>
      <c r="CL575" s="11"/>
      <c r="CM575" s="11"/>
      <c r="CN575" s="11"/>
      <c r="CO575" s="11"/>
      <c r="CP575" s="40"/>
      <c r="CQ575" s="40"/>
      <c r="CR575" s="40"/>
      <c r="CS575" s="40"/>
      <c r="CT575" s="40"/>
      <c r="CU575" s="40"/>
      <c r="CV575" s="40"/>
      <c r="CW575" s="40"/>
      <c r="CX575" s="40"/>
      <c r="CY575" s="40"/>
      <c r="CZ575" s="40"/>
      <c r="DA575" s="11"/>
      <c r="DB575" s="11"/>
      <c r="DC575" s="11"/>
      <c r="DD575" s="11"/>
      <c r="DE575" s="11"/>
      <c r="DF575" s="11"/>
      <c r="DG575" s="11"/>
    </row>
    <row r="576" ht="15.75" customHeight="1">
      <c r="A576" s="41"/>
      <c r="B576" s="11"/>
      <c r="C576" s="11"/>
      <c r="D576" s="11"/>
      <c r="E576" s="11"/>
      <c r="F576" s="11"/>
      <c r="G576" s="11"/>
      <c r="H576" s="11"/>
      <c r="I576" s="41"/>
      <c r="J576" s="11"/>
      <c r="K576" s="11"/>
      <c r="L576" s="11"/>
      <c r="M576" s="11"/>
      <c r="N576" s="11"/>
      <c r="O576" s="11"/>
      <c r="P576" s="11"/>
      <c r="Q576" s="41"/>
      <c r="R576" s="11"/>
      <c r="S576" s="11"/>
      <c r="T576" s="11"/>
      <c r="U576" s="11"/>
      <c r="V576" s="11"/>
      <c r="W576" s="11"/>
      <c r="X576" s="11"/>
      <c r="Y576" s="4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  <c r="CD576" s="11"/>
      <c r="CE576" s="11"/>
      <c r="CF576" s="11"/>
      <c r="CG576" s="11"/>
      <c r="CH576" s="11"/>
      <c r="CI576" s="11"/>
      <c r="CJ576" s="11"/>
      <c r="CK576" s="11"/>
      <c r="CL576" s="11"/>
      <c r="CM576" s="11"/>
      <c r="CN576" s="11"/>
      <c r="CO576" s="11"/>
      <c r="CP576" s="40"/>
      <c r="CQ576" s="40"/>
      <c r="CR576" s="40"/>
      <c r="CS576" s="40"/>
      <c r="CT576" s="40"/>
      <c r="CU576" s="40"/>
      <c r="CV576" s="40"/>
      <c r="CW576" s="40"/>
      <c r="CX576" s="40"/>
      <c r="CY576" s="40"/>
      <c r="CZ576" s="40"/>
      <c r="DA576" s="11"/>
      <c r="DB576" s="11"/>
      <c r="DC576" s="11"/>
      <c r="DD576" s="11"/>
      <c r="DE576" s="11"/>
      <c r="DF576" s="11"/>
      <c r="DG576" s="11"/>
    </row>
    <row r="577" ht="15.75" customHeight="1">
      <c r="A577" s="41"/>
      <c r="B577" s="11"/>
      <c r="C577" s="11"/>
      <c r="D577" s="11"/>
      <c r="E577" s="11"/>
      <c r="F577" s="11"/>
      <c r="G577" s="11"/>
      <c r="H577" s="11"/>
      <c r="I577" s="41"/>
      <c r="J577" s="11"/>
      <c r="K577" s="11"/>
      <c r="L577" s="11"/>
      <c r="M577" s="11"/>
      <c r="N577" s="11"/>
      <c r="O577" s="11"/>
      <c r="P577" s="11"/>
      <c r="Q577" s="41"/>
      <c r="R577" s="11"/>
      <c r="S577" s="11"/>
      <c r="T577" s="11"/>
      <c r="U577" s="11"/>
      <c r="V577" s="11"/>
      <c r="W577" s="11"/>
      <c r="X577" s="11"/>
      <c r="Y577" s="4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  <c r="CD577" s="11"/>
      <c r="CE577" s="11"/>
      <c r="CF577" s="11"/>
      <c r="CG577" s="11"/>
      <c r="CH577" s="11"/>
      <c r="CI577" s="11"/>
      <c r="CJ577" s="11"/>
      <c r="CK577" s="11"/>
      <c r="CL577" s="11"/>
      <c r="CM577" s="11"/>
      <c r="CN577" s="11"/>
      <c r="CO577" s="11"/>
      <c r="CP577" s="40"/>
      <c r="CQ577" s="40"/>
      <c r="CR577" s="40"/>
      <c r="CS577" s="40"/>
      <c r="CT577" s="40"/>
      <c r="CU577" s="40"/>
      <c r="CV577" s="40"/>
      <c r="CW577" s="40"/>
      <c r="CX577" s="40"/>
      <c r="CY577" s="40"/>
      <c r="CZ577" s="40"/>
      <c r="DA577" s="11"/>
      <c r="DB577" s="11"/>
      <c r="DC577" s="11"/>
      <c r="DD577" s="11"/>
      <c r="DE577" s="11"/>
      <c r="DF577" s="11"/>
      <c r="DG577" s="11"/>
    </row>
    <row r="578" ht="15.75" customHeight="1">
      <c r="A578" s="41"/>
      <c r="B578" s="11"/>
      <c r="C578" s="11"/>
      <c r="D578" s="11"/>
      <c r="E578" s="11"/>
      <c r="F578" s="11"/>
      <c r="G578" s="11"/>
      <c r="H578" s="11"/>
      <c r="I578" s="41"/>
      <c r="J578" s="11"/>
      <c r="K578" s="11"/>
      <c r="L578" s="11"/>
      <c r="M578" s="11"/>
      <c r="N578" s="11"/>
      <c r="O578" s="11"/>
      <c r="P578" s="11"/>
      <c r="Q578" s="41"/>
      <c r="R578" s="11"/>
      <c r="S578" s="11"/>
      <c r="T578" s="11"/>
      <c r="U578" s="11"/>
      <c r="V578" s="11"/>
      <c r="W578" s="11"/>
      <c r="X578" s="11"/>
      <c r="Y578" s="4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  <c r="CD578" s="11"/>
      <c r="CE578" s="11"/>
      <c r="CF578" s="11"/>
      <c r="CG578" s="11"/>
      <c r="CH578" s="11"/>
      <c r="CI578" s="11"/>
      <c r="CJ578" s="11"/>
      <c r="CK578" s="11"/>
      <c r="CL578" s="11"/>
      <c r="CM578" s="11"/>
      <c r="CN578" s="11"/>
      <c r="CO578" s="11"/>
      <c r="CP578" s="40"/>
      <c r="CQ578" s="40"/>
      <c r="CR578" s="40"/>
      <c r="CS578" s="40"/>
      <c r="CT578" s="40"/>
      <c r="CU578" s="40"/>
      <c r="CV578" s="40"/>
      <c r="CW578" s="40"/>
      <c r="CX578" s="40"/>
      <c r="CY578" s="40"/>
      <c r="CZ578" s="40"/>
      <c r="DA578" s="11"/>
      <c r="DB578" s="11"/>
      <c r="DC578" s="11"/>
      <c r="DD578" s="11"/>
      <c r="DE578" s="11"/>
      <c r="DF578" s="11"/>
      <c r="DG578" s="11"/>
    </row>
    <row r="579" ht="15.75" customHeight="1">
      <c r="A579" s="41"/>
      <c r="B579" s="11"/>
      <c r="C579" s="11"/>
      <c r="D579" s="11"/>
      <c r="E579" s="11"/>
      <c r="F579" s="11"/>
      <c r="G579" s="11"/>
      <c r="H579" s="11"/>
      <c r="I579" s="41"/>
      <c r="J579" s="11"/>
      <c r="K579" s="11"/>
      <c r="L579" s="11"/>
      <c r="M579" s="11"/>
      <c r="N579" s="11"/>
      <c r="O579" s="11"/>
      <c r="P579" s="11"/>
      <c r="Q579" s="41"/>
      <c r="R579" s="11"/>
      <c r="S579" s="11"/>
      <c r="T579" s="11"/>
      <c r="U579" s="11"/>
      <c r="V579" s="11"/>
      <c r="W579" s="11"/>
      <c r="X579" s="11"/>
      <c r="Y579" s="4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  <c r="CD579" s="11"/>
      <c r="CE579" s="11"/>
      <c r="CF579" s="11"/>
      <c r="CG579" s="11"/>
      <c r="CH579" s="11"/>
      <c r="CI579" s="11"/>
      <c r="CJ579" s="11"/>
      <c r="CK579" s="11"/>
      <c r="CL579" s="11"/>
      <c r="CM579" s="11"/>
      <c r="CN579" s="11"/>
      <c r="CO579" s="11"/>
      <c r="CP579" s="40"/>
      <c r="CQ579" s="40"/>
      <c r="CR579" s="40"/>
      <c r="CS579" s="40"/>
      <c r="CT579" s="40"/>
      <c r="CU579" s="40"/>
      <c r="CV579" s="40"/>
      <c r="CW579" s="40"/>
      <c r="CX579" s="40"/>
      <c r="CY579" s="40"/>
      <c r="CZ579" s="40"/>
      <c r="DA579" s="11"/>
      <c r="DB579" s="11"/>
      <c r="DC579" s="11"/>
      <c r="DD579" s="11"/>
      <c r="DE579" s="11"/>
      <c r="DF579" s="11"/>
      <c r="DG579" s="11"/>
    </row>
    <row r="580" ht="15.75" customHeight="1">
      <c r="A580" s="41"/>
      <c r="B580" s="11"/>
      <c r="C580" s="11"/>
      <c r="D580" s="11"/>
      <c r="E580" s="11"/>
      <c r="F580" s="11"/>
      <c r="G580" s="11"/>
      <c r="H580" s="11"/>
      <c r="I580" s="41"/>
      <c r="J580" s="11"/>
      <c r="K580" s="11"/>
      <c r="L580" s="11"/>
      <c r="M580" s="11"/>
      <c r="N580" s="11"/>
      <c r="O580" s="11"/>
      <c r="P580" s="11"/>
      <c r="Q580" s="41"/>
      <c r="R580" s="11"/>
      <c r="S580" s="11"/>
      <c r="T580" s="11"/>
      <c r="U580" s="11"/>
      <c r="V580" s="11"/>
      <c r="W580" s="11"/>
      <c r="X580" s="11"/>
      <c r="Y580" s="4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  <c r="CD580" s="11"/>
      <c r="CE580" s="11"/>
      <c r="CF580" s="11"/>
      <c r="CG580" s="11"/>
      <c r="CH580" s="11"/>
      <c r="CI580" s="11"/>
      <c r="CJ580" s="11"/>
      <c r="CK580" s="11"/>
      <c r="CL580" s="11"/>
      <c r="CM580" s="11"/>
      <c r="CN580" s="11"/>
      <c r="CO580" s="11"/>
      <c r="CP580" s="40"/>
      <c r="CQ580" s="40"/>
      <c r="CR580" s="40"/>
      <c r="CS580" s="40"/>
      <c r="CT580" s="40"/>
      <c r="CU580" s="40"/>
      <c r="CV580" s="40"/>
      <c r="CW580" s="40"/>
      <c r="CX580" s="40"/>
      <c r="CY580" s="40"/>
      <c r="CZ580" s="40"/>
      <c r="DA580" s="11"/>
      <c r="DB580" s="11"/>
      <c r="DC580" s="11"/>
      <c r="DD580" s="11"/>
      <c r="DE580" s="11"/>
      <c r="DF580" s="11"/>
      <c r="DG580" s="11"/>
    </row>
    <row r="581" ht="15.75" customHeight="1">
      <c r="A581" s="41"/>
      <c r="B581" s="11"/>
      <c r="C581" s="11"/>
      <c r="D581" s="11"/>
      <c r="E581" s="11"/>
      <c r="F581" s="11"/>
      <c r="G581" s="11"/>
      <c r="H581" s="11"/>
      <c r="I581" s="41"/>
      <c r="J581" s="11"/>
      <c r="K581" s="11"/>
      <c r="L581" s="11"/>
      <c r="M581" s="11"/>
      <c r="N581" s="11"/>
      <c r="O581" s="11"/>
      <c r="P581" s="11"/>
      <c r="Q581" s="41"/>
      <c r="R581" s="11"/>
      <c r="S581" s="11"/>
      <c r="T581" s="11"/>
      <c r="U581" s="11"/>
      <c r="V581" s="11"/>
      <c r="W581" s="11"/>
      <c r="X581" s="11"/>
      <c r="Y581" s="4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  <c r="CD581" s="11"/>
      <c r="CE581" s="11"/>
      <c r="CF581" s="11"/>
      <c r="CG581" s="11"/>
      <c r="CH581" s="11"/>
      <c r="CI581" s="11"/>
      <c r="CJ581" s="11"/>
      <c r="CK581" s="11"/>
      <c r="CL581" s="11"/>
      <c r="CM581" s="11"/>
      <c r="CN581" s="11"/>
      <c r="CO581" s="11"/>
      <c r="CP581" s="40"/>
      <c r="CQ581" s="40"/>
      <c r="CR581" s="40"/>
      <c r="CS581" s="40"/>
      <c r="CT581" s="40"/>
      <c r="CU581" s="40"/>
      <c r="CV581" s="40"/>
      <c r="CW581" s="40"/>
      <c r="CX581" s="40"/>
      <c r="CY581" s="40"/>
      <c r="CZ581" s="40"/>
      <c r="DA581" s="11"/>
      <c r="DB581" s="11"/>
      <c r="DC581" s="11"/>
      <c r="DD581" s="11"/>
      <c r="DE581" s="11"/>
      <c r="DF581" s="11"/>
      <c r="DG581" s="11"/>
    </row>
    <row r="582" ht="15.75" customHeight="1">
      <c r="A582" s="41"/>
      <c r="B582" s="11"/>
      <c r="C582" s="11"/>
      <c r="D582" s="11"/>
      <c r="E582" s="11"/>
      <c r="F582" s="11"/>
      <c r="G582" s="11"/>
      <c r="H582" s="11"/>
      <c r="I582" s="41"/>
      <c r="J582" s="11"/>
      <c r="K582" s="11"/>
      <c r="L582" s="11"/>
      <c r="M582" s="11"/>
      <c r="N582" s="11"/>
      <c r="O582" s="11"/>
      <c r="P582" s="11"/>
      <c r="Q582" s="41"/>
      <c r="R582" s="11"/>
      <c r="S582" s="11"/>
      <c r="T582" s="11"/>
      <c r="U582" s="11"/>
      <c r="V582" s="11"/>
      <c r="W582" s="11"/>
      <c r="X582" s="11"/>
      <c r="Y582" s="4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  <c r="CD582" s="11"/>
      <c r="CE582" s="11"/>
      <c r="CF582" s="11"/>
      <c r="CG582" s="11"/>
      <c r="CH582" s="11"/>
      <c r="CI582" s="11"/>
      <c r="CJ582" s="11"/>
      <c r="CK582" s="11"/>
      <c r="CL582" s="11"/>
      <c r="CM582" s="11"/>
      <c r="CN582" s="11"/>
      <c r="CO582" s="11"/>
      <c r="CP582" s="40"/>
      <c r="CQ582" s="40"/>
      <c r="CR582" s="40"/>
      <c r="CS582" s="40"/>
      <c r="CT582" s="40"/>
      <c r="CU582" s="40"/>
      <c r="CV582" s="40"/>
      <c r="CW582" s="40"/>
      <c r="CX582" s="40"/>
      <c r="CY582" s="40"/>
      <c r="CZ582" s="40"/>
      <c r="DA582" s="11"/>
      <c r="DB582" s="11"/>
      <c r="DC582" s="11"/>
      <c r="DD582" s="11"/>
      <c r="DE582" s="11"/>
      <c r="DF582" s="11"/>
      <c r="DG582" s="11"/>
    </row>
    <row r="583" ht="15.75" customHeight="1">
      <c r="A583" s="41"/>
      <c r="B583" s="11"/>
      <c r="C583" s="11"/>
      <c r="D583" s="11"/>
      <c r="E583" s="11"/>
      <c r="F583" s="11"/>
      <c r="G583" s="11"/>
      <c r="H583" s="11"/>
      <c r="I583" s="41"/>
      <c r="J583" s="11"/>
      <c r="K583" s="11"/>
      <c r="L583" s="11"/>
      <c r="M583" s="11"/>
      <c r="N583" s="11"/>
      <c r="O583" s="11"/>
      <c r="P583" s="11"/>
      <c r="Q583" s="41"/>
      <c r="R583" s="11"/>
      <c r="S583" s="11"/>
      <c r="T583" s="11"/>
      <c r="U583" s="11"/>
      <c r="V583" s="11"/>
      <c r="W583" s="11"/>
      <c r="X583" s="11"/>
      <c r="Y583" s="4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  <c r="CD583" s="11"/>
      <c r="CE583" s="11"/>
      <c r="CF583" s="11"/>
      <c r="CG583" s="11"/>
      <c r="CH583" s="11"/>
      <c r="CI583" s="11"/>
      <c r="CJ583" s="11"/>
      <c r="CK583" s="11"/>
      <c r="CL583" s="11"/>
      <c r="CM583" s="11"/>
      <c r="CN583" s="11"/>
      <c r="CO583" s="11"/>
      <c r="CP583" s="40"/>
      <c r="CQ583" s="40"/>
      <c r="CR583" s="40"/>
      <c r="CS583" s="40"/>
      <c r="CT583" s="40"/>
      <c r="CU583" s="40"/>
      <c r="CV583" s="40"/>
      <c r="CW583" s="40"/>
      <c r="CX583" s="40"/>
      <c r="CY583" s="40"/>
      <c r="CZ583" s="40"/>
      <c r="DA583" s="11"/>
      <c r="DB583" s="11"/>
      <c r="DC583" s="11"/>
      <c r="DD583" s="11"/>
      <c r="DE583" s="11"/>
      <c r="DF583" s="11"/>
      <c r="DG583" s="11"/>
    </row>
    <row r="584" ht="15.75" customHeight="1">
      <c r="A584" s="41"/>
      <c r="B584" s="11"/>
      <c r="C584" s="11"/>
      <c r="D584" s="11"/>
      <c r="E584" s="11"/>
      <c r="F584" s="11"/>
      <c r="G584" s="11"/>
      <c r="H584" s="11"/>
      <c r="I584" s="41"/>
      <c r="J584" s="11"/>
      <c r="K584" s="11"/>
      <c r="L584" s="11"/>
      <c r="M584" s="11"/>
      <c r="N584" s="11"/>
      <c r="O584" s="11"/>
      <c r="P584" s="11"/>
      <c r="Q584" s="41"/>
      <c r="R584" s="11"/>
      <c r="S584" s="11"/>
      <c r="T584" s="11"/>
      <c r="U584" s="11"/>
      <c r="V584" s="11"/>
      <c r="W584" s="11"/>
      <c r="X584" s="11"/>
      <c r="Y584" s="4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40"/>
      <c r="CQ584" s="40"/>
      <c r="CR584" s="40"/>
      <c r="CS584" s="40"/>
      <c r="CT584" s="40"/>
      <c r="CU584" s="40"/>
      <c r="CV584" s="40"/>
      <c r="CW584" s="40"/>
      <c r="CX584" s="40"/>
      <c r="CY584" s="40"/>
      <c r="CZ584" s="40"/>
      <c r="DA584" s="11"/>
      <c r="DB584" s="11"/>
      <c r="DC584" s="11"/>
      <c r="DD584" s="11"/>
      <c r="DE584" s="11"/>
      <c r="DF584" s="11"/>
      <c r="DG584" s="11"/>
    </row>
    <row r="585" ht="15.75" customHeight="1">
      <c r="A585" s="41"/>
      <c r="B585" s="11"/>
      <c r="C585" s="11"/>
      <c r="D585" s="11"/>
      <c r="E585" s="11"/>
      <c r="F585" s="11"/>
      <c r="G585" s="11"/>
      <c r="H585" s="11"/>
      <c r="I585" s="41"/>
      <c r="J585" s="11"/>
      <c r="K585" s="11"/>
      <c r="L585" s="11"/>
      <c r="M585" s="11"/>
      <c r="N585" s="11"/>
      <c r="O585" s="11"/>
      <c r="P585" s="11"/>
      <c r="Q585" s="41"/>
      <c r="R585" s="11"/>
      <c r="S585" s="11"/>
      <c r="T585" s="11"/>
      <c r="U585" s="11"/>
      <c r="V585" s="11"/>
      <c r="W585" s="11"/>
      <c r="X585" s="11"/>
      <c r="Y585" s="4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40"/>
      <c r="CQ585" s="40"/>
      <c r="CR585" s="40"/>
      <c r="CS585" s="40"/>
      <c r="CT585" s="40"/>
      <c r="CU585" s="40"/>
      <c r="CV585" s="40"/>
      <c r="CW585" s="40"/>
      <c r="CX585" s="40"/>
      <c r="CY585" s="40"/>
      <c r="CZ585" s="40"/>
      <c r="DA585" s="11"/>
      <c r="DB585" s="11"/>
      <c r="DC585" s="11"/>
      <c r="DD585" s="11"/>
      <c r="DE585" s="11"/>
      <c r="DF585" s="11"/>
      <c r="DG585" s="11"/>
    </row>
    <row r="586" ht="15.75" customHeight="1">
      <c r="A586" s="41"/>
      <c r="B586" s="11"/>
      <c r="C586" s="11"/>
      <c r="D586" s="11"/>
      <c r="E586" s="11"/>
      <c r="F586" s="11"/>
      <c r="G586" s="11"/>
      <c r="H586" s="11"/>
      <c r="I586" s="41"/>
      <c r="J586" s="11"/>
      <c r="K586" s="11"/>
      <c r="L586" s="11"/>
      <c r="M586" s="11"/>
      <c r="N586" s="11"/>
      <c r="O586" s="11"/>
      <c r="P586" s="11"/>
      <c r="Q586" s="41"/>
      <c r="R586" s="11"/>
      <c r="S586" s="11"/>
      <c r="T586" s="11"/>
      <c r="U586" s="11"/>
      <c r="V586" s="11"/>
      <c r="W586" s="11"/>
      <c r="X586" s="11"/>
      <c r="Y586" s="4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  <c r="CD586" s="11"/>
      <c r="CE586" s="11"/>
      <c r="CF586" s="11"/>
      <c r="CG586" s="11"/>
      <c r="CH586" s="11"/>
      <c r="CI586" s="11"/>
      <c r="CJ586" s="11"/>
      <c r="CK586" s="11"/>
      <c r="CL586" s="11"/>
      <c r="CM586" s="11"/>
      <c r="CN586" s="11"/>
      <c r="CO586" s="11"/>
      <c r="CP586" s="40"/>
      <c r="CQ586" s="40"/>
      <c r="CR586" s="40"/>
      <c r="CS586" s="40"/>
      <c r="CT586" s="40"/>
      <c r="CU586" s="40"/>
      <c r="CV586" s="40"/>
      <c r="CW586" s="40"/>
      <c r="CX586" s="40"/>
      <c r="CY586" s="40"/>
      <c r="CZ586" s="40"/>
      <c r="DA586" s="11"/>
      <c r="DB586" s="11"/>
      <c r="DC586" s="11"/>
      <c r="DD586" s="11"/>
      <c r="DE586" s="11"/>
      <c r="DF586" s="11"/>
      <c r="DG586" s="11"/>
    </row>
    <row r="587" ht="15.75" customHeight="1">
      <c r="A587" s="41"/>
      <c r="B587" s="11"/>
      <c r="C587" s="11"/>
      <c r="D587" s="11"/>
      <c r="E587" s="11"/>
      <c r="F587" s="11"/>
      <c r="G587" s="11"/>
      <c r="H587" s="11"/>
      <c r="I587" s="41"/>
      <c r="J587" s="11"/>
      <c r="K587" s="11"/>
      <c r="L587" s="11"/>
      <c r="M587" s="11"/>
      <c r="N587" s="11"/>
      <c r="O587" s="11"/>
      <c r="P587" s="11"/>
      <c r="Q587" s="41"/>
      <c r="R587" s="11"/>
      <c r="S587" s="11"/>
      <c r="T587" s="11"/>
      <c r="U587" s="11"/>
      <c r="V587" s="11"/>
      <c r="W587" s="11"/>
      <c r="X587" s="11"/>
      <c r="Y587" s="4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  <c r="CD587" s="11"/>
      <c r="CE587" s="11"/>
      <c r="CF587" s="11"/>
      <c r="CG587" s="11"/>
      <c r="CH587" s="11"/>
      <c r="CI587" s="11"/>
      <c r="CJ587" s="11"/>
      <c r="CK587" s="11"/>
      <c r="CL587" s="11"/>
      <c r="CM587" s="11"/>
      <c r="CN587" s="11"/>
      <c r="CO587" s="11"/>
      <c r="CP587" s="40"/>
      <c r="CQ587" s="40"/>
      <c r="CR587" s="40"/>
      <c r="CS587" s="40"/>
      <c r="CT587" s="40"/>
      <c r="CU587" s="40"/>
      <c r="CV587" s="40"/>
      <c r="CW587" s="40"/>
      <c r="CX587" s="40"/>
      <c r="CY587" s="40"/>
      <c r="CZ587" s="40"/>
      <c r="DA587" s="11"/>
      <c r="DB587" s="11"/>
      <c r="DC587" s="11"/>
      <c r="DD587" s="11"/>
      <c r="DE587" s="11"/>
      <c r="DF587" s="11"/>
      <c r="DG587" s="11"/>
    </row>
    <row r="588" ht="15.75" customHeight="1">
      <c r="A588" s="41"/>
      <c r="B588" s="11"/>
      <c r="C588" s="11"/>
      <c r="D588" s="11"/>
      <c r="E588" s="11"/>
      <c r="F588" s="11"/>
      <c r="G588" s="11"/>
      <c r="H588" s="11"/>
      <c r="I588" s="41"/>
      <c r="J588" s="11"/>
      <c r="K588" s="11"/>
      <c r="L588" s="11"/>
      <c r="M588" s="11"/>
      <c r="N588" s="11"/>
      <c r="O588" s="11"/>
      <c r="P588" s="11"/>
      <c r="Q588" s="41"/>
      <c r="R588" s="11"/>
      <c r="S588" s="11"/>
      <c r="T588" s="11"/>
      <c r="U588" s="11"/>
      <c r="V588" s="11"/>
      <c r="W588" s="11"/>
      <c r="X588" s="11"/>
      <c r="Y588" s="4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  <c r="CD588" s="11"/>
      <c r="CE588" s="11"/>
      <c r="CF588" s="11"/>
      <c r="CG588" s="11"/>
      <c r="CH588" s="11"/>
      <c r="CI588" s="11"/>
      <c r="CJ588" s="11"/>
      <c r="CK588" s="11"/>
      <c r="CL588" s="11"/>
      <c r="CM588" s="11"/>
      <c r="CN588" s="11"/>
      <c r="CO588" s="11"/>
      <c r="CP588" s="40"/>
      <c r="CQ588" s="40"/>
      <c r="CR588" s="40"/>
      <c r="CS588" s="40"/>
      <c r="CT588" s="40"/>
      <c r="CU588" s="40"/>
      <c r="CV588" s="40"/>
      <c r="CW588" s="40"/>
      <c r="CX588" s="40"/>
      <c r="CY588" s="40"/>
      <c r="CZ588" s="40"/>
      <c r="DA588" s="11"/>
      <c r="DB588" s="11"/>
      <c r="DC588" s="11"/>
      <c r="DD588" s="11"/>
      <c r="DE588" s="11"/>
      <c r="DF588" s="11"/>
      <c r="DG588" s="11"/>
    </row>
    <row r="589" ht="15.75" customHeight="1">
      <c r="A589" s="41"/>
      <c r="B589" s="11"/>
      <c r="C589" s="11"/>
      <c r="D589" s="11"/>
      <c r="E589" s="11"/>
      <c r="F589" s="11"/>
      <c r="G589" s="11"/>
      <c r="H589" s="11"/>
      <c r="I589" s="41"/>
      <c r="J589" s="11"/>
      <c r="K589" s="11"/>
      <c r="L589" s="11"/>
      <c r="M589" s="11"/>
      <c r="N589" s="11"/>
      <c r="O589" s="11"/>
      <c r="P589" s="11"/>
      <c r="Q589" s="41"/>
      <c r="R589" s="11"/>
      <c r="S589" s="11"/>
      <c r="T589" s="11"/>
      <c r="U589" s="11"/>
      <c r="V589" s="11"/>
      <c r="W589" s="11"/>
      <c r="X589" s="11"/>
      <c r="Y589" s="4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  <c r="CD589" s="11"/>
      <c r="CE589" s="11"/>
      <c r="CF589" s="11"/>
      <c r="CG589" s="11"/>
      <c r="CH589" s="11"/>
      <c r="CI589" s="11"/>
      <c r="CJ589" s="11"/>
      <c r="CK589" s="11"/>
      <c r="CL589" s="11"/>
      <c r="CM589" s="11"/>
      <c r="CN589" s="11"/>
      <c r="CO589" s="11"/>
      <c r="CP589" s="40"/>
      <c r="CQ589" s="40"/>
      <c r="CR589" s="40"/>
      <c r="CS589" s="40"/>
      <c r="CT589" s="40"/>
      <c r="CU589" s="40"/>
      <c r="CV589" s="40"/>
      <c r="CW589" s="40"/>
      <c r="CX589" s="40"/>
      <c r="CY589" s="40"/>
      <c r="CZ589" s="40"/>
      <c r="DA589" s="11"/>
      <c r="DB589" s="11"/>
      <c r="DC589" s="11"/>
      <c r="DD589" s="11"/>
      <c r="DE589" s="11"/>
      <c r="DF589" s="11"/>
      <c r="DG589" s="11"/>
    </row>
    <row r="590" ht="15.75" customHeight="1">
      <c r="A590" s="41"/>
      <c r="B590" s="11"/>
      <c r="C590" s="11"/>
      <c r="D590" s="11"/>
      <c r="E590" s="11"/>
      <c r="F590" s="11"/>
      <c r="G590" s="11"/>
      <c r="H590" s="11"/>
      <c r="I590" s="41"/>
      <c r="J590" s="11"/>
      <c r="K590" s="11"/>
      <c r="L590" s="11"/>
      <c r="M590" s="11"/>
      <c r="N590" s="11"/>
      <c r="O590" s="11"/>
      <c r="P590" s="11"/>
      <c r="Q590" s="41"/>
      <c r="R590" s="11"/>
      <c r="S590" s="11"/>
      <c r="T590" s="11"/>
      <c r="U590" s="11"/>
      <c r="V590" s="11"/>
      <c r="W590" s="11"/>
      <c r="X590" s="11"/>
      <c r="Y590" s="4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40"/>
      <c r="CQ590" s="40"/>
      <c r="CR590" s="40"/>
      <c r="CS590" s="40"/>
      <c r="CT590" s="40"/>
      <c r="CU590" s="40"/>
      <c r="CV590" s="40"/>
      <c r="CW590" s="40"/>
      <c r="CX590" s="40"/>
      <c r="CY590" s="40"/>
      <c r="CZ590" s="40"/>
      <c r="DA590" s="11"/>
      <c r="DB590" s="11"/>
      <c r="DC590" s="11"/>
      <c r="DD590" s="11"/>
      <c r="DE590" s="11"/>
      <c r="DF590" s="11"/>
      <c r="DG590" s="11"/>
    </row>
    <row r="591" ht="15.75" customHeight="1">
      <c r="A591" s="41"/>
      <c r="B591" s="11"/>
      <c r="C591" s="11"/>
      <c r="D591" s="11"/>
      <c r="E591" s="11"/>
      <c r="F591" s="11"/>
      <c r="G591" s="11"/>
      <c r="H591" s="11"/>
      <c r="I591" s="41"/>
      <c r="J591" s="11"/>
      <c r="K591" s="11"/>
      <c r="L591" s="11"/>
      <c r="M591" s="11"/>
      <c r="N591" s="11"/>
      <c r="O591" s="11"/>
      <c r="P591" s="11"/>
      <c r="Q591" s="41"/>
      <c r="R591" s="11"/>
      <c r="S591" s="11"/>
      <c r="T591" s="11"/>
      <c r="U591" s="11"/>
      <c r="V591" s="11"/>
      <c r="W591" s="11"/>
      <c r="X591" s="11"/>
      <c r="Y591" s="4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  <c r="CD591" s="11"/>
      <c r="CE591" s="11"/>
      <c r="CF591" s="11"/>
      <c r="CG591" s="11"/>
      <c r="CH591" s="11"/>
      <c r="CI591" s="11"/>
      <c r="CJ591" s="11"/>
      <c r="CK591" s="11"/>
      <c r="CL591" s="11"/>
      <c r="CM591" s="11"/>
      <c r="CN591" s="11"/>
      <c r="CO591" s="11"/>
      <c r="CP591" s="40"/>
      <c r="CQ591" s="40"/>
      <c r="CR591" s="40"/>
      <c r="CS591" s="40"/>
      <c r="CT591" s="40"/>
      <c r="CU591" s="40"/>
      <c r="CV591" s="40"/>
      <c r="CW591" s="40"/>
      <c r="CX591" s="40"/>
      <c r="CY591" s="40"/>
      <c r="CZ591" s="40"/>
      <c r="DA591" s="11"/>
      <c r="DB591" s="11"/>
      <c r="DC591" s="11"/>
      <c r="DD591" s="11"/>
      <c r="DE591" s="11"/>
      <c r="DF591" s="11"/>
      <c r="DG591" s="11"/>
    </row>
    <row r="592" ht="15.75" customHeight="1">
      <c r="A592" s="41"/>
      <c r="B592" s="11"/>
      <c r="C592" s="11"/>
      <c r="D592" s="11"/>
      <c r="E592" s="11"/>
      <c r="F592" s="11"/>
      <c r="G592" s="11"/>
      <c r="H592" s="11"/>
      <c r="I592" s="41"/>
      <c r="J592" s="11"/>
      <c r="K592" s="11"/>
      <c r="L592" s="11"/>
      <c r="M592" s="11"/>
      <c r="N592" s="11"/>
      <c r="O592" s="11"/>
      <c r="P592" s="11"/>
      <c r="Q592" s="41"/>
      <c r="R592" s="11"/>
      <c r="S592" s="11"/>
      <c r="T592" s="11"/>
      <c r="U592" s="11"/>
      <c r="V592" s="11"/>
      <c r="W592" s="11"/>
      <c r="X592" s="11"/>
      <c r="Y592" s="4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  <c r="CD592" s="11"/>
      <c r="CE592" s="11"/>
      <c r="CF592" s="11"/>
      <c r="CG592" s="11"/>
      <c r="CH592" s="11"/>
      <c r="CI592" s="11"/>
      <c r="CJ592" s="11"/>
      <c r="CK592" s="11"/>
      <c r="CL592" s="11"/>
      <c r="CM592" s="11"/>
      <c r="CN592" s="11"/>
      <c r="CO592" s="11"/>
      <c r="CP592" s="40"/>
      <c r="CQ592" s="40"/>
      <c r="CR592" s="40"/>
      <c r="CS592" s="40"/>
      <c r="CT592" s="40"/>
      <c r="CU592" s="40"/>
      <c r="CV592" s="40"/>
      <c r="CW592" s="40"/>
      <c r="CX592" s="40"/>
      <c r="CY592" s="40"/>
      <c r="CZ592" s="40"/>
      <c r="DA592" s="11"/>
      <c r="DB592" s="11"/>
      <c r="DC592" s="11"/>
      <c r="DD592" s="11"/>
      <c r="DE592" s="11"/>
      <c r="DF592" s="11"/>
      <c r="DG592" s="11"/>
    </row>
    <row r="593" ht="15.75" customHeight="1">
      <c r="A593" s="41"/>
      <c r="B593" s="11"/>
      <c r="C593" s="11"/>
      <c r="D593" s="11"/>
      <c r="E593" s="11"/>
      <c r="F593" s="11"/>
      <c r="G593" s="11"/>
      <c r="H593" s="11"/>
      <c r="I593" s="41"/>
      <c r="J593" s="11"/>
      <c r="K593" s="11"/>
      <c r="L593" s="11"/>
      <c r="M593" s="11"/>
      <c r="N593" s="11"/>
      <c r="O593" s="11"/>
      <c r="P593" s="11"/>
      <c r="Q593" s="41"/>
      <c r="R593" s="11"/>
      <c r="S593" s="11"/>
      <c r="T593" s="11"/>
      <c r="U593" s="11"/>
      <c r="V593" s="11"/>
      <c r="W593" s="11"/>
      <c r="X593" s="11"/>
      <c r="Y593" s="4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  <c r="CD593" s="11"/>
      <c r="CE593" s="11"/>
      <c r="CF593" s="11"/>
      <c r="CG593" s="11"/>
      <c r="CH593" s="11"/>
      <c r="CI593" s="11"/>
      <c r="CJ593" s="11"/>
      <c r="CK593" s="11"/>
      <c r="CL593" s="11"/>
      <c r="CM593" s="11"/>
      <c r="CN593" s="11"/>
      <c r="CO593" s="11"/>
      <c r="CP593" s="40"/>
      <c r="CQ593" s="40"/>
      <c r="CR593" s="40"/>
      <c r="CS593" s="40"/>
      <c r="CT593" s="40"/>
      <c r="CU593" s="40"/>
      <c r="CV593" s="40"/>
      <c r="CW593" s="40"/>
      <c r="CX593" s="40"/>
      <c r="CY593" s="40"/>
      <c r="CZ593" s="40"/>
      <c r="DA593" s="11"/>
      <c r="DB593" s="11"/>
      <c r="DC593" s="11"/>
      <c r="DD593" s="11"/>
      <c r="DE593" s="11"/>
      <c r="DF593" s="11"/>
      <c r="DG593" s="11"/>
    </row>
    <row r="594" ht="15.75" customHeight="1">
      <c r="A594" s="41"/>
      <c r="B594" s="11"/>
      <c r="C594" s="11"/>
      <c r="D594" s="11"/>
      <c r="E594" s="11"/>
      <c r="F594" s="11"/>
      <c r="G594" s="11"/>
      <c r="H594" s="11"/>
      <c r="I594" s="41"/>
      <c r="J594" s="11"/>
      <c r="K594" s="11"/>
      <c r="L594" s="11"/>
      <c r="M594" s="11"/>
      <c r="N594" s="11"/>
      <c r="O594" s="11"/>
      <c r="P594" s="11"/>
      <c r="Q594" s="41"/>
      <c r="R594" s="11"/>
      <c r="S594" s="11"/>
      <c r="T594" s="11"/>
      <c r="U594" s="11"/>
      <c r="V594" s="11"/>
      <c r="W594" s="11"/>
      <c r="X594" s="11"/>
      <c r="Y594" s="4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  <c r="CD594" s="11"/>
      <c r="CE594" s="11"/>
      <c r="CF594" s="11"/>
      <c r="CG594" s="11"/>
      <c r="CH594" s="11"/>
      <c r="CI594" s="11"/>
      <c r="CJ594" s="11"/>
      <c r="CK594" s="11"/>
      <c r="CL594" s="11"/>
      <c r="CM594" s="11"/>
      <c r="CN594" s="11"/>
      <c r="CO594" s="11"/>
      <c r="CP594" s="40"/>
      <c r="CQ594" s="40"/>
      <c r="CR594" s="40"/>
      <c r="CS594" s="40"/>
      <c r="CT594" s="40"/>
      <c r="CU594" s="40"/>
      <c r="CV594" s="40"/>
      <c r="CW594" s="40"/>
      <c r="CX594" s="40"/>
      <c r="CY594" s="40"/>
      <c r="CZ594" s="40"/>
      <c r="DA594" s="11"/>
      <c r="DB594" s="11"/>
      <c r="DC594" s="11"/>
      <c r="DD594" s="11"/>
      <c r="DE594" s="11"/>
      <c r="DF594" s="11"/>
      <c r="DG594" s="11"/>
    </row>
    <row r="595" ht="15.75" customHeight="1">
      <c r="A595" s="41"/>
      <c r="B595" s="11"/>
      <c r="C595" s="11"/>
      <c r="D595" s="11"/>
      <c r="E595" s="11"/>
      <c r="F595" s="11"/>
      <c r="G595" s="11"/>
      <c r="H595" s="11"/>
      <c r="I595" s="41"/>
      <c r="J595" s="11"/>
      <c r="K595" s="11"/>
      <c r="L595" s="11"/>
      <c r="M595" s="11"/>
      <c r="N595" s="11"/>
      <c r="O595" s="11"/>
      <c r="P595" s="11"/>
      <c r="Q595" s="41"/>
      <c r="R595" s="11"/>
      <c r="S595" s="11"/>
      <c r="T595" s="11"/>
      <c r="U595" s="11"/>
      <c r="V595" s="11"/>
      <c r="W595" s="11"/>
      <c r="X595" s="11"/>
      <c r="Y595" s="4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40"/>
      <c r="CQ595" s="40"/>
      <c r="CR595" s="40"/>
      <c r="CS595" s="40"/>
      <c r="CT595" s="40"/>
      <c r="CU595" s="40"/>
      <c r="CV595" s="40"/>
      <c r="CW595" s="40"/>
      <c r="CX595" s="40"/>
      <c r="CY595" s="40"/>
      <c r="CZ595" s="40"/>
      <c r="DA595" s="11"/>
      <c r="DB595" s="11"/>
      <c r="DC595" s="11"/>
      <c r="DD595" s="11"/>
      <c r="DE595" s="11"/>
      <c r="DF595" s="11"/>
      <c r="DG595" s="11"/>
    </row>
    <row r="596" ht="15.75" customHeight="1">
      <c r="A596" s="41"/>
      <c r="B596" s="11"/>
      <c r="C596" s="11"/>
      <c r="D596" s="11"/>
      <c r="E596" s="11"/>
      <c r="F596" s="11"/>
      <c r="G596" s="11"/>
      <c r="H596" s="11"/>
      <c r="I596" s="41"/>
      <c r="J596" s="11"/>
      <c r="K596" s="11"/>
      <c r="L596" s="11"/>
      <c r="M596" s="11"/>
      <c r="N596" s="11"/>
      <c r="O596" s="11"/>
      <c r="P596" s="11"/>
      <c r="Q596" s="41"/>
      <c r="R596" s="11"/>
      <c r="S596" s="11"/>
      <c r="T596" s="11"/>
      <c r="U596" s="11"/>
      <c r="V596" s="11"/>
      <c r="W596" s="11"/>
      <c r="X596" s="11"/>
      <c r="Y596" s="4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  <c r="CD596" s="11"/>
      <c r="CE596" s="11"/>
      <c r="CF596" s="11"/>
      <c r="CG596" s="11"/>
      <c r="CH596" s="11"/>
      <c r="CI596" s="11"/>
      <c r="CJ596" s="11"/>
      <c r="CK596" s="11"/>
      <c r="CL596" s="11"/>
      <c r="CM596" s="11"/>
      <c r="CN596" s="11"/>
      <c r="CO596" s="11"/>
      <c r="CP596" s="40"/>
      <c r="CQ596" s="40"/>
      <c r="CR596" s="40"/>
      <c r="CS596" s="40"/>
      <c r="CT596" s="40"/>
      <c r="CU596" s="40"/>
      <c r="CV596" s="40"/>
      <c r="CW596" s="40"/>
      <c r="CX596" s="40"/>
      <c r="CY596" s="40"/>
      <c r="CZ596" s="40"/>
      <c r="DA596" s="11"/>
      <c r="DB596" s="11"/>
      <c r="DC596" s="11"/>
      <c r="DD596" s="11"/>
      <c r="DE596" s="11"/>
      <c r="DF596" s="11"/>
      <c r="DG596" s="11"/>
    </row>
    <row r="597" ht="15.75" customHeight="1">
      <c r="A597" s="41"/>
      <c r="B597" s="11"/>
      <c r="C597" s="11"/>
      <c r="D597" s="11"/>
      <c r="E597" s="11"/>
      <c r="F597" s="11"/>
      <c r="G597" s="11"/>
      <c r="H597" s="11"/>
      <c r="I597" s="41"/>
      <c r="J597" s="11"/>
      <c r="K597" s="11"/>
      <c r="L597" s="11"/>
      <c r="M597" s="11"/>
      <c r="N597" s="11"/>
      <c r="O597" s="11"/>
      <c r="P597" s="11"/>
      <c r="Q597" s="41"/>
      <c r="R597" s="11"/>
      <c r="S597" s="11"/>
      <c r="T597" s="11"/>
      <c r="U597" s="11"/>
      <c r="V597" s="11"/>
      <c r="W597" s="11"/>
      <c r="X597" s="11"/>
      <c r="Y597" s="4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  <c r="CD597" s="11"/>
      <c r="CE597" s="11"/>
      <c r="CF597" s="11"/>
      <c r="CG597" s="11"/>
      <c r="CH597" s="11"/>
      <c r="CI597" s="11"/>
      <c r="CJ597" s="11"/>
      <c r="CK597" s="11"/>
      <c r="CL597" s="11"/>
      <c r="CM597" s="11"/>
      <c r="CN597" s="11"/>
      <c r="CO597" s="11"/>
      <c r="CP597" s="40"/>
      <c r="CQ597" s="40"/>
      <c r="CR597" s="40"/>
      <c r="CS597" s="40"/>
      <c r="CT597" s="40"/>
      <c r="CU597" s="40"/>
      <c r="CV597" s="40"/>
      <c r="CW597" s="40"/>
      <c r="CX597" s="40"/>
      <c r="CY597" s="40"/>
      <c r="CZ597" s="40"/>
      <c r="DA597" s="11"/>
      <c r="DB597" s="11"/>
      <c r="DC597" s="11"/>
      <c r="DD597" s="11"/>
      <c r="DE597" s="11"/>
      <c r="DF597" s="11"/>
      <c r="DG597" s="11"/>
    </row>
    <row r="598" ht="15.75" customHeight="1">
      <c r="A598" s="41"/>
      <c r="B598" s="11"/>
      <c r="C598" s="11"/>
      <c r="D598" s="11"/>
      <c r="E598" s="11"/>
      <c r="F598" s="11"/>
      <c r="G598" s="11"/>
      <c r="H598" s="11"/>
      <c r="I598" s="41"/>
      <c r="J598" s="11"/>
      <c r="K598" s="11"/>
      <c r="L598" s="11"/>
      <c r="M598" s="11"/>
      <c r="N598" s="11"/>
      <c r="O598" s="11"/>
      <c r="P598" s="11"/>
      <c r="Q598" s="41"/>
      <c r="R598" s="11"/>
      <c r="S598" s="11"/>
      <c r="T598" s="11"/>
      <c r="U598" s="11"/>
      <c r="V598" s="11"/>
      <c r="W598" s="11"/>
      <c r="X598" s="11"/>
      <c r="Y598" s="4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/>
      <c r="CG598" s="11"/>
      <c r="CH598" s="11"/>
      <c r="CI598" s="11"/>
      <c r="CJ598" s="11"/>
      <c r="CK598" s="11"/>
      <c r="CL598" s="11"/>
      <c r="CM598" s="11"/>
      <c r="CN598" s="11"/>
      <c r="CO598" s="11"/>
      <c r="CP598" s="40"/>
      <c r="CQ598" s="40"/>
      <c r="CR598" s="40"/>
      <c r="CS598" s="40"/>
      <c r="CT598" s="40"/>
      <c r="CU598" s="40"/>
      <c r="CV598" s="40"/>
      <c r="CW598" s="40"/>
      <c r="CX598" s="40"/>
      <c r="CY598" s="40"/>
      <c r="CZ598" s="40"/>
      <c r="DA598" s="11"/>
      <c r="DB598" s="11"/>
      <c r="DC598" s="11"/>
      <c r="DD598" s="11"/>
      <c r="DE598" s="11"/>
      <c r="DF598" s="11"/>
      <c r="DG598" s="11"/>
    </row>
    <row r="599" ht="15.75" customHeight="1">
      <c r="A599" s="41"/>
      <c r="B599" s="11"/>
      <c r="C599" s="11"/>
      <c r="D599" s="11"/>
      <c r="E599" s="11"/>
      <c r="F599" s="11"/>
      <c r="G599" s="11"/>
      <c r="H599" s="11"/>
      <c r="I599" s="41"/>
      <c r="J599" s="11"/>
      <c r="K599" s="11"/>
      <c r="L599" s="11"/>
      <c r="M599" s="11"/>
      <c r="N599" s="11"/>
      <c r="O599" s="11"/>
      <c r="P599" s="11"/>
      <c r="Q599" s="41"/>
      <c r="R599" s="11"/>
      <c r="S599" s="11"/>
      <c r="T599" s="11"/>
      <c r="U599" s="11"/>
      <c r="V599" s="11"/>
      <c r="W599" s="11"/>
      <c r="X599" s="11"/>
      <c r="Y599" s="4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  <c r="CD599" s="11"/>
      <c r="CE599" s="11"/>
      <c r="CF599" s="11"/>
      <c r="CG599" s="11"/>
      <c r="CH599" s="11"/>
      <c r="CI599" s="11"/>
      <c r="CJ599" s="11"/>
      <c r="CK599" s="11"/>
      <c r="CL599" s="11"/>
      <c r="CM599" s="11"/>
      <c r="CN599" s="11"/>
      <c r="CO599" s="11"/>
      <c r="CP599" s="40"/>
      <c r="CQ599" s="40"/>
      <c r="CR599" s="40"/>
      <c r="CS599" s="40"/>
      <c r="CT599" s="40"/>
      <c r="CU599" s="40"/>
      <c r="CV599" s="40"/>
      <c r="CW599" s="40"/>
      <c r="CX599" s="40"/>
      <c r="CY599" s="40"/>
      <c r="CZ599" s="40"/>
      <c r="DA599" s="11"/>
      <c r="DB599" s="11"/>
      <c r="DC599" s="11"/>
      <c r="DD599" s="11"/>
      <c r="DE599" s="11"/>
      <c r="DF599" s="11"/>
      <c r="DG599" s="11"/>
    </row>
    <row r="600" ht="15.75" customHeight="1">
      <c r="A600" s="41"/>
      <c r="B600" s="11"/>
      <c r="C600" s="11"/>
      <c r="D600" s="11"/>
      <c r="E600" s="11"/>
      <c r="F600" s="11"/>
      <c r="G600" s="11"/>
      <c r="H600" s="11"/>
      <c r="I600" s="41"/>
      <c r="J600" s="11"/>
      <c r="K600" s="11"/>
      <c r="L600" s="11"/>
      <c r="M600" s="11"/>
      <c r="N600" s="11"/>
      <c r="O600" s="11"/>
      <c r="P600" s="11"/>
      <c r="Q600" s="41"/>
      <c r="R600" s="11"/>
      <c r="S600" s="11"/>
      <c r="T600" s="11"/>
      <c r="U600" s="11"/>
      <c r="V600" s="11"/>
      <c r="W600" s="11"/>
      <c r="X600" s="11"/>
      <c r="Y600" s="4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  <c r="CD600" s="11"/>
      <c r="CE600" s="11"/>
      <c r="CF600" s="11"/>
      <c r="CG600" s="11"/>
      <c r="CH600" s="11"/>
      <c r="CI600" s="11"/>
      <c r="CJ600" s="11"/>
      <c r="CK600" s="11"/>
      <c r="CL600" s="11"/>
      <c r="CM600" s="11"/>
      <c r="CN600" s="11"/>
      <c r="CO600" s="11"/>
      <c r="CP600" s="40"/>
      <c r="CQ600" s="40"/>
      <c r="CR600" s="40"/>
      <c r="CS600" s="40"/>
      <c r="CT600" s="40"/>
      <c r="CU600" s="40"/>
      <c r="CV600" s="40"/>
      <c r="CW600" s="40"/>
      <c r="CX600" s="40"/>
      <c r="CY600" s="40"/>
      <c r="CZ600" s="40"/>
      <c r="DA600" s="11"/>
      <c r="DB600" s="11"/>
      <c r="DC600" s="11"/>
      <c r="DD600" s="11"/>
      <c r="DE600" s="11"/>
      <c r="DF600" s="11"/>
      <c r="DG600" s="11"/>
    </row>
    <row r="601" ht="15.75" customHeight="1">
      <c r="A601" s="41"/>
      <c r="B601" s="11"/>
      <c r="C601" s="11"/>
      <c r="D601" s="11"/>
      <c r="E601" s="11"/>
      <c r="F601" s="11"/>
      <c r="G601" s="11"/>
      <c r="H601" s="11"/>
      <c r="I601" s="41"/>
      <c r="J601" s="11"/>
      <c r="K601" s="11"/>
      <c r="L601" s="11"/>
      <c r="M601" s="11"/>
      <c r="N601" s="11"/>
      <c r="O601" s="11"/>
      <c r="P601" s="11"/>
      <c r="Q601" s="41"/>
      <c r="R601" s="11"/>
      <c r="S601" s="11"/>
      <c r="T601" s="11"/>
      <c r="U601" s="11"/>
      <c r="V601" s="11"/>
      <c r="W601" s="11"/>
      <c r="X601" s="11"/>
      <c r="Y601" s="4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  <c r="CD601" s="11"/>
      <c r="CE601" s="11"/>
      <c r="CF601" s="11"/>
      <c r="CG601" s="11"/>
      <c r="CH601" s="11"/>
      <c r="CI601" s="11"/>
      <c r="CJ601" s="11"/>
      <c r="CK601" s="11"/>
      <c r="CL601" s="11"/>
      <c r="CM601" s="11"/>
      <c r="CN601" s="11"/>
      <c r="CO601" s="11"/>
      <c r="CP601" s="40"/>
      <c r="CQ601" s="40"/>
      <c r="CR601" s="40"/>
      <c r="CS601" s="40"/>
      <c r="CT601" s="40"/>
      <c r="CU601" s="40"/>
      <c r="CV601" s="40"/>
      <c r="CW601" s="40"/>
      <c r="CX601" s="40"/>
      <c r="CY601" s="40"/>
      <c r="CZ601" s="40"/>
      <c r="DA601" s="11"/>
      <c r="DB601" s="11"/>
      <c r="DC601" s="11"/>
      <c r="DD601" s="11"/>
      <c r="DE601" s="11"/>
      <c r="DF601" s="11"/>
      <c r="DG601" s="11"/>
    </row>
    <row r="602" ht="15.75" customHeight="1">
      <c r="A602" s="41"/>
      <c r="B602" s="11"/>
      <c r="C602" s="11"/>
      <c r="D602" s="11"/>
      <c r="E602" s="11"/>
      <c r="F602" s="11"/>
      <c r="G602" s="11"/>
      <c r="H602" s="11"/>
      <c r="I602" s="41"/>
      <c r="J602" s="11"/>
      <c r="K602" s="11"/>
      <c r="L602" s="11"/>
      <c r="M602" s="11"/>
      <c r="N602" s="11"/>
      <c r="O602" s="11"/>
      <c r="P602" s="11"/>
      <c r="Q602" s="41"/>
      <c r="R602" s="11"/>
      <c r="S602" s="11"/>
      <c r="T602" s="11"/>
      <c r="U602" s="11"/>
      <c r="V602" s="11"/>
      <c r="W602" s="11"/>
      <c r="X602" s="11"/>
      <c r="Y602" s="4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  <c r="CD602" s="11"/>
      <c r="CE602" s="11"/>
      <c r="CF602" s="11"/>
      <c r="CG602" s="11"/>
      <c r="CH602" s="11"/>
      <c r="CI602" s="11"/>
      <c r="CJ602" s="11"/>
      <c r="CK602" s="11"/>
      <c r="CL602" s="11"/>
      <c r="CM602" s="11"/>
      <c r="CN602" s="11"/>
      <c r="CO602" s="11"/>
      <c r="CP602" s="40"/>
      <c r="CQ602" s="40"/>
      <c r="CR602" s="40"/>
      <c r="CS602" s="40"/>
      <c r="CT602" s="40"/>
      <c r="CU602" s="40"/>
      <c r="CV602" s="40"/>
      <c r="CW602" s="40"/>
      <c r="CX602" s="40"/>
      <c r="CY602" s="40"/>
      <c r="CZ602" s="40"/>
      <c r="DA602" s="11"/>
      <c r="DB602" s="11"/>
      <c r="DC602" s="11"/>
      <c r="DD602" s="11"/>
      <c r="DE602" s="11"/>
      <c r="DF602" s="11"/>
      <c r="DG602" s="11"/>
    </row>
    <row r="603" ht="15.75" customHeight="1">
      <c r="A603" s="41"/>
      <c r="B603" s="11"/>
      <c r="C603" s="11"/>
      <c r="D603" s="11"/>
      <c r="E603" s="11"/>
      <c r="F603" s="11"/>
      <c r="G603" s="11"/>
      <c r="H603" s="11"/>
      <c r="I603" s="41"/>
      <c r="J603" s="11"/>
      <c r="K603" s="11"/>
      <c r="L603" s="11"/>
      <c r="M603" s="11"/>
      <c r="N603" s="11"/>
      <c r="O603" s="11"/>
      <c r="P603" s="11"/>
      <c r="Q603" s="41"/>
      <c r="R603" s="11"/>
      <c r="S603" s="11"/>
      <c r="T603" s="11"/>
      <c r="U603" s="11"/>
      <c r="V603" s="11"/>
      <c r="W603" s="11"/>
      <c r="X603" s="11"/>
      <c r="Y603" s="4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  <c r="CD603" s="11"/>
      <c r="CE603" s="11"/>
      <c r="CF603" s="11"/>
      <c r="CG603" s="11"/>
      <c r="CH603" s="11"/>
      <c r="CI603" s="11"/>
      <c r="CJ603" s="11"/>
      <c r="CK603" s="11"/>
      <c r="CL603" s="11"/>
      <c r="CM603" s="11"/>
      <c r="CN603" s="11"/>
      <c r="CO603" s="11"/>
      <c r="CP603" s="40"/>
      <c r="CQ603" s="40"/>
      <c r="CR603" s="40"/>
      <c r="CS603" s="40"/>
      <c r="CT603" s="40"/>
      <c r="CU603" s="40"/>
      <c r="CV603" s="40"/>
      <c r="CW603" s="40"/>
      <c r="CX603" s="40"/>
      <c r="CY603" s="40"/>
      <c r="CZ603" s="40"/>
      <c r="DA603" s="11"/>
      <c r="DB603" s="11"/>
      <c r="DC603" s="11"/>
      <c r="DD603" s="11"/>
      <c r="DE603" s="11"/>
      <c r="DF603" s="11"/>
      <c r="DG603" s="11"/>
    </row>
    <row r="604" ht="15.75" customHeight="1">
      <c r="A604" s="41"/>
      <c r="B604" s="11"/>
      <c r="C604" s="11"/>
      <c r="D604" s="11"/>
      <c r="E604" s="11"/>
      <c r="F604" s="11"/>
      <c r="G604" s="11"/>
      <c r="H604" s="11"/>
      <c r="I604" s="41"/>
      <c r="J604" s="11"/>
      <c r="K604" s="11"/>
      <c r="L604" s="11"/>
      <c r="M604" s="11"/>
      <c r="N604" s="11"/>
      <c r="O604" s="11"/>
      <c r="P604" s="11"/>
      <c r="Q604" s="41"/>
      <c r="R604" s="11"/>
      <c r="S604" s="11"/>
      <c r="T604" s="11"/>
      <c r="U604" s="11"/>
      <c r="V604" s="11"/>
      <c r="W604" s="11"/>
      <c r="X604" s="11"/>
      <c r="Y604" s="4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  <c r="CD604" s="11"/>
      <c r="CE604" s="11"/>
      <c r="CF604" s="11"/>
      <c r="CG604" s="11"/>
      <c r="CH604" s="11"/>
      <c r="CI604" s="11"/>
      <c r="CJ604" s="11"/>
      <c r="CK604" s="11"/>
      <c r="CL604" s="11"/>
      <c r="CM604" s="11"/>
      <c r="CN604" s="11"/>
      <c r="CO604" s="11"/>
      <c r="CP604" s="40"/>
      <c r="CQ604" s="40"/>
      <c r="CR604" s="40"/>
      <c r="CS604" s="40"/>
      <c r="CT604" s="40"/>
      <c r="CU604" s="40"/>
      <c r="CV604" s="40"/>
      <c r="CW604" s="40"/>
      <c r="CX604" s="40"/>
      <c r="CY604" s="40"/>
      <c r="CZ604" s="40"/>
      <c r="DA604" s="11"/>
      <c r="DB604" s="11"/>
      <c r="DC604" s="11"/>
      <c r="DD604" s="11"/>
      <c r="DE604" s="11"/>
      <c r="DF604" s="11"/>
      <c r="DG604" s="11"/>
    </row>
    <row r="605" ht="15.75" customHeight="1">
      <c r="A605" s="41"/>
      <c r="B605" s="11"/>
      <c r="C605" s="11"/>
      <c r="D605" s="11"/>
      <c r="E605" s="11"/>
      <c r="F605" s="11"/>
      <c r="G605" s="11"/>
      <c r="H605" s="11"/>
      <c r="I605" s="41"/>
      <c r="J605" s="11"/>
      <c r="K605" s="11"/>
      <c r="L605" s="11"/>
      <c r="M605" s="11"/>
      <c r="N605" s="11"/>
      <c r="O605" s="11"/>
      <c r="P605" s="11"/>
      <c r="Q605" s="41"/>
      <c r="R605" s="11"/>
      <c r="S605" s="11"/>
      <c r="T605" s="11"/>
      <c r="U605" s="11"/>
      <c r="V605" s="11"/>
      <c r="W605" s="11"/>
      <c r="X605" s="11"/>
      <c r="Y605" s="4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  <c r="CD605" s="11"/>
      <c r="CE605" s="11"/>
      <c r="CF605" s="11"/>
      <c r="CG605" s="11"/>
      <c r="CH605" s="11"/>
      <c r="CI605" s="11"/>
      <c r="CJ605" s="11"/>
      <c r="CK605" s="11"/>
      <c r="CL605" s="11"/>
      <c r="CM605" s="11"/>
      <c r="CN605" s="11"/>
      <c r="CO605" s="11"/>
      <c r="CP605" s="40"/>
      <c r="CQ605" s="40"/>
      <c r="CR605" s="40"/>
      <c r="CS605" s="40"/>
      <c r="CT605" s="40"/>
      <c r="CU605" s="40"/>
      <c r="CV605" s="40"/>
      <c r="CW605" s="40"/>
      <c r="CX605" s="40"/>
      <c r="CY605" s="40"/>
      <c r="CZ605" s="40"/>
      <c r="DA605" s="11"/>
      <c r="DB605" s="11"/>
      <c r="DC605" s="11"/>
      <c r="DD605" s="11"/>
      <c r="DE605" s="11"/>
      <c r="DF605" s="11"/>
      <c r="DG605" s="11"/>
    </row>
    <row r="606" ht="15.75" customHeight="1">
      <c r="A606" s="41"/>
      <c r="B606" s="11"/>
      <c r="C606" s="11"/>
      <c r="D606" s="11"/>
      <c r="E606" s="11"/>
      <c r="F606" s="11"/>
      <c r="G606" s="11"/>
      <c r="H606" s="11"/>
      <c r="I606" s="41"/>
      <c r="J606" s="11"/>
      <c r="K606" s="11"/>
      <c r="L606" s="11"/>
      <c r="M606" s="11"/>
      <c r="N606" s="11"/>
      <c r="O606" s="11"/>
      <c r="P606" s="11"/>
      <c r="Q606" s="41"/>
      <c r="R606" s="11"/>
      <c r="S606" s="11"/>
      <c r="T606" s="11"/>
      <c r="U606" s="11"/>
      <c r="V606" s="11"/>
      <c r="W606" s="11"/>
      <c r="X606" s="11"/>
      <c r="Y606" s="4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  <c r="CD606" s="11"/>
      <c r="CE606" s="11"/>
      <c r="CF606" s="11"/>
      <c r="CG606" s="11"/>
      <c r="CH606" s="11"/>
      <c r="CI606" s="11"/>
      <c r="CJ606" s="11"/>
      <c r="CK606" s="11"/>
      <c r="CL606" s="11"/>
      <c r="CM606" s="11"/>
      <c r="CN606" s="11"/>
      <c r="CO606" s="11"/>
      <c r="CP606" s="40"/>
      <c r="CQ606" s="40"/>
      <c r="CR606" s="40"/>
      <c r="CS606" s="40"/>
      <c r="CT606" s="40"/>
      <c r="CU606" s="40"/>
      <c r="CV606" s="40"/>
      <c r="CW606" s="40"/>
      <c r="CX606" s="40"/>
      <c r="CY606" s="40"/>
      <c r="CZ606" s="40"/>
      <c r="DA606" s="11"/>
      <c r="DB606" s="11"/>
      <c r="DC606" s="11"/>
      <c r="DD606" s="11"/>
      <c r="DE606" s="11"/>
      <c r="DF606" s="11"/>
      <c r="DG606" s="11"/>
    </row>
    <row r="607" ht="15.75" customHeight="1">
      <c r="A607" s="41"/>
      <c r="B607" s="11"/>
      <c r="C607" s="11"/>
      <c r="D607" s="11"/>
      <c r="E607" s="11"/>
      <c r="F607" s="11"/>
      <c r="G607" s="11"/>
      <c r="H607" s="11"/>
      <c r="I607" s="41"/>
      <c r="J607" s="11"/>
      <c r="K607" s="11"/>
      <c r="L607" s="11"/>
      <c r="M607" s="11"/>
      <c r="N607" s="11"/>
      <c r="O607" s="11"/>
      <c r="P607" s="11"/>
      <c r="Q607" s="41"/>
      <c r="R607" s="11"/>
      <c r="S607" s="11"/>
      <c r="T607" s="11"/>
      <c r="U607" s="11"/>
      <c r="V607" s="11"/>
      <c r="W607" s="11"/>
      <c r="X607" s="11"/>
      <c r="Y607" s="4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  <c r="CD607" s="11"/>
      <c r="CE607" s="11"/>
      <c r="CF607" s="11"/>
      <c r="CG607" s="11"/>
      <c r="CH607" s="11"/>
      <c r="CI607" s="11"/>
      <c r="CJ607" s="11"/>
      <c r="CK607" s="11"/>
      <c r="CL607" s="11"/>
      <c r="CM607" s="11"/>
      <c r="CN607" s="11"/>
      <c r="CO607" s="11"/>
      <c r="CP607" s="40"/>
      <c r="CQ607" s="40"/>
      <c r="CR607" s="40"/>
      <c r="CS607" s="40"/>
      <c r="CT607" s="40"/>
      <c r="CU607" s="40"/>
      <c r="CV607" s="40"/>
      <c r="CW607" s="40"/>
      <c r="CX607" s="40"/>
      <c r="CY607" s="40"/>
      <c r="CZ607" s="40"/>
      <c r="DA607" s="11"/>
      <c r="DB607" s="11"/>
      <c r="DC607" s="11"/>
      <c r="DD607" s="11"/>
      <c r="DE607" s="11"/>
      <c r="DF607" s="11"/>
      <c r="DG607" s="11"/>
    </row>
    <row r="608" ht="15.75" customHeight="1">
      <c r="A608" s="41"/>
      <c r="B608" s="11"/>
      <c r="C608" s="11"/>
      <c r="D608" s="11"/>
      <c r="E608" s="11"/>
      <c r="F608" s="11"/>
      <c r="G608" s="11"/>
      <c r="H608" s="11"/>
      <c r="I608" s="41"/>
      <c r="J608" s="11"/>
      <c r="K608" s="11"/>
      <c r="L608" s="11"/>
      <c r="M608" s="11"/>
      <c r="N608" s="11"/>
      <c r="O608" s="11"/>
      <c r="P608" s="11"/>
      <c r="Q608" s="41"/>
      <c r="R608" s="11"/>
      <c r="S608" s="11"/>
      <c r="T608" s="11"/>
      <c r="U608" s="11"/>
      <c r="V608" s="11"/>
      <c r="W608" s="11"/>
      <c r="X608" s="11"/>
      <c r="Y608" s="4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  <c r="CD608" s="11"/>
      <c r="CE608" s="11"/>
      <c r="CF608" s="11"/>
      <c r="CG608" s="11"/>
      <c r="CH608" s="11"/>
      <c r="CI608" s="11"/>
      <c r="CJ608" s="11"/>
      <c r="CK608" s="11"/>
      <c r="CL608" s="11"/>
      <c r="CM608" s="11"/>
      <c r="CN608" s="11"/>
      <c r="CO608" s="11"/>
      <c r="CP608" s="40"/>
      <c r="CQ608" s="40"/>
      <c r="CR608" s="40"/>
      <c r="CS608" s="40"/>
      <c r="CT608" s="40"/>
      <c r="CU608" s="40"/>
      <c r="CV608" s="40"/>
      <c r="CW608" s="40"/>
      <c r="CX608" s="40"/>
      <c r="CY608" s="40"/>
      <c r="CZ608" s="40"/>
      <c r="DA608" s="11"/>
      <c r="DB608" s="11"/>
      <c r="DC608" s="11"/>
      <c r="DD608" s="11"/>
      <c r="DE608" s="11"/>
      <c r="DF608" s="11"/>
      <c r="DG608" s="11"/>
    </row>
    <row r="609" ht="15.75" customHeight="1">
      <c r="A609" s="41"/>
      <c r="B609" s="11"/>
      <c r="C609" s="11"/>
      <c r="D609" s="11"/>
      <c r="E609" s="11"/>
      <c r="F609" s="11"/>
      <c r="G609" s="11"/>
      <c r="H609" s="11"/>
      <c r="I609" s="41"/>
      <c r="J609" s="11"/>
      <c r="K609" s="11"/>
      <c r="L609" s="11"/>
      <c r="M609" s="11"/>
      <c r="N609" s="11"/>
      <c r="O609" s="11"/>
      <c r="P609" s="11"/>
      <c r="Q609" s="41"/>
      <c r="R609" s="11"/>
      <c r="S609" s="11"/>
      <c r="T609" s="11"/>
      <c r="U609" s="11"/>
      <c r="V609" s="11"/>
      <c r="W609" s="11"/>
      <c r="X609" s="11"/>
      <c r="Y609" s="4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CH609" s="11"/>
      <c r="CI609" s="11"/>
      <c r="CJ609" s="11"/>
      <c r="CK609" s="11"/>
      <c r="CL609" s="11"/>
      <c r="CM609" s="11"/>
      <c r="CN609" s="11"/>
      <c r="CO609" s="11"/>
      <c r="CP609" s="40"/>
      <c r="CQ609" s="40"/>
      <c r="CR609" s="40"/>
      <c r="CS609" s="40"/>
      <c r="CT609" s="40"/>
      <c r="CU609" s="40"/>
      <c r="CV609" s="40"/>
      <c r="CW609" s="40"/>
      <c r="CX609" s="40"/>
      <c r="CY609" s="40"/>
      <c r="CZ609" s="40"/>
      <c r="DA609" s="11"/>
      <c r="DB609" s="11"/>
      <c r="DC609" s="11"/>
      <c r="DD609" s="11"/>
      <c r="DE609" s="11"/>
      <c r="DF609" s="11"/>
      <c r="DG609" s="11"/>
    </row>
    <row r="610" ht="15.75" customHeight="1">
      <c r="A610" s="41"/>
      <c r="B610" s="11"/>
      <c r="C610" s="11"/>
      <c r="D610" s="11"/>
      <c r="E610" s="11"/>
      <c r="F610" s="11"/>
      <c r="G610" s="11"/>
      <c r="H610" s="11"/>
      <c r="I610" s="41"/>
      <c r="J610" s="11"/>
      <c r="K610" s="11"/>
      <c r="L610" s="11"/>
      <c r="M610" s="11"/>
      <c r="N610" s="11"/>
      <c r="O610" s="11"/>
      <c r="P610" s="11"/>
      <c r="Q610" s="41"/>
      <c r="R610" s="11"/>
      <c r="S610" s="11"/>
      <c r="T610" s="11"/>
      <c r="U610" s="11"/>
      <c r="V610" s="11"/>
      <c r="W610" s="11"/>
      <c r="X610" s="11"/>
      <c r="Y610" s="4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  <c r="CD610" s="11"/>
      <c r="CE610" s="11"/>
      <c r="CF610" s="11"/>
      <c r="CG610" s="11"/>
      <c r="CH610" s="11"/>
      <c r="CI610" s="11"/>
      <c r="CJ610" s="11"/>
      <c r="CK610" s="11"/>
      <c r="CL610" s="11"/>
      <c r="CM610" s="11"/>
      <c r="CN610" s="11"/>
      <c r="CO610" s="11"/>
      <c r="CP610" s="40"/>
      <c r="CQ610" s="40"/>
      <c r="CR610" s="40"/>
      <c r="CS610" s="40"/>
      <c r="CT610" s="40"/>
      <c r="CU610" s="40"/>
      <c r="CV610" s="40"/>
      <c r="CW610" s="40"/>
      <c r="CX610" s="40"/>
      <c r="CY610" s="40"/>
      <c r="CZ610" s="40"/>
      <c r="DA610" s="11"/>
      <c r="DB610" s="11"/>
      <c r="DC610" s="11"/>
      <c r="DD610" s="11"/>
      <c r="DE610" s="11"/>
      <c r="DF610" s="11"/>
      <c r="DG610" s="11"/>
    </row>
    <row r="611" ht="15.75" customHeight="1">
      <c r="A611" s="41"/>
      <c r="B611" s="11"/>
      <c r="C611" s="11"/>
      <c r="D611" s="11"/>
      <c r="E611" s="11"/>
      <c r="F611" s="11"/>
      <c r="G611" s="11"/>
      <c r="H611" s="11"/>
      <c r="I611" s="41"/>
      <c r="J611" s="11"/>
      <c r="K611" s="11"/>
      <c r="L611" s="11"/>
      <c r="M611" s="11"/>
      <c r="N611" s="11"/>
      <c r="O611" s="11"/>
      <c r="P611" s="11"/>
      <c r="Q611" s="41"/>
      <c r="R611" s="11"/>
      <c r="S611" s="11"/>
      <c r="T611" s="11"/>
      <c r="U611" s="11"/>
      <c r="V611" s="11"/>
      <c r="W611" s="11"/>
      <c r="X611" s="11"/>
      <c r="Y611" s="4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  <c r="CD611" s="11"/>
      <c r="CE611" s="11"/>
      <c r="CF611" s="11"/>
      <c r="CG611" s="11"/>
      <c r="CH611" s="11"/>
      <c r="CI611" s="11"/>
      <c r="CJ611" s="11"/>
      <c r="CK611" s="11"/>
      <c r="CL611" s="11"/>
      <c r="CM611" s="11"/>
      <c r="CN611" s="11"/>
      <c r="CO611" s="11"/>
      <c r="CP611" s="40"/>
      <c r="CQ611" s="40"/>
      <c r="CR611" s="40"/>
      <c r="CS611" s="40"/>
      <c r="CT611" s="40"/>
      <c r="CU611" s="40"/>
      <c r="CV611" s="40"/>
      <c r="CW611" s="40"/>
      <c r="CX611" s="40"/>
      <c r="CY611" s="40"/>
      <c r="CZ611" s="40"/>
      <c r="DA611" s="11"/>
      <c r="DB611" s="11"/>
      <c r="DC611" s="11"/>
      <c r="DD611" s="11"/>
      <c r="DE611" s="11"/>
      <c r="DF611" s="11"/>
      <c r="DG611" s="11"/>
    </row>
    <row r="612" ht="15.75" customHeight="1">
      <c r="A612" s="41"/>
      <c r="B612" s="11"/>
      <c r="C612" s="11"/>
      <c r="D612" s="11"/>
      <c r="E612" s="11"/>
      <c r="F612" s="11"/>
      <c r="G612" s="11"/>
      <c r="H612" s="11"/>
      <c r="I612" s="41"/>
      <c r="J612" s="11"/>
      <c r="K612" s="11"/>
      <c r="L612" s="11"/>
      <c r="M612" s="11"/>
      <c r="N612" s="11"/>
      <c r="O612" s="11"/>
      <c r="P612" s="11"/>
      <c r="Q612" s="41"/>
      <c r="R612" s="11"/>
      <c r="S612" s="11"/>
      <c r="T612" s="11"/>
      <c r="U612" s="11"/>
      <c r="V612" s="11"/>
      <c r="W612" s="11"/>
      <c r="X612" s="11"/>
      <c r="Y612" s="4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  <c r="CD612" s="11"/>
      <c r="CE612" s="11"/>
      <c r="CF612" s="11"/>
      <c r="CG612" s="11"/>
      <c r="CH612" s="11"/>
      <c r="CI612" s="11"/>
      <c r="CJ612" s="11"/>
      <c r="CK612" s="11"/>
      <c r="CL612" s="11"/>
      <c r="CM612" s="11"/>
      <c r="CN612" s="11"/>
      <c r="CO612" s="11"/>
      <c r="CP612" s="40"/>
      <c r="CQ612" s="40"/>
      <c r="CR612" s="40"/>
      <c r="CS612" s="40"/>
      <c r="CT612" s="40"/>
      <c r="CU612" s="40"/>
      <c r="CV612" s="40"/>
      <c r="CW612" s="40"/>
      <c r="CX612" s="40"/>
      <c r="CY612" s="40"/>
      <c r="CZ612" s="40"/>
      <c r="DA612" s="11"/>
      <c r="DB612" s="11"/>
      <c r="DC612" s="11"/>
      <c r="DD612" s="11"/>
      <c r="DE612" s="11"/>
      <c r="DF612" s="11"/>
      <c r="DG612" s="11"/>
    </row>
    <row r="613" ht="15.75" customHeight="1">
      <c r="A613" s="41"/>
      <c r="B613" s="11"/>
      <c r="C613" s="11"/>
      <c r="D613" s="11"/>
      <c r="E613" s="11"/>
      <c r="F613" s="11"/>
      <c r="G613" s="11"/>
      <c r="H613" s="11"/>
      <c r="I613" s="41"/>
      <c r="J613" s="11"/>
      <c r="K613" s="11"/>
      <c r="L613" s="11"/>
      <c r="M613" s="11"/>
      <c r="N613" s="11"/>
      <c r="O613" s="11"/>
      <c r="P613" s="11"/>
      <c r="Q613" s="41"/>
      <c r="R613" s="11"/>
      <c r="S613" s="11"/>
      <c r="T613" s="11"/>
      <c r="U613" s="11"/>
      <c r="V613" s="11"/>
      <c r="W613" s="11"/>
      <c r="X613" s="11"/>
      <c r="Y613" s="4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/>
      <c r="CG613" s="11"/>
      <c r="CH613" s="11"/>
      <c r="CI613" s="11"/>
      <c r="CJ613" s="11"/>
      <c r="CK613" s="11"/>
      <c r="CL613" s="11"/>
      <c r="CM613" s="11"/>
      <c r="CN613" s="11"/>
      <c r="CO613" s="11"/>
      <c r="CP613" s="40"/>
      <c r="CQ613" s="40"/>
      <c r="CR613" s="40"/>
      <c r="CS613" s="40"/>
      <c r="CT613" s="40"/>
      <c r="CU613" s="40"/>
      <c r="CV613" s="40"/>
      <c r="CW613" s="40"/>
      <c r="CX613" s="40"/>
      <c r="CY613" s="40"/>
      <c r="CZ613" s="40"/>
      <c r="DA613" s="11"/>
      <c r="DB613" s="11"/>
      <c r="DC613" s="11"/>
      <c r="DD613" s="11"/>
      <c r="DE613" s="11"/>
      <c r="DF613" s="11"/>
      <c r="DG613" s="11"/>
    </row>
    <row r="614" ht="15.75" customHeight="1">
      <c r="A614" s="41"/>
      <c r="B614" s="11"/>
      <c r="C614" s="11"/>
      <c r="D614" s="11"/>
      <c r="E614" s="11"/>
      <c r="F614" s="11"/>
      <c r="G614" s="11"/>
      <c r="H614" s="11"/>
      <c r="I614" s="41"/>
      <c r="J614" s="11"/>
      <c r="K614" s="11"/>
      <c r="L614" s="11"/>
      <c r="M614" s="11"/>
      <c r="N614" s="11"/>
      <c r="O614" s="11"/>
      <c r="P614" s="11"/>
      <c r="Q614" s="41"/>
      <c r="R614" s="11"/>
      <c r="S614" s="11"/>
      <c r="T614" s="11"/>
      <c r="U614" s="11"/>
      <c r="V614" s="11"/>
      <c r="W614" s="11"/>
      <c r="X614" s="11"/>
      <c r="Y614" s="4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  <c r="CD614" s="11"/>
      <c r="CE614" s="11"/>
      <c r="CF614" s="11"/>
      <c r="CG614" s="11"/>
      <c r="CH614" s="11"/>
      <c r="CI614" s="11"/>
      <c r="CJ614" s="11"/>
      <c r="CK614" s="11"/>
      <c r="CL614" s="11"/>
      <c r="CM614" s="11"/>
      <c r="CN614" s="11"/>
      <c r="CO614" s="11"/>
      <c r="CP614" s="40"/>
      <c r="CQ614" s="40"/>
      <c r="CR614" s="40"/>
      <c r="CS614" s="40"/>
      <c r="CT614" s="40"/>
      <c r="CU614" s="40"/>
      <c r="CV614" s="40"/>
      <c r="CW614" s="40"/>
      <c r="CX614" s="40"/>
      <c r="CY614" s="40"/>
      <c r="CZ614" s="40"/>
      <c r="DA614" s="11"/>
      <c r="DB614" s="11"/>
      <c r="DC614" s="11"/>
      <c r="DD614" s="11"/>
      <c r="DE614" s="11"/>
      <c r="DF614" s="11"/>
      <c r="DG614" s="11"/>
    </row>
    <row r="615" ht="15.75" customHeight="1">
      <c r="A615" s="41"/>
      <c r="B615" s="11"/>
      <c r="C615" s="11"/>
      <c r="D615" s="11"/>
      <c r="E615" s="11"/>
      <c r="F615" s="11"/>
      <c r="G615" s="11"/>
      <c r="H615" s="11"/>
      <c r="I615" s="41"/>
      <c r="J615" s="11"/>
      <c r="K615" s="11"/>
      <c r="L615" s="11"/>
      <c r="M615" s="11"/>
      <c r="N615" s="11"/>
      <c r="O615" s="11"/>
      <c r="P615" s="11"/>
      <c r="Q615" s="41"/>
      <c r="R615" s="11"/>
      <c r="S615" s="11"/>
      <c r="T615" s="11"/>
      <c r="U615" s="11"/>
      <c r="V615" s="11"/>
      <c r="W615" s="11"/>
      <c r="X615" s="11"/>
      <c r="Y615" s="4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  <c r="CD615" s="11"/>
      <c r="CE615" s="11"/>
      <c r="CF615" s="11"/>
      <c r="CG615" s="11"/>
      <c r="CH615" s="11"/>
      <c r="CI615" s="11"/>
      <c r="CJ615" s="11"/>
      <c r="CK615" s="11"/>
      <c r="CL615" s="11"/>
      <c r="CM615" s="11"/>
      <c r="CN615" s="11"/>
      <c r="CO615" s="11"/>
      <c r="CP615" s="40"/>
      <c r="CQ615" s="40"/>
      <c r="CR615" s="40"/>
      <c r="CS615" s="40"/>
      <c r="CT615" s="40"/>
      <c r="CU615" s="40"/>
      <c r="CV615" s="40"/>
      <c r="CW615" s="40"/>
      <c r="CX615" s="40"/>
      <c r="CY615" s="40"/>
      <c r="CZ615" s="40"/>
      <c r="DA615" s="11"/>
      <c r="DB615" s="11"/>
      <c r="DC615" s="11"/>
      <c r="DD615" s="11"/>
      <c r="DE615" s="11"/>
      <c r="DF615" s="11"/>
      <c r="DG615" s="11"/>
    </row>
    <row r="616" ht="15.75" customHeight="1">
      <c r="A616" s="41"/>
      <c r="B616" s="11"/>
      <c r="C616" s="11"/>
      <c r="D616" s="11"/>
      <c r="E616" s="11"/>
      <c r="F616" s="11"/>
      <c r="G616" s="11"/>
      <c r="H616" s="11"/>
      <c r="I616" s="41"/>
      <c r="J616" s="11"/>
      <c r="K616" s="11"/>
      <c r="L616" s="11"/>
      <c r="M616" s="11"/>
      <c r="N616" s="11"/>
      <c r="O616" s="11"/>
      <c r="P616" s="11"/>
      <c r="Q616" s="41"/>
      <c r="R616" s="11"/>
      <c r="S616" s="11"/>
      <c r="T616" s="11"/>
      <c r="U616" s="11"/>
      <c r="V616" s="11"/>
      <c r="W616" s="11"/>
      <c r="X616" s="11"/>
      <c r="Y616" s="4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  <c r="CD616" s="11"/>
      <c r="CE616" s="11"/>
      <c r="CF616" s="11"/>
      <c r="CG616" s="11"/>
      <c r="CH616" s="11"/>
      <c r="CI616" s="11"/>
      <c r="CJ616" s="11"/>
      <c r="CK616" s="11"/>
      <c r="CL616" s="11"/>
      <c r="CM616" s="11"/>
      <c r="CN616" s="11"/>
      <c r="CO616" s="11"/>
      <c r="CP616" s="40"/>
      <c r="CQ616" s="40"/>
      <c r="CR616" s="40"/>
      <c r="CS616" s="40"/>
      <c r="CT616" s="40"/>
      <c r="CU616" s="40"/>
      <c r="CV616" s="40"/>
      <c r="CW616" s="40"/>
      <c r="CX616" s="40"/>
      <c r="CY616" s="40"/>
      <c r="CZ616" s="40"/>
      <c r="DA616" s="11"/>
      <c r="DB616" s="11"/>
      <c r="DC616" s="11"/>
      <c r="DD616" s="11"/>
      <c r="DE616" s="11"/>
      <c r="DF616" s="11"/>
      <c r="DG616" s="11"/>
    </row>
    <row r="617" ht="15.75" customHeight="1">
      <c r="A617" s="41"/>
      <c r="B617" s="11"/>
      <c r="C617" s="11"/>
      <c r="D617" s="11"/>
      <c r="E617" s="11"/>
      <c r="F617" s="11"/>
      <c r="G617" s="11"/>
      <c r="H617" s="11"/>
      <c r="I617" s="41"/>
      <c r="J617" s="11"/>
      <c r="K617" s="11"/>
      <c r="L617" s="11"/>
      <c r="M617" s="11"/>
      <c r="N617" s="11"/>
      <c r="O617" s="11"/>
      <c r="P617" s="11"/>
      <c r="Q617" s="41"/>
      <c r="R617" s="11"/>
      <c r="S617" s="11"/>
      <c r="T617" s="11"/>
      <c r="U617" s="11"/>
      <c r="V617" s="11"/>
      <c r="W617" s="11"/>
      <c r="X617" s="11"/>
      <c r="Y617" s="4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  <c r="CD617" s="11"/>
      <c r="CE617" s="11"/>
      <c r="CF617" s="11"/>
      <c r="CG617" s="11"/>
      <c r="CH617" s="11"/>
      <c r="CI617" s="11"/>
      <c r="CJ617" s="11"/>
      <c r="CK617" s="11"/>
      <c r="CL617" s="11"/>
      <c r="CM617" s="11"/>
      <c r="CN617" s="11"/>
      <c r="CO617" s="11"/>
      <c r="CP617" s="40"/>
      <c r="CQ617" s="40"/>
      <c r="CR617" s="40"/>
      <c r="CS617" s="40"/>
      <c r="CT617" s="40"/>
      <c r="CU617" s="40"/>
      <c r="CV617" s="40"/>
      <c r="CW617" s="40"/>
      <c r="CX617" s="40"/>
      <c r="CY617" s="40"/>
      <c r="CZ617" s="40"/>
      <c r="DA617" s="11"/>
      <c r="DB617" s="11"/>
      <c r="DC617" s="11"/>
      <c r="DD617" s="11"/>
      <c r="DE617" s="11"/>
      <c r="DF617" s="11"/>
      <c r="DG617" s="11"/>
    </row>
    <row r="618" ht="15.75" customHeight="1">
      <c r="A618" s="41"/>
      <c r="B618" s="11"/>
      <c r="C618" s="11"/>
      <c r="D618" s="11"/>
      <c r="E618" s="11"/>
      <c r="F618" s="11"/>
      <c r="G618" s="11"/>
      <c r="H618" s="11"/>
      <c r="I618" s="41"/>
      <c r="J618" s="11"/>
      <c r="K618" s="11"/>
      <c r="L618" s="11"/>
      <c r="M618" s="11"/>
      <c r="N618" s="11"/>
      <c r="O618" s="11"/>
      <c r="P618" s="11"/>
      <c r="Q618" s="41"/>
      <c r="R618" s="11"/>
      <c r="S618" s="11"/>
      <c r="T618" s="11"/>
      <c r="U618" s="11"/>
      <c r="V618" s="11"/>
      <c r="W618" s="11"/>
      <c r="X618" s="11"/>
      <c r="Y618" s="4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/>
      <c r="CG618" s="11"/>
      <c r="CH618" s="11"/>
      <c r="CI618" s="11"/>
      <c r="CJ618" s="11"/>
      <c r="CK618" s="11"/>
      <c r="CL618" s="11"/>
      <c r="CM618" s="11"/>
      <c r="CN618" s="11"/>
      <c r="CO618" s="11"/>
      <c r="CP618" s="40"/>
      <c r="CQ618" s="40"/>
      <c r="CR618" s="40"/>
      <c r="CS618" s="40"/>
      <c r="CT618" s="40"/>
      <c r="CU618" s="40"/>
      <c r="CV618" s="40"/>
      <c r="CW618" s="40"/>
      <c r="CX618" s="40"/>
      <c r="CY618" s="40"/>
      <c r="CZ618" s="40"/>
      <c r="DA618" s="11"/>
      <c r="DB618" s="11"/>
      <c r="DC618" s="11"/>
      <c r="DD618" s="11"/>
      <c r="DE618" s="11"/>
      <c r="DF618" s="11"/>
      <c r="DG618" s="11"/>
    </row>
    <row r="619" ht="15.75" customHeight="1">
      <c r="A619" s="41"/>
      <c r="B619" s="11"/>
      <c r="C619" s="11"/>
      <c r="D619" s="11"/>
      <c r="E619" s="11"/>
      <c r="F619" s="11"/>
      <c r="G619" s="11"/>
      <c r="H619" s="11"/>
      <c r="I619" s="41"/>
      <c r="J619" s="11"/>
      <c r="K619" s="11"/>
      <c r="L619" s="11"/>
      <c r="M619" s="11"/>
      <c r="N619" s="11"/>
      <c r="O619" s="11"/>
      <c r="P619" s="11"/>
      <c r="Q619" s="41"/>
      <c r="R619" s="11"/>
      <c r="S619" s="11"/>
      <c r="T619" s="11"/>
      <c r="U619" s="11"/>
      <c r="V619" s="11"/>
      <c r="W619" s="11"/>
      <c r="X619" s="11"/>
      <c r="Y619" s="4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CH619" s="11"/>
      <c r="CI619" s="11"/>
      <c r="CJ619" s="11"/>
      <c r="CK619" s="11"/>
      <c r="CL619" s="11"/>
      <c r="CM619" s="11"/>
      <c r="CN619" s="11"/>
      <c r="CO619" s="11"/>
      <c r="CP619" s="40"/>
      <c r="CQ619" s="40"/>
      <c r="CR619" s="40"/>
      <c r="CS619" s="40"/>
      <c r="CT619" s="40"/>
      <c r="CU619" s="40"/>
      <c r="CV619" s="40"/>
      <c r="CW619" s="40"/>
      <c r="CX619" s="40"/>
      <c r="CY619" s="40"/>
      <c r="CZ619" s="40"/>
      <c r="DA619" s="11"/>
      <c r="DB619" s="11"/>
      <c r="DC619" s="11"/>
      <c r="DD619" s="11"/>
      <c r="DE619" s="11"/>
      <c r="DF619" s="11"/>
      <c r="DG619" s="11"/>
    </row>
    <row r="620" ht="15.75" customHeight="1">
      <c r="A620" s="41"/>
      <c r="B620" s="11"/>
      <c r="C620" s="11"/>
      <c r="D620" s="11"/>
      <c r="E620" s="11"/>
      <c r="F620" s="11"/>
      <c r="G620" s="11"/>
      <c r="H620" s="11"/>
      <c r="I620" s="41"/>
      <c r="J620" s="11"/>
      <c r="K620" s="11"/>
      <c r="L620" s="11"/>
      <c r="M620" s="11"/>
      <c r="N620" s="11"/>
      <c r="O620" s="11"/>
      <c r="P620" s="11"/>
      <c r="Q620" s="41"/>
      <c r="R620" s="11"/>
      <c r="S620" s="11"/>
      <c r="T620" s="11"/>
      <c r="U620" s="11"/>
      <c r="V620" s="11"/>
      <c r="W620" s="11"/>
      <c r="X620" s="11"/>
      <c r="Y620" s="4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  <c r="CH620" s="11"/>
      <c r="CI620" s="11"/>
      <c r="CJ620" s="11"/>
      <c r="CK620" s="11"/>
      <c r="CL620" s="11"/>
      <c r="CM620" s="11"/>
      <c r="CN620" s="11"/>
      <c r="CO620" s="11"/>
      <c r="CP620" s="40"/>
      <c r="CQ620" s="40"/>
      <c r="CR620" s="40"/>
      <c r="CS620" s="40"/>
      <c r="CT620" s="40"/>
      <c r="CU620" s="40"/>
      <c r="CV620" s="40"/>
      <c r="CW620" s="40"/>
      <c r="CX620" s="40"/>
      <c r="CY620" s="40"/>
      <c r="CZ620" s="40"/>
      <c r="DA620" s="11"/>
      <c r="DB620" s="11"/>
      <c r="DC620" s="11"/>
      <c r="DD620" s="11"/>
      <c r="DE620" s="11"/>
      <c r="DF620" s="11"/>
      <c r="DG620" s="11"/>
    </row>
    <row r="621" ht="15.75" customHeight="1">
      <c r="A621" s="41"/>
      <c r="B621" s="11"/>
      <c r="C621" s="11"/>
      <c r="D621" s="11"/>
      <c r="E621" s="11"/>
      <c r="F621" s="11"/>
      <c r="G621" s="11"/>
      <c r="H621" s="11"/>
      <c r="I621" s="41"/>
      <c r="J621" s="11"/>
      <c r="K621" s="11"/>
      <c r="L621" s="11"/>
      <c r="M621" s="11"/>
      <c r="N621" s="11"/>
      <c r="O621" s="11"/>
      <c r="P621" s="11"/>
      <c r="Q621" s="41"/>
      <c r="R621" s="11"/>
      <c r="S621" s="11"/>
      <c r="T621" s="11"/>
      <c r="U621" s="11"/>
      <c r="V621" s="11"/>
      <c r="W621" s="11"/>
      <c r="X621" s="11"/>
      <c r="Y621" s="4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  <c r="CD621" s="11"/>
      <c r="CE621" s="11"/>
      <c r="CF621" s="11"/>
      <c r="CG621" s="11"/>
      <c r="CH621" s="11"/>
      <c r="CI621" s="11"/>
      <c r="CJ621" s="11"/>
      <c r="CK621" s="11"/>
      <c r="CL621" s="11"/>
      <c r="CM621" s="11"/>
      <c r="CN621" s="11"/>
      <c r="CO621" s="11"/>
      <c r="CP621" s="40"/>
      <c r="CQ621" s="40"/>
      <c r="CR621" s="40"/>
      <c r="CS621" s="40"/>
      <c r="CT621" s="40"/>
      <c r="CU621" s="40"/>
      <c r="CV621" s="40"/>
      <c r="CW621" s="40"/>
      <c r="CX621" s="40"/>
      <c r="CY621" s="40"/>
      <c r="CZ621" s="40"/>
      <c r="DA621" s="11"/>
      <c r="DB621" s="11"/>
      <c r="DC621" s="11"/>
      <c r="DD621" s="11"/>
      <c r="DE621" s="11"/>
      <c r="DF621" s="11"/>
      <c r="DG621" s="11"/>
    </row>
    <row r="622" ht="15.75" customHeight="1">
      <c r="A622" s="41"/>
      <c r="B622" s="11"/>
      <c r="C622" s="11"/>
      <c r="D622" s="11"/>
      <c r="E622" s="11"/>
      <c r="F622" s="11"/>
      <c r="G622" s="11"/>
      <c r="H622" s="11"/>
      <c r="I622" s="41"/>
      <c r="J622" s="11"/>
      <c r="K622" s="11"/>
      <c r="L622" s="11"/>
      <c r="M622" s="11"/>
      <c r="N622" s="11"/>
      <c r="O622" s="11"/>
      <c r="P622" s="11"/>
      <c r="Q622" s="41"/>
      <c r="R622" s="11"/>
      <c r="S622" s="11"/>
      <c r="T622" s="11"/>
      <c r="U622" s="11"/>
      <c r="V622" s="11"/>
      <c r="W622" s="11"/>
      <c r="X622" s="11"/>
      <c r="Y622" s="4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  <c r="CD622" s="11"/>
      <c r="CE622" s="11"/>
      <c r="CF622" s="11"/>
      <c r="CG622" s="11"/>
      <c r="CH622" s="11"/>
      <c r="CI622" s="11"/>
      <c r="CJ622" s="11"/>
      <c r="CK622" s="11"/>
      <c r="CL622" s="11"/>
      <c r="CM622" s="11"/>
      <c r="CN622" s="11"/>
      <c r="CO622" s="11"/>
      <c r="CP622" s="40"/>
      <c r="CQ622" s="40"/>
      <c r="CR622" s="40"/>
      <c r="CS622" s="40"/>
      <c r="CT622" s="40"/>
      <c r="CU622" s="40"/>
      <c r="CV622" s="40"/>
      <c r="CW622" s="40"/>
      <c r="CX622" s="40"/>
      <c r="CY622" s="40"/>
      <c r="CZ622" s="40"/>
      <c r="DA622" s="11"/>
      <c r="DB622" s="11"/>
      <c r="DC622" s="11"/>
      <c r="DD622" s="11"/>
      <c r="DE622" s="11"/>
      <c r="DF622" s="11"/>
      <c r="DG622" s="11"/>
    </row>
    <row r="623" ht="15.75" customHeight="1">
      <c r="A623" s="41"/>
      <c r="B623" s="11"/>
      <c r="C623" s="11"/>
      <c r="D623" s="11"/>
      <c r="E623" s="11"/>
      <c r="F623" s="11"/>
      <c r="G623" s="11"/>
      <c r="H623" s="11"/>
      <c r="I623" s="41"/>
      <c r="J623" s="11"/>
      <c r="K623" s="11"/>
      <c r="L623" s="11"/>
      <c r="M623" s="11"/>
      <c r="N623" s="11"/>
      <c r="O623" s="11"/>
      <c r="P623" s="11"/>
      <c r="Q623" s="41"/>
      <c r="R623" s="11"/>
      <c r="S623" s="11"/>
      <c r="T623" s="11"/>
      <c r="U623" s="11"/>
      <c r="V623" s="11"/>
      <c r="W623" s="11"/>
      <c r="X623" s="11"/>
      <c r="Y623" s="4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  <c r="CD623" s="11"/>
      <c r="CE623" s="11"/>
      <c r="CF623" s="11"/>
      <c r="CG623" s="11"/>
      <c r="CH623" s="11"/>
      <c r="CI623" s="11"/>
      <c r="CJ623" s="11"/>
      <c r="CK623" s="11"/>
      <c r="CL623" s="11"/>
      <c r="CM623" s="11"/>
      <c r="CN623" s="11"/>
      <c r="CO623" s="11"/>
      <c r="CP623" s="40"/>
      <c r="CQ623" s="40"/>
      <c r="CR623" s="40"/>
      <c r="CS623" s="40"/>
      <c r="CT623" s="40"/>
      <c r="CU623" s="40"/>
      <c r="CV623" s="40"/>
      <c r="CW623" s="40"/>
      <c r="CX623" s="40"/>
      <c r="CY623" s="40"/>
      <c r="CZ623" s="40"/>
      <c r="DA623" s="11"/>
      <c r="DB623" s="11"/>
      <c r="DC623" s="11"/>
      <c r="DD623" s="11"/>
      <c r="DE623" s="11"/>
      <c r="DF623" s="11"/>
      <c r="DG623" s="11"/>
    </row>
    <row r="624" ht="15.75" customHeight="1">
      <c r="A624" s="41"/>
      <c r="B624" s="11"/>
      <c r="C624" s="11"/>
      <c r="D624" s="11"/>
      <c r="E624" s="11"/>
      <c r="F624" s="11"/>
      <c r="G624" s="11"/>
      <c r="H624" s="11"/>
      <c r="I624" s="41"/>
      <c r="J624" s="11"/>
      <c r="K624" s="11"/>
      <c r="L624" s="11"/>
      <c r="M624" s="11"/>
      <c r="N624" s="11"/>
      <c r="O624" s="11"/>
      <c r="P624" s="11"/>
      <c r="Q624" s="41"/>
      <c r="R624" s="11"/>
      <c r="S624" s="11"/>
      <c r="T624" s="11"/>
      <c r="U624" s="11"/>
      <c r="V624" s="11"/>
      <c r="W624" s="11"/>
      <c r="X624" s="11"/>
      <c r="Y624" s="4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40"/>
      <c r="CQ624" s="40"/>
      <c r="CR624" s="40"/>
      <c r="CS624" s="40"/>
      <c r="CT624" s="40"/>
      <c r="CU624" s="40"/>
      <c r="CV624" s="40"/>
      <c r="CW624" s="40"/>
      <c r="CX624" s="40"/>
      <c r="CY624" s="40"/>
      <c r="CZ624" s="40"/>
      <c r="DA624" s="11"/>
      <c r="DB624" s="11"/>
      <c r="DC624" s="11"/>
      <c r="DD624" s="11"/>
      <c r="DE624" s="11"/>
      <c r="DF624" s="11"/>
      <c r="DG624" s="11"/>
    </row>
    <row r="625" ht="15.75" customHeight="1">
      <c r="A625" s="41"/>
      <c r="B625" s="11"/>
      <c r="C625" s="11"/>
      <c r="D625" s="11"/>
      <c r="E625" s="11"/>
      <c r="F625" s="11"/>
      <c r="G625" s="11"/>
      <c r="H625" s="11"/>
      <c r="I625" s="41"/>
      <c r="J625" s="11"/>
      <c r="K625" s="11"/>
      <c r="L625" s="11"/>
      <c r="M625" s="11"/>
      <c r="N625" s="11"/>
      <c r="O625" s="11"/>
      <c r="P625" s="11"/>
      <c r="Q625" s="41"/>
      <c r="R625" s="11"/>
      <c r="S625" s="11"/>
      <c r="T625" s="11"/>
      <c r="U625" s="11"/>
      <c r="V625" s="11"/>
      <c r="W625" s="11"/>
      <c r="X625" s="11"/>
      <c r="Y625" s="4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40"/>
      <c r="CQ625" s="40"/>
      <c r="CR625" s="40"/>
      <c r="CS625" s="40"/>
      <c r="CT625" s="40"/>
      <c r="CU625" s="40"/>
      <c r="CV625" s="40"/>
      <c r="CW625" s="40"/>
      <c r="CX625" s="40"/>
      <c r="CY625" s="40"/>
      <c r="CZ625" s="40"/>
      <c r="DA625" s="11"/>
      <c r="DB625" s="11"/>
      <c r="DC625" s="11"/>
      <c r="DD625" s="11"/>
      <c r="DE625" s="11"/>
      <c r="DF625" s="11"/>
      <c r="DG625" s="11"/>
    </row>
    <row r="626" ht="15.75" customHeight="1">
      <c r="A626" s="41"/>
      <c r="B626" s="11"/>
      <c r="C626" s="11"/>
      <c r="D626" s="11"/>
      <c r="E626" s="11"/>
      <c r="F626" s="11"/>
      <c r="G626" s="11"/>
      <c r="H626" s="11"/>
      <c r="I626" s="41"/>
      <c r="J626" s="11"/>
      <c r="K626" s="11"/>
      <c r="L626" s="11"/>
      <c r="M626" s="11"/>
      <c r="N626" s="11"/>
      <c r="O626" s="11"/>
      <c r="P626" s="11"/>
      <c r="Q626" s="41"/>
      <c r="R626" s="11"/>
      <c r="S626" s="11"/>
      <c r="T626" s="11"/>
      <c r="U626" s="11"/>
      <c r="V626" s="11"/>
      <c r="W626" s="11"/>
      <c r="X626" s="11"/>
      <c r="Y626" s="4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  <c r="CD626" s="11"/>
      <c r="CE626" s="11"/>
      <c r="CF626" s="11"/>
      <c r="CG626" s="11"/>
      <c r="CH626" s="11"/>
      <c r="CI626" s="11"/>
      <c r="CJ626" s="11"/>
      <c r="CK626" s="11"/>
      <c r="CL626" s="11"/>
      <c r="CM626" s="11"/>
      <c r="CN626" s="11"/>
      <c r="CO626" s="11"/>
      <c r="CP626" s="40"/>
      <c r="CQ626" s="40"/>
      <c r="CR626" s="40"/>
      <c r="CS626" s="40"/>
      <c r="CT626" s="40"/>
      <c r="CU626" s="40"/>
      <c r="CV626" s="40"/>
      <c r="CW626" s="40"/>
      <c r="CX626" s="40"/>
      <c r="CY626" s="40"/>
      <c r="CZ626" s="40"/>
      <c r="DA626" s="11"/>
      <c r="DB626" s="11"/>
      <c r="DC626" s="11"/>
      <c r="DD626" s="11"/>
      <c r="DE626" s="11"/>
      <c r="DF626" s="11"/>
      <c r="DG626" s="11"/>
    </row>
    <row r="627" ht="15.75" customHeight="1">
      <c r="A627" s="41"/>
      <c r="B627" s="11"/>
      <c r="C627" s="11"/>
      <c r="D627" s="11"/>
      <c r="E627" s="11"/>
      <c r="F627" s="11"/>
      <c r="G627" s="11"/>
      <c r="H627" s="11"/>
      <c r="I627" s="41"/>
      <c r="J627" s="11"/>
      <c r="K627" s="11"/>
      <c r="L627" s="11"/>
      <c r="M627" s="11"/>
      <c r="N627" s="11"/>
      <c r="O627" s="11"/>
      <c r="P627" s="11"/>
      <c r="Q627" s="41"/>
      <c r="R627" s="11"/>
      <c r="S627" s="11"/>
      <c r="T627" s="11"/>
      <c r="U627" s="11"/>
      <c r="V627" s="11"/>
      <c r="W627" s="11"/>
      <c r="X627" s="11"/>
      <c r="Y627" s="4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  <c r="CD627" s="11"/>
      <c r="CE627" s="11"/>
      <c r="CF627" s="11"/>
      <c r="CG627" s="11"/>
      <c r="CH627" s="11"/>
      <c r="CI627" s="11"/>
      <c r="CJ627" s="11"/>
      <c r="CK627" s="11"/>
      <c r="CL627" s="11"/>
      <c r="CM627" s="11"/>
      <c r="CN627" s="11"/>
      <c r="CO627" s="11"/>
      <c r="CP627" s="40"/>
      <c r="CQ627" s="40"/>
      <c r="CR627" s="40"/>
      <c r="CS627" s="40"/>
      <c r="CT627" s="40"/>
      <c r="CU627" s="40"/>
      <c r="CV627" s="40"/>
      <c r="CW627" s="40"/>
      <c r="CX627" s="40"/>
      <c r="CY627" s="40"/>
      <c r="CZ627" s="40"/>
      <c r="DA627" s="11"/>
      <c r="DB627" s="11"/>
      <c r="DC627" s="11"/>
      <c r="DD627" s="11"/>
      <c r="DE627" s="11"/>
      <c r="DF627" s="11"/>
      <c r="DG627" s="11"/>
    </row>
    <row r="628" ht="15.75" customHeight="1">
      <c r="A628" s="41"/>
      <c r="B628" s="11"/>
      <c r="C628" s="11"/>
      <c r="D628" s="11"/>
      <c r="E628" s="11"/>
      <c r="F628" s="11"/>
      <c r="G628" s="11"/>
      <c r="H628" s="11"/>
      <c r="I628" s="41"/>
      <c r="J628" s="11"/>
      <c r="K628" s="11"/>
      <c r="L628" s="11"/>
      <c r="M628" s="11"/>
      <c r="N628" s="11"/>
      <c r="O628" s="11"/>
      <c r="P628" s="11"/>
      <c r="Q628" s="41"/>
      <c r="R628" s="11"/>
      <c r="S628" s="11"/>
      <c r="T628" s="11"/>
      <c r="U628" s="11"/>
      <c r="V628" s="11"/>
      <c r="W628" s="11"/>
      <c r="X628" s="11"/>
      <c r="Y628" s="4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  <c r="CD628" s="11"/>
      <c r="CE628" s="11"/>
      <c r="CF628" s="11"/>
      <c r="CG628" s="11"/>
      <c r="CH628" s="11"/>
      <c r="CI628" s="11"/>
      <c r="CJ628" s="11"/>
      <c r="CK628" s="11"/>
      <c r="CL628" s="11"/>
      <c r="CM628" s="11"/>
      <c r="CN628" s="11"/>
      <c r="CO628" s="11"/>
      <c r="CP628" s="40"/>
      <c r="CQ628" s="40"/>
      <c r="CR628" s="40"/>
      <c r="CS628" s="40"/>
      <c r="CT628" s="40"/>
      <c r="CU628" s="40"/>
      <c r="CV628" s="40"/>
      <c r="CW628" s="40"/>
      <c r="CX628" s="40"/>
      <c r="CY628" s="40"/>
      <c r="CZ628" s="40"/>
      <c r="DA628" s="11"/>
      <c r="DB628" s="11"/>
      <c r="DC628" s="11"/>
      <c r="DD628" s="11"/>
      <c r="DE628" s="11"/>
      <c r="DF628" s="11"/>
      <c r="DG628" s="11"/>
    </row>
    <row r="629" ht="15.75" customHeight="1">
      <c r="A629" s="41"/>
      <c r="B629" s="11"/>
      <c r="C629" s="11"/>
      <c r="D629" s="11"/>
      <c r="E629" s="11"/>
      <c r="F629" s="11"/>
      <c r="G629" s="11"/>
      <c r="H629" s="11"/>
      <c r="I629" s="41"/>
      <c r="J629" s="11"/>
      <c r="K629" s="11"/>
      <c r="L629" s="11"/>
      <c r="M629" s="11"/>
      <c r="N629" s="11"/>
      <c r="O629" s="11"/>
      <c r="P629" s="11"/>
      <c r="Q629" s="41"/>
      <c r="R629" s="11"/>
      <c r="S629" s="11"/>
      <c r="T629" s="11"/>
      <c r="U629" s="11"/>
      <c r="V629" s="11"/>
      <c r="W629" s="11"/>
      <c r="X629" s="11"/>
      <c r="Y629" s="4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  <c r="CD629" s="11"/>
      <c r="CE629" s="11"/>
      <c r="CF629" s="11"/>
      <c r="CG629" s="11"/>
      <c r="CH629" s="11"/>
      <c r="CI629" s="11"/>
      <c r="CJ629" s="11"/>
      <c r="CK629" s="11"/>
      <c r="CL629" s="11"/>
      <c r="CM629" s="11"/>
      <c r="CN629" s="11"/>
      <c r="CO629" s="11"/>
      <c r="CP629" s="40"/>
      <c r="CQ629" s="40"/>
      <c r="CR629" s="40"/>
      <c r="CS629" s="40"/>
      <c r="CT629" s="40"/>
      <c r="CU629" s="40"/>
      <c r="CV629" s="40"/>
      <c r="CW629" s="40"/>
      <c r="CX629" s="40"/>
      <c r="CY629" s="40"/>
      <c r="CZ629" s="40"/>
      <c r="DA629" s="11"/>
      <c r="DB629" s="11"/>
      <c r="DC629" s="11"/>
      <c r="DD629" s="11"/>
      <c r="DE629" s="11"/>
      <c r="DF629" s="11"/>
      <c r="DG629" s="11"/>
    </row>
    <row r="630" ht="15.75" customHeight="1">
      <c r="A630" s="41"/>
      <c r="B630" s="11"/>
      <c r="C630" s="11"/>
      <c r="D630" s="11"/>
      <c r="E630" s="11"/>
      <c r="F630" s="11"/>
      <c r="G630" s="11"/>
      <c r="H630" s="11"/>
      <c r="I630" s="41"/>
      <c r="J630" s="11"/>
      <c r="K630" s="11"/>
      <c r="L630" s="11"/>
      <c r="M630" s="11"/>
      <c r="N630" s="11"/>
      <c r="O630" s="11"/>
      <c r="P630" s="11"/>
      <c r="Q630" s="41"/>
      <c r="R630" s="11"/>
      <c r="S630" s="11"/>
      <c r="T630" s="11"/>
      <c r="U630" s="11"/>
      <c r="V630" s="11"/>
      <c r="W630" s="11"/>
      <c r="X630" s="11"/>
      <c r="Y630" s="4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40"/>
      <c r="CQ630" s="40"/>
      <c r="CR630" s="40"/>
      <c r="CS630" s="40"/>
      <c r="CT630" s="40"/>
      <c r="CU630" s="40"/>
      <c r="CV630" s="40"/>
      <c r="CW630" s="40"/>
      <c r="CX630" s="40"/>
      <c r="CY630" s="40"/>
      <c r="CZ630" s="40"/>
      <c r="DA630" s="11"/>
      <c r="DB630" s="11"/>
      <c r="DC630" s="11"/>
      <c r="DD630" s="11"/>
      <c r="DE630" s="11"/>
      <c r="DF630" s="11"/>
      <c r="DG630" s="11"/>
    </row>
    <row r="631" ht="15.75" customHeight="1">
      <c r="A631" s="41"/>
      <c r="B631" s="11"/>
      <c r="C631" s="11"/>
      <c r="D631" s="11"/>
      <c r="E631" s="11"/>
      <c r="F631" s="11"/>
      <c r="G631" s="11"/>
      <c r="H631" s="11"/>
      <c r="I631" s="41"/>
      <c r="J631" s="11"/>
      <c r="K631" s="11"/>
      <c r="L631" s="11"/>
      <c r="M631" s="11"/>
      <c r="N631" s="11"/>
      <c r="O631" s="11"/>
      <c r="P631" s="11"/>
      <c r="Q631" s="41"/>
      <c r="R631" s="11"/>
      <c r="S631" s="11"/>
      <c r="T631" s="11"/>
      <c r="U631" s="11"/>
      <c r="V631" s="11"/>
      <c r="W631" s="11"/>
      <c r="X631" s="11"/>
      <c r="Y631" s="4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  <c r="CD631" s="11"/>
      <c r="CE631" s="11"/>
      <c r="CF631" s="11"/>
      <c r="CG631" s="11"/>
      <c r="CH631" s="11"/>
      <c r="CI631" s="11"/>
      <c r="CJ631" s="11"/>
      <c r="CK631" s="11"/>
      <c r="CL631" s="11"/>
      <c r="CM631" s="11"/>
      <c r="CN631" s="11"/>
      <c r="CO631" s="11"/>
      <c r="CP631" s="40"/>
      <c r="CQ631" s="40"/>
      <c r="CR631" s="40"/>
      <c r="CS631" s="40"/>
      <c r="CT631" s="40"/>
      <c r="CU631" s="40"/>
      <c r="CV631" s="40"/>
      <c r="CW631" s="40"/>
      <c r="CX631" s="40"/>
      <c r="CY631" s="40"/>
      <c r="CZ631" s="40"/>
      <c r="DA631" s="11"/>
      <c r="DB631" s="11"/>
      <c r="DC631" s="11"/>
      <c r="DD631" s="11"/>
      <c r="DE631" s="11"/>
      <c r="DF631" s="11"/>
      <c r="DG631" s="11"/>
    </row>
    <row r="632" ht="15.75" customHeight="1">
      <c r="A632" s="41"/>
      <c r="B632" s="11"/>
      <c r="C632" s="11"/>
      <c r="D632" s="11"/>
      <c r="E632" s="11"/>
      <c r="F632" s="11"/>
      <c r="G632" s="11"/>
      <c r="H632" s="11"/>
      <c r="I632" s="41"/>
      <c r="J632" s="11"/>
      <c r="K632" s="11"/>
      <c r="L632" s="11"/>
      <c r="M632" s="11"/>
      <c r="N632" s="11"/>
      <c r="O632" s="11"/>
      <c r="P632" s="11"/>
      <c r="Q632" s="41"/>
      <c r="R632" s="11"/>
      <c r="S632" s="11"/>
      <c r="T632" s="11"/>
      <c r="U632" s="11"/>
      <c r="V632" s="11"/>
      <c r="W632" s="11"/>
      <c r="X632" s="11"/>
      <c r="Y632" s="4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  <c r="CD632" s="11"/>
      <c r="CE632" s="11"/>
      <c r="CF632" s="11"/>
      <c r="CG632" s="11"/>
      <c r="CH632" s="11"/>
      <c r="CI632" s="11"/>
      <c r="CJ632" s="11"/>
      <c r="CK632" s="11"/>
      <c r="CL632" s="11"/>
      <c r="CM632" s="11"/>
      <c r="CN632" s="11"/>
      <c r="CO632" s="11"/>
      <c r="CP632" s="40"/>
      <c r="CQ632" s="40"/>
      <c r="CR632" s="40"/>
      <c r="CS632" s="40"/>
      <c r="CT632" s="40"/>
      <c r="CU632" s="40"/>
      <c r="CV632" s="40"/>
      <c r="CW632" s="40"/>
      <c r="CX632" s="40"/>
      <c r="CY632" s="40"/>
      <c r="CZ632" s="40"/>
      <c r="DA632" s="11"/>
      <c r="DB632" s="11"/>
      <c r="DC632" s="11"/>
      <c r="DD632" s="11"/>
      <c r="DE632" s="11"/>
      <c r="DF632" s="11"/>
      <c r="DG632" s="11"/>
    </row>
    <row r="633" ht="15.75" customHeight="1">
      <c r="A633" s="41"/>
      <c r="B633" s="11"/>
      <c r="C633" s="11"/>
      <c r="D633" s="11"/>
      <c r="E633" s="11"/>
      <c r="F633" s="11"/>
      <c r="G633" s="11"/>
      <c r="H633" s="11"/>
      <c r="I633" s="41"/>
      <c r="J633" s="11"/>
      <c r="K633" s="11"/>
      <c r="L633" s="11"/>
      <c r="M633" s="11"/>
      <c r="N633" s="11"/>
      <c r="O633" s="11"/>
      <c r="P633" s="11"/>
      <c r="Q633" s="41"/>
      <c r="R633" s="11"/>
      <c r="S633" s="11"/>
      <c r="T633" s="11"/>
      <c r="U633" s="11"/>
      <c r="V633" s="11"/>
      <c r="W633" s="11"/>
      <c r="X633" s="11"/>
      <c r="Y633" s="4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40"/>
      <c r="CQ633" s="40"/>
      <c r="CR633" s="40"/>
      <c r="CS633" s="40"/>
      <c r="CT633" s="40"/>
      <c r="CU633" s="40"/>
      <c r="CV633" s="40"/>
      <c r="CW633" s="40"/>
      <c r="CX633" s="40"/>
      <c r="CY633" s="40"/>
      <c r="CZ633" s="40"/>
      <c r="DA633" s="11"/>
      <c r="DB633" s="11"/>
      <c r="DC633" s="11"/>
      <c r="DD633" s="11"/>
      <c r="DE633" s="11"/>
      <c r="DF633" s="11"/>
      <c r="DG633" s="11"/>
    </row>
    <row r="634" ht="15.75" customHeight="1">
      <c r="A634" s="41"/>
      <c r="B634" s="11"/>
      <c r="C634" s="11"/>
      <c r="D634" s="11"/>
      <c r="E634" s="11"/>
      <c r="F634" s="11"/>
      <c r="G634" s="11"/>
      <c r="H634" s="11"/>
      <c r="I634" s="41"/>
      <c r="J634" s="11"/>
      <c r="K634" s="11"/>
      <c r="L634" s="11"/>
      <c r="M634" s="11"/>
      <c r="N634" s="11"/>
      <c r="O634" s="11"/>
      <c r="P634" s="11"/>
      <c r="Q634" s="41"/>
      <c r="R634" s="11"/>
      <c r="S634" s="11"/>
      <c r="T634" s="11"/>
      <c r="U634" s="11"/>
      <c r="V634" s="11"/>
      <c r="W634" s="11"/>
      <c r="X634" s="11"/>
      <c r="Y634" s="4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  <c r="CD634" s="11"/>
      <c r="CE634" s="11"/>
      <c r="CF634" s="11"/>
      <c r="CG634" s="11"/>
      <c r="CH634" s="11"/>
      <c r="CI634" s="11"/>
      <c r="CJ634" s="11"/>
      <c r="CK634" s="11"/>
      <c r="CL634" s="11"/>
      <c r="CM634" s="11"/>
      <c r="CN634" s="11"/>
      <c r="CO634" s="11"/>
      <c r="CP634" s="40"/>
      <c r="CQ634" s="40"/>
      <c r="CR634" s="40"/>
      <c r="CS634" s="40"/>
      <c r="CT634" s="40"/>
      <c r="CU634" s="40"/>
      <c r="CV634" s="40"/>
      <c r="CW634" s="40"/>
      <c r="CX634" s="40"/>
      <c r="CY634" s="40"/>
      <c r="CZ634" s="40"/>
      <c r="DA634" s="11"/>
      <c r="DB634" s="11"/>
      <c r="DC634" s="11"/>
      <c r="DD634" s="11"/>
      <c r="DE634" s="11"/>
      <c r="DF634" s="11"/>
      <c r="DG634" s="11"/>
    </row>
    <row r="635" ht="15.75" customHeight="1">
      <c r="A635" s="41"/>
      <c r="B635" s="11"/>
      <c r="C635" s="11"/>
      <c r="D635" s="11"/>
      <c r="E635" s="11"/>
      <c r="F635" s="11"/>
      <c r="G635" s="11"/>
      <c r="H635" s="11"/>
      <c r="I635" s="41"/>
      <c r="J635" s="11"/>
      <c r="K635" s="11"/>
      <c r="L635" s="11"/>
      <c r="M635" s="11"/>
      <c r="N635" s="11"/>
      <c r="O635" s="11"/>
      <c r="P635" s="11"/>
      <c r="Q635" s="41"/>
      <c r="R635" s="11"/>
      <c r="S635" s="11"/>
      <c r="T635" s="11"/>
      <c r="U635" s="11"/>
      <c r="V635" s="11"/>
      <c r="W635" s="11"/>
      <c r="X635" s="11"/>
      <c r="Y635" s="4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  <c r="CD635" s="11"/>
      <c r="CE635" s="11"/>
      <c r="CF635" s="11"/>
      <c r="CG635" s="11"/>
      <c r="CH635" s="11"/>
      <c r="CI635" s="11"/>
      <c r="CJ635" s="11"/>
      <c r="CK635" s="11"/>
      <c r="CL635" s="11"/>
      <c r="CM635" s="11"/>
      <c r="CN635" s="11"/>
      <c r="CO635" s="11"/>
      <c r="CP635" s="40"/>
      <c r="CQ635" s="40"/>
      <c r="CR635" s="40"/>
      <c r="CS635" s="40"/>
      <c r="CT635" s="40"/>
      <c r="CU635" s="40"/>
      <c r="CV635" s="40"/>
      <c r="CW635" s="40"/>
      <c r="CX635" s="40"/>
      <c r="CY635" s="40"/>
      <c r="CZ635" s="40"/>
      <c r="DA635" s="11"/>
      <c r="DB635" s="11"/>
      <c r="DC635" s="11"/>
      <c r="DD635" s="11"/>
      <c r="DE635" s="11"/>
      <c r="DF635" s="11"/>
      <c r="DG635" s="11"/>
    </row>
    <row r="636" ht="15.75" customHeight="1">
      <c r="A636" s="41"/>
      <c r="B636" s="11"/>
      <c r="C636" s="11"/>
      <c r="D636" s="11"/>
      <c r="E636" s="11"/>
      <c r="F636" s="11"/>
      <c r="G636" s="11"/>
      <c r="H636" s="11"/>
      <c r="I636" s="41"/>
      <c r="J636" s="11"/>
      <c r="K636" s="11"/>
      <c r="L636" s="11"/>
      <c r="M636" s="11"/>
      <c r="N636" s="11"/>
      <c r="O636" s="11"/>
      <c r="P636" s="11"/>
      <c r="Q636" s="41"/>
      <c r="R636" s="11"/>
      <c r="S636" s="11"/>
      <c r="T636" s="11"/>
      <c r="U636" s="11"/>
      <c r="V636" s="11"/>
      <c r="W636" s="11"/>
      <c r="X636" s="11"/>
      <c r="Y636" s="4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  <c r="CD636" s="11"/>
      <c r="CE636" s="11"/>
      <c r="CF636" s="11"/>
      <c r="CG636" s="11"/>
      <c r="CH636" s="11"/>
      <c r="CI636" s="11"/>
      <c r="CJ636" s="11"/>
      <c r="CK636" s="11"/>
      <c r="CL636" s="11"/>
      <c r="CM636" s="11"/>
      <c r="CN636" s="11"/>
      <c r="CO636" s="11"/>
      <c r="CP636" s="40"/>
      <c r="CQ636" s="40"/>
      <c r="CR636" s="40"/>
      <c r="CS636" s="40"/>
      <c r="CT636" s="40"/>
      <c r="CU636" s="40"/>
      <c r="CV636" s="40"/>
      <c r="CW636" s="40"/>
      <c r="CX636" s="40"/>
      <c r="CY636" s="40"/>
      <c r="CZ636" s="40"/>
      <c r="DA636" s="11"/>
      <c r="DB636" s="11"/>
      <c r="DC636" s="11"/>
      <c r="DD636" s="11"/>
      <c r="DE636" s="11"/>
      <c r="DF636" s="11"/>
      <c r="DG636" s="11"/>
    </row>
    <row r="637" ht="15.75" customHeight="1">
      <c r="A637" s="41"/>
      <c r="B637" s="11"/>
      <c r="C637" s="11"/>
      <c r="D637" s="11"/>
      <c r="E637" s="11"/>
      <c r="F637" s="11"/>
      <c r="G637" s="11"/>
      <c r="H637" s="11"/>
      <c r="I637" s="41"/>
      <c r="J637" s="11"/>
      <c r="K637" s="11"/>
      <c r="L637" s="11"/>
      <c r="M637" s="11"/>
      <c r="N637" s="11"/>
      <c r="O637" s="11"/>
      <c r="P637" s="11"/>
      <c r="Q637" s="41"/>
      <c r="R637" s="11"/>
      <c r="S637" s="11"/>
      <c r="T637" s="11"/>
      <c r="U637" s="11"/>
      <c r="V637" s="11"/>
      <c r="W637" s="11"/>
      <c r="X637" s="11"/>
      <c r="Y637" s="4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  <c r="CD637" s="11"/>
      <c r="CE637" s="11"/>
      <c r="CF637" s="11"/>
      <c r="CG637" s="11"/>
      <c r="CH637" s="11"/>
      <c r="CI637" s="11"/>
      <c r="CJ637" s="11"/>
      <c r="CK637" s="11"/>
      <c r="CL637" s="11"/>
      <c r="CM637" s="11"/>
      <c r="CN637" s="11"/>
      <c r="CO637" s="11"/>
      <c r="CP637" s="40"/>
      <c r="CQ637" s="40"/>
      <c r="CR637" s="40"/>
      <c r="CS637" s="40"/>
      <c r="CT637" s="40"/>
      <c r="CU637" s="40"/>
      <c r="CV637" s="40"/>
      <c r="CW637" s="40"/>
      <c r="CX637" s="40"/>
      <c r="CY637" s="40"/>
      <c r="CZ637" s="40"/>
      <c r="DA637" s="11"/>
      <c r="DB637" s="11"/>
      <c r="DC637" s="11"/>
      <c r="DD637" s="11"/>
      <c r="DE637" s="11"/>
      <c r="DF637" s="11"/>
      <c r="DG637" s="11"/>
    </row>
    <row r="638" ht="15.75" customHeight="1">
      <c r="A638" s="41"/>
      <c r="B638" s="11"/>
      <c r="C638" s="11"/>
      <c r="D638" s="11"/>
      <c r="E638" s="11"/>
      <c r="F638" s="11"/>
      <c r="G638" s="11"/>
      <c r="H638" s="11"/>
      <c r="I638" s="41"/>
      <c r="J638" s="11"/>
      <c r="K638" s="11"/>
      <c r="L638" s="11"/>
      <c r="M638" s="11"/>
      <c r="N638" s="11"/>
      <c r="O638" s="11"/>
      <c r="P638" s="11"/>
      <c r="Q638" s="41"/>
      <c r="R638" s="11"/>
      <c r="S638" s="11"/>
      <c r="T638" s="11"/>
      <c r="U638" s="11"/>
      <c r="V638" s="11"/>
      <c r="W638" s="11"/>
      <c r="X638" s="11"/>
      <c r="Y638" s="4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11"/>
      <c r="CD638" s="11"/>
      <c r="CE638" s="11"/>
      <c r="CF638" s="11"/>
      <c r="CG638" s="11"/>
      <c r="CH638" s="11"/>
      <c r="CI638" s="11"/>
      <c r="CJ638" s="11"/>
      <c r="CK638" s="11"/>
      <c r="CL638" s="11"/>
      <c r="CM638" s="11"/>
      <c r="CN638" s="11"/>
      <c r="CO638" s="11"/>
      <c r="CP638" s="40"/>
      <c r="CQ638" s="40"/>
      <c r="CR638" s="40"/>
      <c r="CS638" s="40"/>
      <c r="CT638" s="40"/>
      <c r="CU638" s="40"/>
      <c r="CV638" s="40"/>
      <c r="CW638" s="40"/>
      <c r="CX638" s="40"/>
      <c r="CY638" s="40"/>
      <c r="CZ638" s="40"/>
      <c r="DA638" s="11"/>
      <c r="DB638" s="11"/>
      <c r="DC638" s="11"/>
      <c r="DD638" s="11"/>
      <c r="DE638" s="11"/>
      <c r="DF638" s="11"/>
      <c r="DG638" s="11"/>
    </row>
    <row r="639" ht="15.75" customHeight="1">
      <c r="A639" s="41"/>
      <c r="B639" s="11"/>
      <c r="C639" s="11"/>
      <c r="D639" s="11"/>
      <c r="E639" s="11"/>
      <c r="F639" s="11"/>
      <c r="G639" s="11"/>
      <c r="H639" s="11"/>
      <c r="I639" s="41"/>
      <c r="J639" s="11"/>
      <c r="K639" s="11"/>
      <c r="L639" s="11"/>
      <c r="M639" s="11"/>
      <c r="N639" s="11"/>
      <c r="O639" s="11"/>
      <c r="P639" s="11"/>
      <c r="Q639" s="41"/>
      <c r="R639" s="11"/>
      <c r="S639" s="11"/>
      <c r="T639" s="11"/>
      <c r="U639" s="11"/>
      <c r="V639" s="11"/>
      <c r="W639" s="11"/>
      <c r="X639" s="11"/>
      <c r="Y639" s="4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  <c r="CD639" s="11"/>
      <c r="CE639" s="11"/>
      <c r="CF639" s="11"/>
      <c r="CG639" s="11"/>
      <c r="CH639" s="11"/>
      <c r="CI639" s="11"/>
      <c r="CJ639" s="11"/>
      <c r="CK639" s="11"/>
      <c r="CL639" s="11"/>
      <c r="CM639" s="11"/>
      <c r="CN639" s="11"/>
      <c r="CO639" s="11"/>
      <c r="CP639" s="40"/>
      <c r="CQ639" s="40"/>
      <c r="CR639" s="40"/>
      <c r="CS639" s="40"/>
      <c r="CT639" s="40"/>
      <c r="CU639" s="40"/>
      <c r="CV639" s="40"/>
      <c r="CW639" s="40"/>
      <c r="CX639" s="40"/>
      <c r="CY639" s="40"/>
      <c r="CZ639" s="40"/>
      <c r="DA639" s="11"/>
      <c r="DB639" s="11"/>
      <c r="DC639" s="11"/>
      <c r="DD639" s="11"/>
      <c r="DE639" s="11"/>
      <c r="DF639" s="11"/>
      <c r="DG639" s="11"/>
    </row>
    <row r="640" ht="15.75" customHeight="1">
      <c r="A640" s="41"/>
      <c r="B640" s="11"/>
      <c r="C640" s="11"/>
      <c r="D640" s="11"/>
      <c r="E640" s="11"/>
      <c r="F640" s="11"/>
      <c r="G640" s="11"/>
      <c r="H640" s="11"/>
      <c r="I640" s="41"/>
      <c r="J640" s="11"/>
      <c r="K640" s="11"/>
      <c r="L640" s="11"/>
      <c r="M640" s="11"/>
      <c r="N640" s="11"/>
      <c r="O640" s="11"/>
      <c r="P640" s="11"/>
      <c r="Q640" s="41"/>
      <c r="R640" s="11"/>
      <c r="S640" s="11"/>
      <c r="T640" s="11"/>
      <c r="U640" s="11"/>
      <c r="V640" s="11"/>
      <c r="W640" s="11"/>
      <c r="X640" s="11"/>
      <c r="Y640" s="4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  <c r="CD640" s="11"/>
      <c r="CE640" s="11"/>
      <c r="CF640" s="11"/>
      <c r="CG640" s="11"/>
      <c r="CH640" s="11"/>
      <c r="CI640" s="11"/>
      <c r="CJ640" s="11"/>
      <c r="CK640" s="11"/>
      <c r="CL640" s="11"/>
      <c r="CM640" s="11"/>
      <c r="CN640" s="11"/>
      <c r="CO640" s="11"/>
      <c r="CP640" s="40"/>
      <c r="CQ640" s="40"/>
      <c r="CR640" s="40"/>
      <c r="CS640" s="40"/>
      <c r="CT640" s="40"/>
      <c r="CU640" s="40"/>
      <c r="CV640" s="40"/>
      <c r="CW640" s="40"/>
      <c r="CX640" s="40"/>
      <c r="CY640" s="40"/>
      <c r="CZ640" s="40"/>
      <c r="DA640" s="11"/>
      <c r="DB640" s="11"/>
      <c r="DC640" s="11"/>
      <c r="DD640" s="11"/>
      <c r="DE640" s="11"/>
      <c r="DF640" s="11"/>
      <c r="DG640" s="11"/>
    </row>
    <row r="641" ht="15.75" customHeight="1">
      <c r="A641" s="41"/>
      <c r="B641" s="11"/>
      <c r="C641" s="11"/>
      <c r="D641" s="11"/>
      <c r="E641" s="11"/>
      <c r="F641" s="11"/>
      <c r="G641" s="11"/>
      <c r="H641" s="11"/>
      <c r="I641" s="41"/>
      <c r="J641" s="11"/>
      <c r="K641" s="11"/>
      <c r="L641" s="11"/>
      <c r="M641" s="11"/>
      <c r="N641" s="11"/>
      <c r="O641" s="11"/>
      <c r="P641" s="11"/>
      <c r="Q641" s="41"/>
      <c r="R641" s="11"/>
      <c r="S641" s="11"/>
      <c r="T641" s="11"/>
      <c r="U641" s="11"/>
      <c r="V641" s="11"/>
      <c r="W641" s="11"/>
      <c r="X641" s="11"/>
      <c r="Y641" s="4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  <c r="CD641" s="11"/>
      <c r="CE641" s="11"/>
      <c r="CF641" s="11"/>
      <c r="CG641" s="11"/>
      <c r="CH641" s="11"/>
      <c r="CI641" s="11"/>
      <c r="CJ641" s="11"/>
      <c r="CK641" s="11"/>
      <c r="CL641" s="11"/>
      <c r="CM641" s="11"/>
      <c r="CN641" s="11"/>
      <c r="CO641" s="11"/>
      <c r="CP641" s="40"/>
      <c r="CQ641" s="40"/>
      <c r="CR641" s="40"/>
      <c r="CS641" s="40"/>
      <c r="CT641" s="40"/>
      <c r="CU641" s="40"/>
      <c r="CV641" s="40"/>
      <c r="CW641" s="40"/>
      <c r="CX641" s="40"/>
      <c r="CY641" s="40"/>
      <c r="CZ641" s="40"/>
      <c r="DA641" s="11"/>
      <c r="DB641" s="11"/>
      <c r="DC641" s="11"/>
      <c r="DD641" s="11"/>
      <c r="DE641" s="11"/>
      <c r="DF641" s="11"/>
      <c r="DG641" s="11"/>
    </row>
    <row r="642" ht="15.75" customHeight="1">
      <c r="A642" s="41"/>
      <c r="B642" s="11"/>
      <c r="C642" s="11"/>
      <c r="D642" s="11"/>
      <c r="E642" s="11"/>
      <c r="F642" s="11"/>
      <c r="G642" s="11"/>
      <c r="H642" s="11"/>
      <c r="I642" s="41"/>
      <c r="J642" s="11"/>
      <c r="K642" s="11"/>
      <c r="L642" s="11"/>
      <c r="M642" s="11"/>
      <c r="N642" s="11"/>
      <c r="O642" s="11"/>
      <c r="P642" s="11"/>
      <c r="Q642" s="41"/>
      <c r="R642" s="11"/>
      <c r="S642" s="11"/>
      <c r="T642" s="11"/>
      <c r="U642" s="11"/>
      <c r="V642" s="11"/>
      <c r="W642" s="11"/>
      <c r="X642" s="11"/>
      <c r="Y642" s="4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  <c r="CD642" s="11"/>
      <c r="CE642" s="11"/>
      <c r="CF642" s="11"/>
      <c r="CG642" s="11"/>
      <c r="CH642" s="11"/>
      <c r="CI642" s="11"/>
      <c r="CJ642" s="11"/>
      <c r="CK642" s="11"/>
      <c r="CL642" s="11"/>
      <c r="CM642" s="11"/>
      <c r="CN642" s="11"/>
      <c r="CO642" s="11"/>
      <c r="CP642" s="40"/>
      <c r="CQ642" s="40"/>
      <c r="CR642" s="40"/>
      <c r="CS642" s="40"/>
      <c r="CT642" s="40"/>
      <c r="CU642" s="40"/>
      <c r="CV642" s="40"/>
      <c r="CW642" s="40"/>
      <c r="CX642" s="40"/>
      <c r="CY642" s="40"/>
      <c r="CZ642" s="40"/>
      <c r="DA642" s="11"/>
      <c r="DB642" s="11"/>
      <c r="DC642" s="11"/>
      <c r="DD642" s="11"/>
      <c r="DE642" s="11"/>
      <c r="DF642" s="11"/>
      <c r="DG642" s="11"/>
    </row>
    <row r="643" ht="15.75" customHeight="1">
      <c r="A643" s="41"/>
      <c r="B643" s="11"/>
      <c r="C643" s="11"/>
      <c r="D643" s="11"/>
      <c r="E643" s="11"/>
      <c r="F643" s="11"/>
      <c r="G643" s="11"/>
      <c r="H643" s="11"/>
      <c r="I643" s="41"/>
      <c r="J643" s="11"/>
      <c r="K643" s="11"/>
      <c r="L643" s="11"/>
      <c r="M643" s="11"/>
      <c r="N643" s="11"/>
      <c r="O643" s="11"/>
      <c r="P643" s="11"/>
      <c r="Q643" s="41"/>
      <c r="R643" s="11"/>
      <c r="S643" s="11"/>
      <c r="T643" s="11"/>
      <c r="U643" s="11"/>
      <c r="V643" s="11"/>
      <c r="W643" s="11"/>
      <c r="X643" s="11"/>
      <c r="Y643" s="4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1"/>
      <c r="CG643" s="11"/>
      <c r="CH643" s="11"/>
      <c r="CI643" s="11"/>
      <c r="CJ643" s="11"/>
      <c r="CK643" s="11"/>
      <c r="CL643" s="11"/>
      <c r="CM643" s="11"/>
      <c r="CN643" s="11"/>
      <c r="CO643" s="11"/>
      <c r="CP643" s="40"/>
      <c r="CQ643" s="40"/>
      <c r="CR643" s="40"/>
      <c r="CS643" s="40"/>
      <c r="CT643" s="40"/>
      <c r="CU643" s="40"/>
      <c r="CV643" s="40"/>
      <c r="CW643" s="40"/>
      <c r="CX643" s="40"/>
      <c r="CY643" s="40"/>
      <c r="CZ643" s="40"/>
      <c r="DA643" s="11"/>
      <c r="DB643" s="11"/>
      <c r="DC643" s="11"/>
      <c r="DD643" s="11"/>
      <c r="DE643" s="11"/>
      <c r="DF643" s="11"/>
      <c r="DG643" s="11"/>
    </row>
    <row r="644" ht="15.75" customHeight="1">
      <c r="A644" s="41"/>
      <c r="B644" s="11"/>
      <c r="C644" s="11"/>
      <c r="D644" s="11"/>
      <c r="E644" s="11"/>
      <c r="F644" s="11"/>
      <c r="G644" s="11"/>
      <c r="H644" s="11"/>
      <c r="I644" s="41"/>
      <c r="J644" s="11"/>
      <c r="K644" s="11"/>
      <c r="L644" s="11"/>
      <c r="M644" s="11"/>
      <c r="N644" s="11"/>
      <c r="O644" s="11"/>
      <c r="P644" s="11"/>
      <c r="Q644" s="41"/>
      <c r="R644" s="11"/>
      <c r="S644" s="11"/>
      <c r="T644" s="11"/>
      <c r="U644" s="11"/>
      <c r="V644" s="11"/>
      <c r="W644" s="11"/>
      <c r="X644" s="11"/>
      <c r="Y644" s="4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  <c r="CD644" s="11"/>
      <c r="CE644" s="11"/>
      <c r="CF644" s="11"/>
      <c r="CG644" s="11"/>
      <c r="CH644" s="11"/>
      <c r="CI644" s="11"/>
      <c r="CJ644" s="11"/>
      <c r="CK644" s="11"/>
      <c r="CL644" s="11"/>
      <c r="CM644" s="11"/>
      <c r="CN644" s="11"/>
      <c r="CO644" s="11"/>
      <c r="CP644" s="40"/>
      <c r="CQ644" s="40"/>
      <c r="CR644" s="40"/>
      <c r="CS644" s="40"/>
      <c r="CT644" s="40"/>
      <c r="CU644" s="40"/>
      <c r="CV644" s="40"/>
      <c r="CW644" s="40"/>
      <c r="CX644" s="40"/>
      <c r="CY644" s="40"/>
      <c r="CZ644" s="40"/>
      <c r="DA644" s="11"/>
      <c r="DB644" s="11"/>
      <c r="DC644" s="11"/>
      <c r="DD644" s="11"/>
      <c r="DE644" s="11"/>
      <c r="DF644" s="11"/>
      <c r="DG644" s="11"/>
    </row>
    <row r="645" ht="15.75" customHeight="1">
      <c r="A645" s="41"/>
      <c r="B645" s="11"/>
      <c r="C645" s="11"/>
      <c r="D645" s="11"/>
      <c r="E645" s="11"/>
      <c r="F645" s="11"/>
      <c r="G645" s="11"/>
      <c r="H645" s="11"/>
      <c r="I645" s="41"/>
      <c r="J645" s="11"/>
      <c r="K645" s="11"/>
      <c r="L645" s="11"/>
      <c r="M645" s="11"/>
      <c r="N645" s="11"/>
      <c r="O645" s="11"/>
      <c r="P645" s="11"/>
      <c r="Q645" s="41"/>
      <c r="R645" s="11"/>
      <c r="S645" s="11"/>
      <c r="T645" s="11"/>
      <c r="U645" s="11"/>
      <c r="V645" s="11"/>
      <c r="W645" s="11"/>
      <c r="X645" s="11"/>
      <c r="Y645" s="4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  <c r="CD645" s="11"/>
      <c r="CE645" s="11"/>
      <c r="CF645" s="11"/>
      <c r="CG645" s="11"/>
      <c r="CH645" s="11"/>
      <c r="CI645" s="11"/>
      <c r="CJ645" s="11"/>
      <c r="CK645" s="11"/>
      <c r="CL645" s="11"/>
      <c r="CM645" s="11"/>
      <c r="CN645" s="11"/>
      <c r="CO645" s="11"/>
      <c r="CP645" s="40"/>
      <c r="CQ645" s="40"/>
      <c r="CR645" s="40"/>
      <c r="CS645" s="40"/>
      <c r="CT645" s="40"/>
      <c r="CU645" s="40"/>
      <c r="CV645" s="40"/>
      <c r="CW645" s="40"/>
      <c r="CX645" s="40"/>
      <c r="CY645" s="40"/>
      <c r="CZ645" s="40"/>
      <c r="DA645" s="11"/>
      <c r="DB645" s="11"/>
      <c r="DC645" s="11"/>
      <c r="DD645" s="11"/>
      <c r="DE645" s="11"/>
      <c r="DF645" s="11"/>
      <c r="DG645" s="11"/>
    </row>
    <row r="646" ht="15.75" customHeight="1">
      <c r="A646" s="41"/>
      <c r="B646" s="11"/>
      <c r="C646" s="11"/>
      <c r="D646" s="11"/>
      <c r="E646" s="11"/>
      <c r="F646" s="11"/>
      <c r="G646" s="11"/>
      <c r="H646" s="11"/>
      <c r="I646" s="41"/>
      <c r="J646" s="11"/>
      <c r="K646" s="11"/>
      <c r="L646" s="11"/>
      <c r="M646" s="11"/>
      <c r="N646" s="11"/>
      <c r="O646" s="11"/>
      <c r="P646" s="11"/>
      <c r="Q646" s="41"/>
      <c r="R646" s="11"/>
      <c r="S646" s="11"/>
      <c r="T646" s="11"/>
      <c r="U646" s="11"/>
      <c r="V646" s="11"/>
      <c r="W646" s="11"/>
      <c r="X646" s="11"/>
      <c r="Y646" s="4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  <c r="CD646" s="11"/>
      <c r="CE646" s="11"/>
      <c r="CF646" s="11"/>
      <c r="CG646" s="11"/>
      <c r="CH646" s="11"/>
      <c r="CI646" s="11"/>
      <c r="CJ646" s="11"/>
      <c r="CK646" s="11"/>
      <c r="CL646" s="11"/>
      <c r="CM646" s="11"/>
      <c r="CN646" s="11"/>
      <c r="CO646" s="11"/>
      <c r="CP646" s="40"/>
      <c r="CQ646" s="40"/>
      <c r="CR646" s="40"/>
      <c r="CS646" s="40"/>
      <c r="CT646" s="40"/>
      <c r="CU646" s="40"/>
      <c r="CV646" s="40"/>
      <c r="CW646" s="40"/>
      <c r="CX646" s="40"/>
      <c r="CY646" s="40"/>
      <c r="CZ646" s="40"/>
      <c r="DA646" s="11"/>
      <c r="DB646" s="11"/>
      <c r="DC646" s="11"/>
      <c r="DD646" s="11"/>
      <c r="DE646" s="11"/>
      <c r="DF646" s="11"/>
      <c r="DG646" s="11"/>
    </row>
    <row r="647" ht="15.75" customHeight="1">
      <c r="A647" s="41"/>
      <c r="B647" s="11"/>
      <c r="C647" s="11"/>
      <c r="D647" s="11"/>
      <c r="E647" s="11"/>
      <c r="F647" s="11"/>
      <c r="G647" s="11"/>
      <c r="H647" s="11"/>
      <c r="I647" s="41"/>
      <c r="J647" s="11"/>
      <c r="K647" s="11"/>
      <c r="L647" s="11"/>
      <c r="M647" s="11"/>
      <c r="N647" s="11"/>
      <c r="O647" s="11"/>
      <c r="P647" s="11"/>
      <c r="Q647" s="41"/>
      <c r="R647" s="11"/>
      <c r="S647" s="11"/>
      <c r="T647" s="11"/>
      <c r="U647" s="11"/>
      <c r="V647" s="11"/>
      <c r="W647" s="11"/>
      <c r="X647" s="11"/>
      <c r="Y647" s="4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  <c r="CD647" s="11"/>
      <c r="CE647" s="11"/>
      <c r="CF647" s="11"/>
      <c r="CG647" s="11"/>
      <c r="CH647" s="11"/>
      <c r="CI647" s="11"/>
      <c r="CJ647" s="11"/>
      <c r="CK647" s="11"/>
      <c r="CL647" s="11"/>
      <c r="CM647" s="11"/>
      <c r="CN647" s="11"/>
      <c r="CO647" s="11"/>
      <c r="CP647" s="40"/>
      <c r="CQ647" s="40"/>
      <c r="CR647" s="40"/>
      <c r="CS647" s="40"/>
      <c r="CT647" s="40"/>
      <c r="CU647" s="40"/>
      <c r="CV647" s="40"/>
      <c r="CW647" s="40"/>
      <c r="CX647" s="40"/>
      <c r="CY647" s="40"/>
      <c r="CZ647" s="40"/>
      <c r="DA647" s="11"/>
      <c r="DB647" s="11"/>
      <c r="DC647" s="11"/>
      <c r="DD647" s="11"/>
      <c r="DE647" s="11"/>
      <c r="DF647" s="11"/>
      <c r="DG647" s="11"/>
    </row>
    <row r="648" ht="15.75" customHeight="1">
      <c r="A648" s="41"/>
      <c r="B648" s="11"/>
      <c r="C648" s="11"/>
      <c r="D648" s="11"/>
      <c r="E648" s="11"/>
      <c r="F648" s="11"/>
      <c r="G648" s="11"/>
      <c r="H648" s="11"/>
      <c r="I648" s="41"/>
      <c r="J648" s="11"/>
      <c r="K648" s="11"/>
      <c r="L648" s="11"/>
      <c r="M648" s="11"/>
      <c r="N648" s="11"/>
      <c r="O648" s="11"/>
      <c r="P648" s="11"/>
      <c r="Q648" s="41"/>
      <c r="R648" s="11"/>
      <c r="S648" s="11"/>
      <c r="T648" s="11"/>
      <c r="U648" s="11"/>
      <c r="V648" s="11"/>
      <c r="W648" s="11"/>
      <c r="X648" s="11"/>
      <c r="Y648" s="4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1"/>
      <c r="CG648" s="11"/>
      <c r="CH648" s="11"/>
      <c r="CI648" s="11"/>
      <c r="CJ648" s="11"/>
      <c r="CK648" s="11"/>
      <c r="CL648" s="11"/>
      <c r="CM648" s="11"/>
      <c r="CN648" s="11"/>
      <c r="CO648" s="11"/>
      <c r="CP648" s="40"/>
      <c r="CQ648" s="40"/>
      <c r="CR648" s="40"/>
      <c r="CS648" s="40"/>
      <c r="CT648" s="40"/>
      <c r="CU648" s="40"/>
      <c r="CV648" s="40"/>
      <c r="CW648" s="40"/>
      <c r="CX648" s="40"/>
      <c r="CY648" s="40"/>
      <c r="CZ648" s="40"/>
      <c r="DA648" s="11"/>
      <c r="DB648" s="11"/>
      <c r="DC648" s="11"/>
      <c r="DD648" s="11"/>
      <c r="DE648" s="11"/>
      <c r="DF648" s="11"/>
      <c r="DG648" s="11"/>
    </row>
    <row r="649" ht="15.75" customHeight="1">
      <c r="A649" s="41"/>
      <c r="B649" s="11"/>
      <c r="C649" s="11"/>
      <c r="D649" s="11"/>
      <c r="E649" s="11"/>
      <c r="F649" s="11"/>
      <c r="G649" s="11"/>
      <c r="H649" s="11"/>
      <c r="I649" s="41"/>
      <c r="J649" s="11"/>
      <c r="K649" s="11"/>
      <c r="L649" s="11"/>
      <c r="M649" s="11"/>
      <c r="N649" s="11"/>
      <c r="O649" s="11"/>
      <c r="P649" s="11"/>
      <c r="Q649" s="41"/>
      <c r="R649" s="11"/>
      <c r="S649" s="11"/>
      <c r="T649" s="11"/>
      <c r="U649" s="11"/>
      <c r="V649" s="11"/>
      <c r="W649" s="11"/>
      <c r="X649" s="11"/>
      <c r="Y649" s="4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  <c r="CD649" s="11"/>
      <c r="CE649" s="11"/>
      <c r="CF649" s="11"/>
      <c r="CG649" s="11"/>
      <c r="CH649" s="11"/>
      <c r="CI649" s="11"/>
      <c r="CJ649" s="11"/>
      <c r="CK649" s="11"/>
      <c r="CL649" s="11"/>
      <c r="CM649" s="11"/>
      <c r="CN649" s="11"/>
      <c r="CO649" s="11"/>
      <c r="CP649" s="40"/>
      <c r="CQ649" s="40"/>
      <c r="CR649" s="40"/>
      <c r="CS649" s="40"/>
      <c r="CT649" s="40"/>
      <c r="CU649" s="40"/>
      <c r="CV649" s="40"/>
      <c r="CW649" s="40"/>
      <c r="CX649" s="40"/>
      <c r="CY649" s="40"/>
      <c r="CZ649" s="40"/>
      <c r="DA649" s="11"/>
      <c r="DB649" s="11"/>
      <c r="DC649" s="11"/>
      <c r="DD649" s="11"/>
      <c r="DE649" s="11"/>
      <c r="DF649" s="11"/>
      <c r="DG649" s="11"/>
    </row>
    <row r="650" ht="15.75" customHeight="1">
      <c r="A650" s="41"/>
      <c r="B650" s="11"/>
      <c r="C650" s="11"/>
      <c r="D650" s="11"/>
      <c r="E650" s="11"/>
      <c r="F650" s="11"/>
      <c r="G650" s="11"/>
      <c r="H650" s="11"/>
      <c r="I650" s="41"/>
      <c r="J650" s="11"/>
      <c r="K650" s="11"/>
      <c r="L650" s="11"/>
      <c r="M650" s="11"/>
      <c r="N650" s="11"/>
      <c r="O650" s="11"/>
      <c r="P650" s="11"/>
      <c r="Q650" s="41"/>
      <c r="R650" s="11"/>
      <c r="S650" s="11"/>
      <c r="T650" s="11"/>
      <c r="U650" s="11"/>
      <c r="V650" s="11"/>
      <c r="W650" s="11"/>
      <c r="X650" s="11"/>
      <c r="Y650" s="4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  <c r="CD650" s="11"/>
      <c r="CE650" s="11"/>
      <c r="CF650" s="11"/>
      <c r="CG650" s="11"/>
      <c r="CH650" s="11"/>
      <c r="CI650" s="11"/>
      <c r="CJ650" s="11"/>
      <c r="CK650" s="11"/>
      <c r="CL650" s="11"/>
      <c r="CM650" s="11"/>
      <c r="CN650" s="11"/>
      <c r="CO650" s="11"/>
      <c r="CP650" s="40"/>
      <c r="CQ650" s="40"/>
      <c r="CR650" s="40"/>
      <c r="CS650" s="40"/>
      <c r="CT650" s="40"/>
      <c r="CU650" s="40"/>
      <c r="CV650" s="40"/>
      <c r="CW650" s="40"/>
      <c r="CX650" s="40"/>
      <c r="CY650" s="40"/>
      <c r="CZ650" s="40"/>
      <c r="DA650" s="11"/>
      <c r="DB650" s="11"/>
      <c r="DC650" s="11"/>
      <c r="DD650" s="11"/>
      <c r="DE650" s="11"/>
      <c r="DF650" s="11"/>
      <c r="DG650" s="11"/>
    </row>
    <row r="651" ht="15.75" customHeight="1">
      <c r="A651" s="41"/>
      <c r="B651" s="11"/>
      <c r="C651" s="11"/>
      <c r="D651" s="11"/>
      <c r="E651" s="11"/>
      <c r="F651" s="11"/>
      <c r="G651" s="11"/>
      <c r="H651" s="11"/>
      <c r="I651" s="41"/>
      <c r="J651" s="11"/>
      <c r="K651" s="11"/>
      <c r="L651" s="11"/>
      <c r="M651" s="11"/>
      <c r="N651" s="11"/>
      <c r="O651" s="11"/>
      <c r="P651" s="11"/>
      <c r="Q651" s="41"/>
      <c r="R651" s="11"/>
      <c r="S651" s="11"/>
      <c r="T651" s="11"/>
      <c r="U651" s="11"/>
      <c r="V651" s="11"/>
      <c r="W651" s="11"/>
      <c r="X651" s="11"/>
      <c r="Y651" s="4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  <c r="CD651" s="11"/>
      <c r="CE651" s="11"/>
      <c r="CF651" s="11"/>
      <c r="CG651" s="11"/>
      <c r="CH651" s="11"/>
      <c r="CI651" s="11"/>
      <c r="CJ651" s="11"/>
      <c r="CK651" s="11"/>
      <c r="CL651" s="11"/>
      <c r="CM651" s="11"/>
      <c r="CN651" s="11"/>
      <c r="CO651" s="11"/>
      <c r="CP651" s="40"/>
      <c r="CQ651" s="40"/>
      <c r="CR651" s="40"/>
      <c r="CS651" s="40"/>
      <c r="CT651" s="40"/>
      <c r="CU651" s="40"/>
      <c r="CV651" s="40"/>
      <c r="CW651" s="40"/>
      <c r="CX651" s="40"/>
      <c r="CY651" s="40"/>
      <c r="CZ651" s="40"/>
      <c r="DA651" s="11"/>
      <c r="DB651" s="11"/>
      <c r="DC651" s="11"/>
      <c r="DD651" s="11"/>
      <c r="DE651" s="11"/>
      <c r="DF651" s="11"/>
      <c r="DG651" s="11"/>
    </row>
    <row r="652" ht="15.75" customHeight="1">
      <c r="A652" s="41"/>
      <c r="B652" s="11"/>
      <c r="C652" s="11"/>
      <c r="D652" s="11"/>
      <c r="E652" s="11"/>
      <c r="F652" s="11"/>
      <c r="G652" s="11"/>
      <c r="H652" s="11"/>
      <c r="I652" s="41"/>
      <c r="J652" s="11"/>
      <c r="K652" s="11"/>
      <c r="L652" s="11"/>
      <c r="M652" s="11"/>
      <c r="N652" s="11"/>
      <c r="O652" s="11"/>
      <c r="P652" s="11"/>
      <c r="Q652" s="41"/>
      <c r="R652" s="11"/>
      <c r="S652" s="11"/>
      <c r="T652" s="11"/>
      <c r="U652" s="11"/>
      <c r="V652" s="11"/>
      <c r="W652" s="11"/>
      <c r="X652" s="11"/>
      <c r="Y652" s="4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11"/>
      <c r="CD652" s="11"/>
      <c r="CE652" s="11"/>
      <c r="CF652" s="11"/>
      <c r="CG652" s="11"/>
      <c r="CH652" s="11"/>
      <c r="CI652" s="11"/>
      <c r="CJ652" s="11"/>
      <c r="CK652" s="11"/>
      <c r="CL652" s="11"/>
      <c r="CM652" s="11"/>
      <c r="CN652" s="11"/>
      <c r="CO652" s="11"/>
      <c r="CP652" s="40"/>
      <c r="CQ652" s="40"/>
      <c r="CR652" s="40"/>
      <c r="CS652" s="40"/>
      <c r="CT652" s="40"/>
      <c r="CU652" s="40"/>
      <c r="CV652" s="40"/>
      <c r="CW652" s="40"/>
      <c r="CX652" s="40"/>
      <c r="CY652" s="40"/>
      <c r="CZ652" s="40"/>
      <c r="DA652" s="11"/>
      <c r="DB652" s="11"/>
      <c r="DC652" s="11"/>
      <c r="DD652" s="11"/>
      <c r="DE652" s="11"/>
      <c r="DF652" s="11"/>
      <c r="DG652" s="11"/>
    </row>
    <row r="653" ht="15.75" customHeight="1">
      <c r="A653" s="41"/>
      <c r="B653" s="11"/>
      <c r="C653" s="11"/>
      <c r="D653" s="11"/>
      <c r="E653" s="11"/>
      <c r="F653" s="11"/>
      <c r="G653" s="11"/>
      <c r="H653" s="11"/>
      <c r="I653" s="41"/>
      <c r="J653" s="11"/>
      <c r="K653" s="11"/>
      <c r="L653" s="11"/>
      <c r="M653" s="11"/>
      <c r="N653" s="11"/>
      <c r="O653" s="11"/>
      <c r="P653" s="11"/>
      <c r="Q653" s="41"/>
      <c r="R653" s="11"/>
      <c r="S653" s="11"/>
      <c r="T653" s="11"/>
      <c r="U653" s="11"/>
      <c r="V653" s="11"/>
      <c r="W653" s="11"/>
      <c r="X653" s="11"/>
      <c r="Y653" s="4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  <c r="CD653" s="11"/>
      <c r="CE653" s="11"/>
      <c r="CF653" s="11"/>
      <c r="CG653" s="11"/>
      <c r="CH653" s="11"/>
      <c r="CI653" s="11"/>
      <c r="CJ653" s="11"/>
      <c r="CK653" s="11"/>
      <c r="CL653" s="11"/>
      <c r="CM653" s="11"/>
      <c r="CN653" s="11"/>
      <c r="CO653" s="11"/>
      <c r="CP653" s="40"/>
      <c r="CQ653" s="40"/>
      <c r="CR653" s="40"/>
      <c r="CS653" s="40"/>
      <c r="CT653" s="40"/>
      <c r="CU653" s="40"/>
      <c r="CV653" s="40"/>
      <c r="CW653" s="40"/>
      <c r="CX653" s="40"/>
      <c r="CY653" s="40"/>
      <c r="CZ653" s="40"/>
      <c r="DA653" s="11"/>
      <c r="DB653" s="11"/>
      <c r="DC653" s="11"/>
      <c r="DD653" s="11"/>
      <c r="DE653" s="11"/>
      <c r="DF653" s="11"/>
      <c r="DG653" s="11"/>
    </row>
    <row r="654" ht="15.75" customHeight="1">
      <c r="A654" s="41"/>
      <c r="B654" s="11"/>
      <c r="C654" s="11"/>
      <c r="D654" s="11"/>
      <c r="E654" s="11"/>
      <c r="F654" s="11"/>
      <c r="G654" s="11"/>
      <c r="H654" s="11"/>
      <c r="I654" s="41"/>
      <c r="J654" s="11"/>
      <c r="K654" s="11"/>
      <c r="L654" s="11"/>
      <c r="M654" s="11"/>
      <c r="N654" s="11"/>
      <c r="O654" s="11"/>
      <c r="P654" s="11"/>
      <c r="Q654" s="41"/>
      <c r="R654" s="11"/>
      <c r="S654" s="11"/>
      <c r="T654" s="11"/>
      <c r="U654" s="11"/>
      <c r="V654" s="11"/>
      <c r="W654" s="11"/>
      <c r="X654" s="11"/>
      <c r="Y654" s="4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  <c r="CD654" s="11"/>
      <c r="CE654" s="11"/>
      <c r="CF654" s="11"/>
      <c r="CG654" s="11"/>
      <c r="CH654" s="11"/>
      <c r="CI654" s="11"/>
      <c r="CJ654" s="11"/>
      <c r="CK654" s="11"/>
      <c r="CL654" s="11"/>
      <c r="CM654" s="11"/>
      <c r="CN654" s="11"/>
      <c r="CO654" s="11"/>
      <c r="CP654" s="40"/>
      <c r="CQ654" s="40"/>
      <c r="CR654" s="40"/>
      <c r="CS654" s="40"/>
      <c r="CT654" s="40"/>
      <c r="CU654" s="40"/>
      <c r="CV654" s="40"/>
      <c r="CW654" s="40"/>
      <c r="CX654" s="40"/>
      <c r="CY654" s="40"/>
      <c r="CZ654" s="40"/>
      <c r="DA654" s="11"/>
      <c r="DB654" s="11"/>
      <c r="DC654" s="11"/>
      <c r="DD654" s="11"/>
      <c r="DE654" s="11"/>
      <c r="DF654" s="11"/>
      <c r="DG654" s="11"/>
    </row>
    <row r="655" ht="15.75" customHeight="1">
      <c r="A655" s="41"/>
      <c r="B655" s="11"/>
      <c r="C655" s="11"/>
      <c r="D655" s="11"/>
      <c r="E655" s="11"/>
      <c r="F655" s="11"/>
      <c r="G655" s="11"/>
      <c r="H655" s="11"/>
      <c r="I655" s="41"/>
      <c r="J655" s="11"/>
      <c r="K655" s="11"/>
      <c r="L655" s="11"/>
      <c r="M655" s="11"/>
      <c r="N655" s="11"/>
      <c r="O655" s="11"/>
      <c r="P655" s="11"/>
      <c r="Q655" s="41"/>
      <c r="R655" s="11"/>
      <c r="S655" s="11"/>
      <c r="T655" s="11"/>
      <c r="U655" s="11"/>
      <c r="V655" s="11"/>
      <c r="W655" s="11"/>
      <c r="X655" s="11"/>
      <c r="Y655" s="4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  <c r="CD655" s="11"/>
      <c r="CE655" s="11"/>
      <c r="CF655" s="11"/>
      <c r="CG655" s="11"/>
      <c r="CH655" s="11"/>
      <c r="CI655" s="11"/>
      <c r="CJ655" s="11"/>
      <c r="CK655" s="11"/>
      <c r="CL655" s="11"/>
      <c r="CM655" s="11"/>
      <c r="CN655" s="11"/>
      <c r="CO655" s="11"/>
      <c r="CP655" s="40"/>
      <c r="CQ655" s="40"/>
      <c r="CR655" s="40"/>
      <c r="CS655" s="40"/>
      <c r="CT655" s="40"/>
      <c r="CU655" s="40"/>
      <c r="CV655" s="40"/>
      <c r="CW655" s="40"/>
      <c r="CX655" s="40"/>
      <c r="CY655" s="40"/>
      <c r="CZ655" s="40"/>
      <c r="DA655" s="11"/>
      <c r="DB655" s="11"/>
      <c r="DC655" s="11"/>
      <c r="DD655" s="11"/>
      <c r="DE655" s="11"/>
      <c r="DF655" s="11"/>
      <c r="DG655" s="11"/>
    </row>
    <row r="656" ht="15.75" customHeight="1">
      <c r="A656" s="41"/>
      <c r="B656" s="11"/>
      <c r="C656" s="11"/>
      <c r="D656" s="11"/>
      <c r="E656" s="11"/>
      <c r="F656" s="11"/>
      <c r="G656" s="11"/>
      <c r="H656" s="11"/>
      <c r="I656" s="41"/>
      <c r="J656" s="11"/>
      <c r="K656" s="11"/>
      <c r="L656" s="11"/>
      <c r="M656" s="11"/>
      <c r="N656" s="11"/>
      <c r="O656" s="11"/>
      <c r="P656" s="11"/>
      <c r="Q656" s="41"/>
      <c r="R656" s="11"/>
      <c r="S656" s="11"/>
      <c r="T656" s="11"/>
      <c r="U656" s="11"/>
      <c r="V656" s="11"/>
      <c r="W656" s="11"/>
      <c r="X656" s="11"/>
      <c r="Y656" s="4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11"/>
      <c r="CD656" s="11"/>
      <c r="CE656" s="11"/>
      <c r="CF656" s="11"/>
      <c r="CG656" s="11"/>
      <c r="CH656" s="11"/>
      <c r="CI656" s="11"/>
      <c r="CJ656" s="11"/>
      <c r="CK656" s="11"/>
      <c r="CL656" s="11"/>
      <c r="CM656" s="11"/>
      <c r="CN656" s="11"/>
      <c r="CO656" s="11"/>
      <c r="CP656" s="40"/>
      <c r="CQ656" s="40"/>
      <c r="CR656" s="40"/>
      <c r="CS656" s="40"/>
      <c r="CT656" s="40"/>
      <c r="CU656" s="40"/>
      <c r="CV656" s="40"/>
      <c r="CW656" s="40"/>
      <c r="CX656" s="40"/>
      <c r="CY656" s="40"/>
      <c r="CZ656" s="40"/>
      <c r="DA656" s="11"/>
      <c r="DB656" s="11"/>
      <c r="DC656" s="11"/>
      <c r="DD656" s="11"/>
      <c r="DE656" s="11"/>
      <c r="DF656" s="11"/>
      <c r="DG656" s="11"/>
    </row>
    <row r="657" ht="15.75" customHeight="1">
      <c r="A657" s="41"/>
      <c r="B657" s="11"/>
      <c r="C657" s="11"/>
      <c r="D657" s="11"/>
      <c r="E657" s="11"/>
      <c r="F657" s="11"/>
      <c r="G657" s="11"/>
      <c r="H657" s="11"/>
      <c r="I657" s="41"/>
      <c r="J657" s="11"/>
      <c r="K657" s="11"/>
      <c r="L657" s="11"/>
      <c r="M657" s="11"/>
      <c r="N657" s="11"/>
      <c r="O657" s="11"/>
      <c r="P657" s="11"/>
      <c r="Q657" s="41"/>
      <c r="R657" s="11"/>
      <c r="S657" s="11"/>
      <c r="T657" s="11"/>
      <c r="U657" s="11"/>
      <c r="V657" s="11"/>
      <c r="W657" s="11"/>
      <c r="X657" s="11"/>
      <c r="Y657" s="4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  <c r="CD657" s="11"/>
      <c r="CE657" s="11"/>
      <c r="CF657" s="11"/>
      <c r="CG657" s="11"/>
      <c r="CH657" s="11"/>
      <c r="CI657" s="11"/>
      <c r="CJ657" s="11"/>
      <c r="CK657" s="11"/>
      <c r="CL657" s="11"/>
      <c r="CM657" s="11"/>
      <c r="CN657" s="11"/>
      <c r="CO657" s="11"/>
      <c r="CP657" s="40"/>
      <c r="CQ657" s="40"/>
      <c r="CR657" s="40"/>
      <c r="CS657" s="40"/>
      <c r="CT657" s="40"/>
      <c r="CU657" s="40"/>
      <c r="CV657" s="40"/>
      <c r="CW657" s="40"/>
      <c r="CX657" s="40"/>
      <c r="CY657" s="40"/>
      <c r="CZ657" s="40"/>
      <c r="DA657" s="11"/>
      <c r="DB657" s="11"/>
      <c r="DC657" s="11"/>
      <c r="DD657" s="11"/>
      <c r="DE657" s="11"/>
      <c r="DF657" s="11"/>
      <c r="DG657" s="11"/>
    </row>
    <row r="658" ht="15.75" customHeight="1">
      <c r="A658" s="41"/>
      <c r="B658" s="11"/>
      <c r="C658" s="11"/>
      <c r="D658" s="11"/>
      <c r="E658" s="11"/>
      <c r="F658" s="11"/>
      <c r="G658" s="11"/>
      <c r="H658" s="11"/>
      <c r="I658" s="41"/>
      <c r="J658" s="11"/>
      <c r="K658" s="11"/>
      <c r="L658" s="11"/>
      <c r="M658" s="11"/>
      <c r="N658" s="11"/>
      <c r="O658" s="11"/>
      <c r="P658" s="11"/>
      <c r="Q658" s="41"/>
      <c r="R658" s="11"/>
      <c r="S658" s="11"/>
      <c r="T658" s="11"/>
      <c r="U658" s="11"/>
      <c r="V658" s="11"/>
      <c r="W658" s="11"/>
      <c r="X658" s="11"/>
      <c r="Y658" s="4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  <c r="CH658" s="11"/>
      <c r="CI658" s="11"/>
      <c r="CJ658" s="11"/>
      <c r="CK658" s="11"/>
      <c r="CL658" s="11"/>
      <c r="CM658" s="11"/>
      <c r="CN658" s="11"/>
      <c r="CO658" s="11"/>
      <c r="CP658" s="40"/>
      <c r="CQ658" s="40"/>
      <c r="CR658" s="40"/>
      <c r="CS658" s="40"/>
      <c r="CT658" s="40"/>
      <c r="CU658" s="40"/>
      <c r="CV658" s="40"/>
      <c r="CW658" s="40"/>
      <c r="CX658" s="40"/>
      <c r="CY658" s="40"/>
      <c r="CZ658" s="40"/>
      <c r="DA658" s="11"/>
      <c r="DB658" s="11"/>
      <c r="DC658" s="11"/>
      <c r="DD658" s="11"/>
      <c r="DE658" s="11"/>
      <c r="DF658" s="11"/>
      <c r="DG658" s="11"/>
    </row>
    <row r="659" ht="15.75" customHeight="1">
      <c r="A659" s="41"/>
      <c r="B659" s="11"/>
      <c r="C659" s="11"/>
      <c r="D659" s="11"/>
      <c r="E659" s="11"/>
      <c r="F659" s="11"/>
      <c r="G659" s="11"/>
      <c r="H659" s="11"/>
      <c r="I659" s="41"/>
      <c r="J659" s="11"/>
      <c r="K659" s="11"/>
      <c r="L659" s="11"/>
      <c r="M659" s="11"/>
      <c r="N659" s="11"/>
      <c r="O659" s="11"/>
      <c r="P659" s="11"/>
      <c r="Q659" s="41"/>
      <c r="R659" s="11"/>
      <c r="S659" s="11"/>
      <c r="T659" s="11"/>
      <c r="U659" s="11"/>
      <c r="V659" s="11"/>
      <c r="W659" s="11"/>
      <c r="X659" s="11"/>
      <c r="Y659" s="4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11"/>
      <c r="CD659" s="11"/>
      <c r="CE659" s="11"/>
      <c r="CF659" s="11"/>
      <c r="CG659" s="11"/>
      <c r="CH659" s="11"/>
      <c r="CI659" s="11"/>
      <c r="CJ659" s="11"/>
      <c r="CK659" s="11"/>
      <c r="CL659" s="11"/>
      <c r="CM659" s="11"/>
      <c r="CN659" s="11"/>
      <c r="CO659" s="11"/>
      <c r="CP659" s="40"/>
      <c r="CQ659" s="40"/>
      <c r="CR659" s="40"/>
      <c r="CS659" s="40"/>
      <c r="CT659" s="40"/>
      <c r="CU659" s="40"/>
      <c r="CV659" s="40"/>
      <c r="CW659" s="40"/>
      <c r="CX659" s="40"/>
      <c r="CY659" s="40"/>
      <c r="CZ659" s="40"/>
      <c r="DA659" s="11"/>
      <c r="DB659" s="11"/>
      <c r="DC659" s="11"/>
      <c r="DD659" s="11"/>
      <c r="DE659" s="11"/>
      <c r="DF659" s="11"/>
      <c r="DG659" s="11"/>
    </row>
    <row r="660" ht="15.75" customHeight="1">
      <c r="A660" s="41"/>
      <c r="B660" s="11"/>
      <c r="C660" s="11"/>
      <c r="D660" s="11"/>
      <c r="E660" s="11"/>
      <c r="F660" s="11"/>
      <c r="G660" s="11"/>
      <c r="H660" s="11"/>
      <c r="I660" s="41"/>
      <c r="J660" s="11"/>
      <c r="K660" s="11"/>
      <c r="L660" s="11"/>
      <c r="M660" s="11"/>
      <c r="N660" s="11"/>
      <c r="O660" s="11"/>
      <c r="P660" s="11"/>
      <c r="Q660" s="41"/>
      <c r="R660" s="11"/>
      <c r="S660" s="11"/>
      <c r="T660" s="11"/>
      <c r="U660" s="11"/>
      <c r="V660" s="11"/>
      <c r="W660" s="11"/>
      <c r="X660" s="11"/>
      <c r="Y660" s="4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11"/>
      <c r="CD660" s="11"/>
      <c r="CE660" s="11"/>
      <c r="CF660" s="11"/>
      <c r="CG660" s="11"/>
      <c r="CH660" s="11"/>
      <c r="CI660" s="11"/>
      <c r="CJ660" s="11"/>
      <c r="CK660" s="11"/>
      <c r="CL660" s="11"/>
      <c r="CM660" s="11"/>
      <c r="CN660" s="11"/>
      <c r="CO660" s="11"/>
      <c r="CP660" s="40"/>
      <c r="CQ660" s="40"/>
      <c r="CR660" s="40"/>
      <c r="CS660" s="40"/>
      <c r="CT660" s="40"/>
      <c r="CU660" s="40"/>
      <c r="CV660" s="40"/>
      <c r="CW660" s="40"/>
      <c r="CX660" s="40"/>
      <c r="CY660" s="40"/>
      <c r="CZ660" s="40"/>
      <c r="DA660" s="11"/>
      <c r="DB660" s="11"/>
      <c r="DC660" s="11"/>
      <c r="DD660" s="11"/>
      <c r="DE660" s="11"/>
      <c r="DF660" s="11"/>
      <c r="DG660" s="11"/>
    </row>
    <row r="661" ht="15.75" customHeight="1">
      <c r="A661" s="41"/>
      <c r="B661" s="11"/>
      <c r="C661" s="11"/>
      <c r="D661" s="11"/>
      <c r="E661" s="11"/>
      <c r="F661" s="11"/>
      <c r="G661" s="11"/>
      <c r="H661" s="11"/>
      <c r="I661" s="41"/>
      <c r="J661" s="11"/>
      <c r="K661" s="11"/>
      <c r="L661" s="11"/>
      <c r="M661" s="11"/>
      <c r="N661" s="11"/>
      <c r="O661" s="11"/>
      <c r="P661" s="11"/>
      <c r="Q661" s="41"/>
      <c r="R661" s="11"/>
      <c r="S661" s="11"/>
      <c r="T661" s="11"/>
      <c r="U661" s="11"/>
      <c r="V661" s="11"/>
      <c r="W661" s="11"/>
      <c r="X661" s="11"/>
      <c r="Y661" s="4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11"/>
      <c r="CD661" s="11"/>
      <c r="CE661" s="11"/>
      <c r="CF661" s="11"/>
      <c r="CG661" s="11"/>
      <c r="CH661" s="11"/>
      <c r="CI661" s="11"/>
      <c r="CJ661" s="11"/>
      <c r="CK661" s="11"/>
      <c r="CL661" s="11"/>
      <c r="CM661" s="11"/>
      <c r="CN661" s="11"/>
      <c r="CO661" s="11"/>
      <c r="CP661" s="40"/>
      <c r="CQ661" s="40"/>
      <c r="CR661" s="40"/>
      <c r="CS661" s="40"/>
      <c r="CT661" s="40"/>
      <c r="CU661" s="40"/>
      <c r="CV661" s="40"/>
      <c r="CW661" s="40"/>
      <c r="CX661" s="40"/>
      <c r="CY661" s="40"/>
      <c r="CZ661" s="40"/>
      <c r="DA661" s="11"/>
      <c r="DB661" s="11"/>
      <c r="DC661" s="11"/>
      <c r="DD661" s="11"/>
      <c r="DE661" s="11"/>
      <c r="DF661" s="11"/>
      <c r="DG661" s="11"/>
    </row>
    <row r="662" ht="15.75" customHeight="1">
      <c r="A662" s="41"/>
      <c r="B662" s="11"/>
      <c r="C662" s="11"/>
      <c r="D662" s="11"/>
      <c r="E662" s="11"/>
      <c r="F662" s="11"/>
      <c r="G662" s="11"/>
      <c r="H662" s="11"/>
      <c r="I662" s="41"/>
      <c r="J662" s="11"/>
      <c r="K662" s="11"/>
      <c r="L662" s="11"/>
      <c r="M662" s="11"/>
      <c r="N662" s="11"/>
      <c r="O662" s="11"/>
      <c r="P662" s="11"/>
      <c r="Q662" s="41"/>
      <c r="R662" s="11"/>
      <c r="S662" s="11"/>
      <c r="T662" s="11"/>
      <c r="U662" s="11"/>
      <c r="V662" s="11"/>
      <c r="W662" s="11"/>
      <c r="X662" s="11"/>
      <c r="Y662" s="4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  <c r="CD662" s="11"/>
      <c r="CE662" s="11"/>
      <c r="CF662" s="11"/>
      <c r="CG662" s="11"/>
      <c r="CH662" s="11"/>
      <c r="CI662" s="11"/>
      <c r="CJ662" s="11"/>
      <c r="CK662" s="11"/>
      <c r="CL662" s="11"/>
      <c r="CM662" s="11"/>
      <c r="CN662" s="11"/>
      <c r="CO662" s="11"/>
      <c r="CP662" s="40"/>
      <c r="CQ662" s="40"/>
      <c r="CR662" s="40"/>
      <c r="CS662" s="40"/>
      <c r="CT662" s="40"/>
      <c r="CU662" s="40"/>
      <c r="CV662" s="40"/>
      <c r="CW662" s="40"/>
      <c r="CX662" s="40"/>
      <c r="CY662" s="40"/>
      <c r="CZ662" s="40"/>
      <c r="DA662" s="11"/>
      <c r="DB662" s="11"/>
      <c r="DC662" s="11"/>
      <c r="DD662" s="11"/>
      <c r="DE662" s="11"/>
      <c r="DF662" s="11"/>
      <c r="DG662" s="11"/>
    </row>
    <row r="663" ht="15.75" customHeight="1">
      <c r="A663" s="41"/>
      <c r="B663" s="11"/>
      <c r="C663" s="11"/>
      <c r="D663" s="11"/>
      <c r="E663" s="11"/>
      <c r="F663" s="11"/>
      <c r="G663" s="11"/>
      <c r="H663" s="11"/>
      <c r="I663" s="41"/>
      <c r="J663" s="11"/>
      <c r="K663" s="11"/>
      <c r="L663" s="11"/>
      <c r="M663" s="11"/>
      <c r="N663" s="11"/>
      <c r="O663" s="11"/>
      <c r="P663" s="11"/>
      <c r="Q663" s="41"/>
      <c r="R663" s="11"/>
      <c r="S663" s="11"/>
      <c r="T663" s="11"/>
      <c r="U663" s="11"/>
      <c r="V663" s="11"/>
      <c r="W663" s="11"/>
      <c r="X663" s="11"/>
      <c r="Y663" s="4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  <c r="CD663" s="11"/>
      <c r="CE663" s="11"/>
      <c r="CF663" s="11"/>
      <c r="CG663" s="11"/>
      <c r="CH663" s="11"/>
      <c r="CI663" s="11"/>
      <c r="CJ663" s="11"/>
      <c r="CK663" s="11"/>
      <c r="CL663" s="11"/>
      <c r="CM663" s="11"/>
      <c r="CN663" s="11"/>
      <c r="CO663" s="11"/>
      <c r="CP663" s="40"/>
      <c r="CQ663" s="40"/>
      <c r="CR663" s="40"/>
      <c r="CS663" s="40"/>
      <c r="CT663" s="40"/>
      <c r="CU663" s="40"/>
      <c r="CV663" s="40"/>
      <c r="CW663" s="40"/>
      <c r="CX663" s="40"/>
      <c r="CY663" s="40"/>
      <c r="CZ663" s="40"/>
      <c r="DA663" s="11"/>
      <c r="DB663" s="11"/>
      <c r="DC663" s="11"/>
      <c r="DD663" s="11"/>
      <c r="DE663" s="11"/>
      <c r="DF663" s="11"/>
      <c r="DG663" s="11"/>
    </row>
    <row r="664" ht="15.75" customHeight="1">
      <c r="A664" s="41"/>
      <c r="B664" s="11"/>
      <c r="C664" s="11"/>
      <c r="D664" s="11"/>
      <c r="E664" s="11"/>
      <c r="F664" s="11"/>
      <c r="G664" s="11"/>
      <c r="H664" s="11"/>
      <c r="I664" s="41"/>
      <c r="J664" s="11"/>
      <c r="K664" s="11"/>
      <c r="L664" s="11"/>
      <c r="M664" s="11"/>
      <c r="N664" s="11"/>
      <c r="O664" s="11"/>
      <c r="P664" s="11"/>
      <c r="Q664" s="41"/>
      <c r="R664" s="11"/>
      <c r="S664" s="11"/>
      <c r="T664" s="11"/>
      <c r="U664" s="11"/>
      <c r="V664" s="11"/>
      <c r="W664" s="11"/>
      <c r="X664" s="11"/>
      <c r="Y664" s="4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40"/>
      <c r="CQ664" s="40"/>
      <c r="CR664" s="40"/>
      <c r="CS664" s="40"/>
      <c r="CT664" s="40"/>
      <c r="CU664" s="40"/>
      <c r="CV664" s="40"/>
      <c r="CW664" s="40"/>
      <c r="CX664" s="40"/>
      <c r="CY664" s="40"/>
      <c r="CZ664" s="40"/>
      <c r="DA664" s="11"/>
      <c r="DB664" s="11"/>
      <c r="DC664" s="11"/>
      <c r="DD664" s="11"/>
      <c r="DE664" s="11"/>
      <c r="DF664" s="11"/>
      <c r="DG664" s="11"/>
    </row>
    <row r="665" ht="15.75" customHeight="1">
      <c r="A665" s="41"/>
      <c r="B665" s="11"/>
      <c r="C665" s="11"/>
      <c r="D665" s="11"/>
      <c r="E665" s="11"/>
      <c r="F665" s="11"/>
      <c r="G665" s="11"/>
      <c r="H665" s="11"/>
      <c r="I665" s="41"/>
      <c r="J665" s="11"/>
      <c r="K665" s="11"/>
      <c r="L665" s="11"/>
      <c r="M665" s="11"/>
      <c r="N665" s="11"/>
      <c r="O665" s="11"/>
      <c r="P665" s="11"/>
      <c r="Q665" s="41"/>
      <c r="R665" s="11"/>
      <c r="S665" s="11"/>
      <c r="T665" s="11"/>
      <c r="U665" s="11"/>
      <c r="V665" s="11"/>
      <c r="W665" s="11"/>
      <c r="X665" s="11"/>
      <c r="Y665" s="4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40"/>
      <c r="CQ665" s="40"/>
      <c r="CR665" s="40"/>
      <c r="CS665" s="40"/>
      <c r="CT665" s="40"/>
      <c r="CU665" s="40"/>
      <c r="CV665" s="40"/>
      <c r="CW665" s="40"/>
      <c r="CX665" s="40"/>
      <c r="CY665" s="40"/>
      <c r="CZ665" s="40"/>
      <c r="DA665" s="11"/>
      <c r="DB665" s="11"/>
      <c r="DC665" s="11"/>
      <c r="DD665" s="11"/>
      <c r="DE665" s="11"/>
      <c r="DF665" s="11"/>
      <c r="DG665" s="11"/>
    </row>
    <row r="666" ht="15.75" customHeight="1">
      <c r="A666" s="41"/>
      <c r="B666" s="11"/>
      <c r="C666" s="11"/>
      <c r="D666" s="11"/>
      <c r="E666" s="11"/>
      <c r="F666" s="11"/>
      <c r="G666" s="11"/>
      <c r="H666" s="11"/>
      <c r="I666" s="41"/>
      <c r="J666" s="11"/>
      <c r="K666" s="11"/>
      <c r="L666" s="11"/>
      <c r="M666" s="11"/>
      <c r="N666" s="11"/>
      <c r="O666" s="11"/>
      <c r="P666" s="11"/>
      <c r="Q666" s="41"/>
      <c r="R666" s="11"/>
      <c r="S666" s="11"/>
      <c r="T666" s="11"/>
      <c r="U666" s="11"/>
      <c r="V666" s="11"/>
      <c r="W666" s="11"/>
      <c r="X666" s="11"/>
      <c r="Y666" s="4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  <c r="CD666" s="11"/>
      <c r="CE666" s="11"/>
      <c r="CF666" s="11"/>
      <c r="CG666" s="11"/>
      <c r="CH666" s="11"/>
      <c r="CI666" s="11"/>
      <c r="CJ666" s="11"/>
      <c r="CK666" s="11"/>
      <c r="CL666" s="11"/>
      <c r="CM666" s="11"/>
      <c r="CN666" s="11"/>
      <c r="CO666" s="11"/>
      <c r="CP666" s="40"/>
      <c r="CQ666" s="40"/>
      <c r="CR666" s="40"/>
      <c r="CS666" s="40"/>
      <c r="CT666" s="40"/>
      <c r="CU666" s="40"/>
      <c r="CV666" s="40"/>
      <c r="CW666" s="40"/>
      <c r="CX666" s="40"/>
      <c r="CY666" s="40"/>
      <c r="CZ666" s="40"/>
      <c r="DA666" s="11"/>
      <c r="DB666" s="11"/>
      <c r="DC666" s="11"/>
      <c r="DD666" s="11"/>
      <c r="DE666" s="11"/>
      <c r="DF666" s="11"/>
      <c r="DG666" s="11"/>
    </row>
    <row r="667" ht="15.75" customHeight="1">
      <c r="A667" s="41"/>
      <c r="B667" s="11"/>
      <c r="C667" s="11"/>
      <c r="D667" s="11"/>
      <c r="E667" s="11"/>
      <c r="F667" s="11"/>
      <c r="G667" s="11"/>
      <c r="H667" s="11"/>
      <c r="I667" s="41"/>
      <c r="J667" s="11"/>
      <c r="K667" s="11"/>
      <c r="L667" s="11"/>
      <c r="M667" s="11"/>
      <c r="N667" s="11"/>
      <c r="O667" s="11"/>
      <c r="P667" s="11"/>
      <c r="Q667" s="41"/>
      <c r="R667" s="11"/>
      <c r="S667" s="11"/>
      <c r="T667" s="11"/>
      <c r="U667" s="11"/>
      <c r="V667" s="11"/>
      <c r="W667" s="11"/>
      <c r="X667" s="11"/>
      <c r="Y667" s="4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  <c r="CD667" s="11"/>
      <c r="CE667" s="11"/>
      <c r="CF667" s="11"/>
      <c r="CG667" s="11"/>
      <c r="CH667" s="11"/>
      <c r="CI667" s="11"/>
      <c r="CJ667" s="11"/>
      <c r="CK667" s="11"/>
      <c r="CL667" s="11"/>
      <c r="CM667" s="11"/>
      <c r="CN667" s="11"/>
      <c r="CO667" s="11"/>
      <c r="CP667" s="40"/>
      <c r="CQ667" s="40"/>
      <c r="CR667" s="40"/>
      <c r="CS667" s="40"/>
      <c r="CT667" s="40"/>
      <c r="CU667" s="40"/>
      <c r="CV667" s="40"/>
      <c r="CW667" s="40"/>
      <c r="CX667" s="40"/>
      <c r="CY667" s="40"/>
      <c r="CZ667" s="40"/>
      <c r="DA667" s="11"/>
      <c r="DB667" s="11"/>
      <c r="DC667" s="11"/>
      <c r="DD667" s="11"/>
      <c r="DE667" s="11"/>
      <c r="DF667" s="11"/>
      <c r="DG667" s="11"/>
    </row>
    <row r="668" ht="15.75" customHeight="1">
      <c r="A668" s="41"/>
      <c r="B668" s="11"/>
      <c r="C668" s="11"/>
      <c r="D668" s="11"/>
      <c r="E668" s="11"/>
      <c r="F668" s="11"/>
      <c r="G668" s="11"/>
      <c r="H668" s="11"/>
      <c r="I668" s="41"/>
      <c r="J668" s="11"/>
      <c r="K668" s="11"/>
      <c r="L668" s="11"/>
      <c r="M668" s="11"/>
      <c r="N668" s="11"/>
      <c r="O668" s="11"/>
      <c r="P668" s="11"/>
      <c r="Q668" s="41"/>
      <c r="R668" s="11"/>
      <c r="S668" s="11"/>
      <c r="T668" s="11"/>
      <c r="U668" s="11"/>
      <c r="V668" s="11"/>
      <c r="W668" s="11"/>
      <c r="X668" s="11"/>
      <c r="Y668" s="4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  <c r="CD668" s="11"/>
      <c r="CE668" s="11"/>
      <c r="CF668" s="11"/>
      <c r="CG668" s="11"/>
      <c r="CH668" s="11"/>
      <c r="CI668" s="11"/>
      <c r="CJ668" s="11"/>
      <c r="CK668" s="11"/>
      <c r="CL668" s="11"/>
      <c r="CM668" s="11"/>
      <c r="CN668" s="11"/>
      <c r="CO668" s="11"/>
      <c r="CP668" s="40"/>
      <c r="CQ668" s="40"/>
      <c r="CR668" s="40"/>
      <c r="CS668" s="40"/>
      <c r="CT668" s="40"/>
      <c r="CU668" s="40"/>
      <c r="CV668" s="40"/>
      <c r="CW668" s="40"/>
      <c r="CX668" s="40"/>
      <c r="CY668" s="40"/>
      <c r="CZ668" s="40"/>
      <c r="DA668" s="11"/>
      <c r="DB668" s="11"/>
      <c r="DC668" s="11"/>
      <c r="DD668" s="11"/>
      <c r="DE668" s="11"/>
      <c r="DF668" s="11"/>
      <c r="DG668" s="11"/>
    </row>
    <row r="669" ht="15.75" customHeight="1">
      <c r="A669" s="41"/>
      <c r="B669" s="11"/>
      <c r="C669" s="11"/>
      <c r="D669" s="11"/>
      <c r="E669" s="11"/>
      <c r="F669" s="11"/>
      <c r="G669" s="11"/>
      <c r="H669" s="11"/>
      <c r="I669" s="41"/>
      <c r="J669" s="11"/>
      <c r="K669" s="11"/>
      <c r="L669" s="11"/>
      <c r="M669" s="11"/>
      <c r="N669" s="11"/>
      <c r="O669" s="11"/>
      <c r="P669" s="11"/>
      <c r="Q669" s="41"/>
      <c r="R669" s="11"/>
      <c r="S669" s="11"/>
      <c r="T669" s="11"/>
      <c r="U669" s="11"/>
      <c r="V669" s="11"/>
      <c r="W669" s="11"/>
      <c r="X669" s="11"/>
      <c r="Y669" s="4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  <c r="CD669" s="11"/>
      <c r="CE669" s="11"/>
      <c r="CF669" s="11"/>
      <c r="CG669" s="11"/>
      <c r="CH669" s="11"/>
      <c r="CI669" s="11"/>
      <c r="CJ669" s="11"/>
      <c r="CK669" s="11"/>
      <c r="CL669" s="11"/>
      <c r="CM669" s="11"/>
      <c r="CN669" s="11"/>
      <c r="CO669" s="11"/>
      <c r="CP669" s="40"/>
      <c r="CQ669" s="40"/>
      <c r="CR669" s="40"/>
      <c r="CS669" s="40"/>
      <c r="CT669" s="40"/>
      <c r="CU669" s="40"/>
      <c r="CV669" s="40"/>
      <c r="CW669" s="40"/>
      <c r="CX669" s="40"/>
      <c r="CY669" s="40"/>
      <c r="CZ669" s="40"/>
      <c r="DA669" s="11"/>
      <c r="DB669" s="11"/>
      <c r="DC669" s="11"/>
      <c r="DD669" s="11"/>
      <c r="DE669" s="11"/>
      <c r="DF669" s="11"/>
      <c r="DG669" s="11"/>
    </row>
    <row r="670" ht="15.75" customHeight="1">
      <c r="A670" s="41"/>
      <c r="B670" s="11"/>
      <c r="C670" s="11"/>
      <c r="D670" s="11"/>
      <c r="E670" s="11"/>
      <c r="F670" s="11"/>
      <c r="G670" s="11"/>
      <c r="H670" s="11"/>
      <c r="I670" s="41"/>
      <c r="J670" s="11"/>
      <c r="K670" s="11"/>
      <c r="L670" s="11"/>
      <c r="M670" s="11"/>
      <c r="N670" s="11"/>
      <c r="O670" s="11"/>
      <c r="P670" s="11"/>
      <c r="Q670" s="41"/>
      <c r="R670" s="11"/>
      <c r="S670" s="11"/>
      <c r="T670" s="11"/>
      <c r="U670" s="11"/>
      <c r="V670" s="11"/>
      <c r="W670" s="11"/>
      <c r="X670" s="11"/>
      <c r="Y670" s="4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40"/>
      <c r="CQ670" s="40"/>
      <c r="CR670" s="40"/>
      <c r="CS670" s="40"/>
      <c r="CT670" s="40"/>
      <c r="CU670" s="40"/>
      <c r="CV670" s="40"/>
      <c r="CW670" s="40"/>
      <c r="CX670" s="40"/>
      <c r="CY670" s="40"/>
      <c r="CZ670" s="40"/>
      <c r="DA670" s="11"/>
      <c r="DB670" s="11"/>
      <c r="DC670" s="11"/>
      <c r="DD670" s="11"/>
      <c r="DE670" s="11"/>
      <c r="DF670" s="11"/>
      <c r="DG670" s="11"/>
    </row>
    <row r="671" ht="15.75" customHeight="1">
      <c r="A671" s="41"/>
      <c r="B671" s="11"/>
      <c r="C671" s="11"/>
      <c r="D671" s="11"/>
      <c r="E671" s="11"/>
      <c r="F671" s="11"/>
      <c r="G671" s="11"/>
      <c r="H671" s="11"/>
      <c r="I671" s="41"/>
      <c r="J671" s="11"/>
      <c r="K671" s="11"/>
      <c r="L671" s="11"/>
      <c r="M671" s="11"/>
      <c r="N671" s="11"/>
      <c r="O671" s="11"/>
      <c r="P671" s="11"/>
      <c r="Q671" s="41"/>
      <c r="R671" s="11"/>
      <c r="S671" s="11"/>
      <c r="T671" s="11"/>
      <c r="U671" s="11"/>
      <c r="V671" s="11"/>
      <c r="W671" s="11"/>
      <c r="X671" s="11"/>
      <c r="Y671" s="4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40"/>
      <c r="CQ671" s="40"/>
      <c r="CR671" s="40"/>
      <c r="CS671" s="40"/>
      <c r="CT671" s="40"/>
      <c r="CU671" s="40"/>
      <c r="CV671" s="40"/>
      <c r="CW671" s="40"/>
      <c r="CX671" s="40"/>
      <c r="CY671" s="40"/>
      <c r="CZ671" s="40"/>
      <c r="DA671" s="11"/>
      <c r="DB671" s="11"/>
      <c r="DC671" s="11"/>
      <c r="DD671" s="11"/>
      <c r="DE671" s="11"/>
      <c r="DF671" s="11"/>
      <c r="DG671" s="11"/>
    </row>
    <row r="672" ht="15.75" customHeight="1">
      <c r="A672" s="41"/>
      <c r="B672" s="11"/>
      <c r="C672" s="11"/>
      <c r="D672" s="11"/>
      <c r="E672" s="11"/>
      <c r="F672" s="11"/>
      <c r="G672" s="11"/>
      <c r="H672" s="11"/>
      <c r="I672" s="41"/>
      <c r="J672" s="11"/>
      <c r="K672" s="11"/>
      <c r="L672" s="11"/>
      <c r="M672" s="11"/>
      <c r="N672" s="11"/>
      <c r="O672" s="11"/>
      <c r="P672" s="11"/>
      <c r="Q672" s="41"/>
      <c r="R672" s="11"/>
      <c r="S672" s="11"/>
      <c r="T672" s="11"/>
      <c r="U672" s="11"/>
      <c r="V672" s="11"/>
      <c r="W672" s="11"/>
      <c r="X672" s="11"/>
      <c r="Y672" s="4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  <c r="CD672" s="11"/>
      <c r="CE672" s="11"/>
      <c r="CF672" s="11"/>
      <c r="CG672" s="11"/>
      <c r="CH672" s="11"/>
      <c r="CI672" s="11"/>
      <c r="CJ672" s="11"/>
      <c r="CK672" s="11"/>
      <c r="CL672" s="11"/>
      <c r="CM672" s="11"/>
      <c r="CN672" s="11"/>
      <c r="CO672" s="11"/>
      <c r="CP672" s="40"/>
      <c r="CQ672" s="40"/>
      <c r="CR672" s="40"/>
      <c r="CS672" s="40"/>
      <c r="CT672" s="40"/>
      <c r="CU672" s="40"/>
      <c r="CV672" s="40"/>
      <c r="CW672" s="40"/>
      <c r="CX672" s="40"/>
      <c r="CY672" s="40"/>
      <c r="CZ672" s="40"/>
      <c r="DA672" s="11"/>
      <c r="DB672" s="11"/>
      <c r="DC672" s="11"/>
      <c r="DD672" s="11"/>
      <c r="DE672" s="11"/>
      <c r="DF672" s="11"/>
      <c r="DG672" s="11"/>
    </row>
    <row r="673" ht="15.75" customHeight="1">
      <c r="A673" s="41"/>
      <c r="B673" s="11"/>
      <c r="C673" s="11"/>
      <c r="D673" s="11"/>
      <c r="E673" s="11"/>
      <c r="F673" s="11"/>
      <c r="G673" s="11"/>
      <c r="H673" s="11"/>
      <c r="I673" s="41"/>
      <c r="J673" s="11"/>
      <c r="K673" s="11"/>
      <c r="L673" s="11"/>
      <c r="M673" s="11"/>
      <c r="N673" s="11"/>
      <c r="O673" s="11"/>
      <c r="P673" s="11"/>
      <c r="Q673" s="41"/>
      <c r="R673" s="11"/>
      <c r="S673" s="11"/>
      <c r="T673" s="11"/>
      <c r="U673" s="11"/>
      <c r="V673" s="11"/>
      <c r="W673" s="11"/>
      <c r="X673" s="11"/>
      <c r="Y673" s="4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  <c r="CH673" s="11"/>
      <c r="CI673" s="11"/>
      <c r="CJ673" s="11"/>
      <c r="CK673" s="11"/>
      <c r="CL673" s="11"/>
      <c r="CM673" s="11"/>
      <c r="CN673" s="11"/>
      <c r="CO673" s="11"/>
      <c r="CP673" s="40"/>
      <c r="CQ673" s="40"/>
      <c r="CR673" s="40"/>
      <c r="CS673" s="40"/>
      <c r="CT673" s="40"/>
      <c r="CU673" s="40"/>
      <c r="CV673" s="40"/>
      <c r="CW673" s="40"/>
      <c r="CX673" s="40"/>
      <c r="CY673" s="40"/>
      <c r="CZ673" s="40"/>
      <c r="DA673" s="11"/>
      <c r="DB673" s="11"/>
      <c r="DC673" s="11"/>
      <c r="DD673" s="11"/>
      <c r="DE673" s="11"/>
      <c r="DF673" s="11"/>
      <c r="DG673" s="11"/>
    </row>
    <row r="674" ht="15.75" customHeight="1">
      <c r="A674" s="41"/>
      <c r="B674" s="11"/>
      <c r="C674" s="11"/>
      <c r="D674" s="11"/>
      <c r="E674" s="11"/>
      <c r="F674" s="11"/>
      <c r="G674" s="11"/>
      <c r="H674" s="11"/>
      <c r="I674" s="41"/>
      <c r="J674" s="11"/>
      <c r="K674" s="11"/>
      <c r="L674" s="11"/>
      <c r="M674" s="11"/>
      <c r="N674" s="11"/>
      <c r="O674" s="11"/>
      <c r="P674" s="11"/>
      <c r="Q674" s="41"/>
      <c r="R674" s="11"/>
      <c r="S674" s="11"/>
      <c r="T674" s="11"/>
      <c r="U674" s="11"/>
      <c r="V674" s="11"/>
      <c r="W674" s="11"/>
      <c r="X674" s="11"/>
      <c r="Y674" s="4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  <c r="CD674" s="11"/>
      <c r="CE674" s="11"/>
      <c r="CF674" s="11"/>
      <c r="CG674" s="11"/>
      <c r="CH674" s="11"/>
      <c r="CI674" s="11"/>
      <c r="CJ674" s="11"/>
      <c r="CK674" s="11"/>
      <c r="CL674" s="11"/>
      <c r="CM674" s="11"/>
      <c r="CN674" s="11"/>
      <c r="CO674" s="11"/>
      <c r="CP674" s="40"/>
      <c r="CQ674" s="40"/>
      <c r="CR674" s="40"/>
      <c r="CS674" s="40"/>
      <c r="CT674" s="40"/>
      <c r="CU674" s="40"/>
      <c r="CV674" s="40"/>
      <c r="CW674" s="40"/>
      <c r="CX674" s="40"/>
      <c r="CY674" s="40"/>
      <c r="CZ674" s="40"/>
      <c r="DA674" s="11"/>
      <c r="DB674" s="11"/>
      <c r="DC674" s="11"/>
      <c r="DD674" s="11"/>
      <c r="DE674" s="11"/>
      <c r="DF674" s="11"/>
      <c r="DG674" s="11"/>
    </row>
    <row r="675" ht="15.75" customHeight="1">
      <c r="A675" s="41"/>
      <c r="B675" s="11"/>
      <c r="C675" s="11"/>
      <c r="D675" s="11"/>
      <c r="E675" s="11"/>
      <c r="F675" s="11"/>
      <c r="G675" s="11"/>
      <c r="H675" s="11"/>
      <c r="I675" s="41"/>
      <c r="J675" s="11"/>
      <c r="K675" s="11"/>
      <c r="L675" s="11"/>
      <c r="M675" s="11"/>
      <c r="N675" s="11"/>
      <c r="O675" s="11"/>
      <c r="P675" s="11"/>
      <c r="Q675" s="41"/>
      <c r="R675" s="11"/>
      <c r="S675" s="11"/>
      <c r="T675" s="11"/>
      <c r="U675" s="11"/>
      <c r="V675" s="11"/>
      <c r="W675" s="11"/>
      <c r="X675" s="11"/>
      <c r="Y675" s="4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  <c r="CD675" s="11"/>
      <c r="CE675" s="11"/>
      <c r="CF675" s="11"/>
      <c r="CG675" s="11"/>
      <c r="CH675" s="11"/>
      <c r="CI675" s="11"/>
      <c r="CJ675" s="11"/>
      <c r="CK675" s="11"/>
      <c r="CL675" s="11"/>
      <c r="CM675" s="11"/>
      <c r="CN675" s="11"/>
      <c r="CO675" s="11"/>
      <c r="CP675" s="40"/>
      <c r="CQ675" s="40"/>
      <c r="CR675" s="40"/>
      <c r="CS675" s="40"/>
      <c r="CT675" s="40"/>
      <c r="CU675" s="40"/>
      <c r="CV675" s="40"/>
      <c r="CW675" s="40"/>
      <c r="CX675" s="40"/>
      <c r="CY675" s="40"/>
      <c r="CZ675" s="40"/>
      <c r="DA675" s="11"/>
      <c r="DB675" s="11"/>
      <c r="DC675" s="11"/>
      <c r="DD675" s="11"/>
      <c r="DE675" s="11"/>
      <c r="DF675" s="11"/>
      <c r="DG675" s="11"/>
    </row>
    <row r="676" ht="15.75" customHeight="1">
      <c r="A676" s="41"/>
      <c r="B676" s="11"/>
      <c r="C676" s="11"/>
      <c r="D676" s="11"/>
      <c r="E676" s="11"/>
      <c r="F676" s="11"/>
      <c r="G676" s="11"/>
      <c r="H676" s="11"/>
      <c r="I676" s="41"/>
      <c r="J676" s="11"/>
      <c r="K676" s="11"/>
      <c r="L676" s="11"/>
      <c r="M676" s="11"/>
      <c r="N676" s="11"/>
      <c r="O676" s="11"/>
      <c r="P676" s="11"/>
      <c r="Q676" s="41"/>
      <c r="R676" s="11"/>
      <c r="S676" s="11"/>
      <c r="T676" s="11"/>
      <c r="U676" s="11"/>
      <c r="V676" s="11"/>
      <c r="W676" s="11"/>
      <c r="X676" s="11"/>
      <c r="Y676" s="4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40"/>
      <c r="CQ676" s="40"/>
      <c r="CR676" s="40"/>
      <c r="CS676" s="40"/>
      <c r="CT676" s="40"/>
      <c r="CU676" s="40"/>
      <c r="CV676" s="40"/>
      <c r="CW676" s="40"/>
      <c r="CX676" s="40"/>
      <c r="CY676" s="40"/>
      <c r="CZ676" s="40"/>
      <c r="DA676" s="11"/>
      <c r="DB676" s="11"/>
      <c r="DC676" s="11"/>
      <c r="DD676" s="11"/>
      <c r="DE676" s="11"/>
      <c r="DF676" s="11"/>
      <c r="DG676" s="11"/>
    </row>
    <row r="677" ht="15.75" customHeight="1">
      <c r="A677" s="41"/>
      <c r="B677" s="11"/>
      <c r="C677" s="11"/>
      <c r="D677" s="11"/>
      <c r="E677" s="11"/>
      <c r="F677" s="11"/>
      <c r="G677" s="11"/>
      <c r="H677" s="11"/>
      <c r="I677" s="41"/>
      <c r="J677" s="11"/>
      <c r="K677" s="11"/>
      <c r="L677" s="11"/>
      <c r="M677" s="11"/>
      <c r="N677" s="11"/>
      <c r="O677" s="11"/>
      <c r="P677" s="11"/>
      <c r="Q677" s="41"/>
      <c r="R677" s="11"/>
      <c r="S677" s="11"/>
      <c r="T677" s="11"/>
      <c r="U677" s="11"/>
      <c r="V677" s="11"/>
      <c r="W677" s="11"/>
      <c r="X677" s="11"/>
      <c r="Y677" s="4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  <c r="CD677" s="11"/>
      <c r="CE677" s="11"/>
      <c r="CF677" s="11"/>
      <c r="CG677" s="11"/>
      <c r="CH677" s="11"/>
      <c r="CI677" s="11"/>
      <c r="CJ677" s="11"/>
      <c r="CK677" s="11"/>
      <c r="CL677" s="11"/>
      <c r="CM677" s="11"/>
      <c r="CN677" s="11"/>
      <c r="CO677" s="11"/>
      <c r="CP677" s="40"/>
      <c r="CQ677" s="40"/>
      <c r="CR677" s="40"/>
      <c r="CS677" s="40"/>
      <c r="CT677" s="40"/>
      <c r="CU677" s="40"/>
      <c r="CV677" s="40"/>
      <c r="CW677" s="40"/>
      <c r="CX677" s="40"/>
      <c r="CY677" s="40"/>
      <c r="CZ677" s="40"/>
      <c r="DA677" s="11"/>
      <c r="DB677" s="11"/>
      <c r="DC677" s="11"/>
      <c r="DD677" s="11"/>
      <c r="DE677" s="11"/>
      <c r="DF677" s="11"/>
      <c r="DG677" s="11"/>
    </row>
    <row r="678" ht="15.75" customHeight="1">
      <c r="A678" s="41"/>
      <c r="B678" s="11"/>
      <c r="C678" s="11"/>
      <c r="D678" s="11"/>
      <c r="E678" s="11"/>
      <c r="F678" s="11"/>
      <c r="G678" s="11"/>
      <c r="H678" s="11"/>
      <c r="I678" s="41"/>
      <c r="J678" s="11"/>
      <c r="K678" s="11"/>
      <c r="L678" s="11"/>
      <c r="M678" s="11"/>
      <c r="N678" s="11"/>
      <c r="O678" s="11"/>
      <c r="P678" s="11"/>
      <c r="Q678" s="41"/>
      <c r="R678" s="11"/>
      <c r="S678" s="11"/>
      <c r="T678" s="11"/>
      <c r="U678" s="11"/>
      <c r="V678" s="11"/>
      <c r="W678" s="11"/>
      <c r="X678" s="11"/>
      <c r="Y678" s="4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CH678" s="11"/>
      <c r="CI678" s="11"/>
      <c r="CJ678" s="11"/>
      <c r="CK678" s="11"/>
      <c r="CL678" s="11"/>
      <c r="CM678" s="11"/>
      <c r="CN678" s="11"/>
      <c r="CO678" s="11"/>
      <c r="CP678" s="40"/>
      <c r="CQ678" s="40"/>
      <c r="CR678" s="40"/>
      <c r="CS678" s="40"/>
      <c r="CT678" s="40"/>
      <c r="CU678" s="40"/>
      <c r="CV678" s="40"/>
      <c r="CW678" s="40"/>
      <c r="CX678" s="40"/>
      <c r="CY678" s="40"/>
      <c r="CZ678" s="40"/>
      <c r="DA678" s="11"/>
      <c r="DB678" s="11"/>
      <c r="DC678" s="11"/>
      <c r="DD678" s="11"/>
      <c r="DE678" s="11"/>
      <c r="DF678" s="11"/>
      <c r="DG678" s="11"/>
    </row>
    <row r="679" ht="15.75" customHeight="1">
      <c r="A679" s="41"/>
      <c r="B679" s="11"/>
      <c r="C679" s="11"/>
      <c r="D679" s="11"/>
      <c r="E679" s="11"/>
      <c r="F679" s="11"/>
      <c r="G679" s="11"/>
      <c r="H679" s="11"/>
      <c r="I679" s="41"/>
      <c r="J679" s="11"/>
      <c r="K679" s="11"/>
      <c r="L679" s="11"/>
      <c r="M679" s="11"/>
      <c r="N679" s="11"/>
      <c r="O679" s="11"/>
      <c r="P679" s="11"/>
      <c r="Q679" s="41"/>
      <c r="R679" s="11"/>
      <c r="S679" s="11"/>
      <c r="T679" s="11"/>
      <c r="U679" s="11"/>
      <c r="V679" s="11"/>
      <c r="W679" s="11"/>
      <c r="X679" s="11"/>
      <c r="Y679" s="4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  <c r="CD679" s="11"/>
      <c r="CE679" s="11"/>
      <c r="CF679" s="11"/>
      <c r="CG679" s="11"/>
      <c r="CH679" s="11"/>
      <c r="CI679" s="11"/>
      <c r="CJ679" s="11"/>
      <c r="CK679" s="11"/>
      <c r="CL679" s="11"/>
      <c r="CM679" s="11"/>
      <c r="CN679" s="11"/>
      <c r="CO679" s="11"/>
      <c r="CP679" s="40"/>
      <c r="CQ679" s="40"/>
      <c r="CR679" s="40"/>
      <c r="CS679" s="40"/>
      <c r="CT679" s="40"/>
      <c r="CU679" s="40"/>
      <c r="CV679" s="40"/>
      <c r="CW679" s="40"/>
      <c r="CX679" s="40"/>
      <c r="CY679" s="40"/>
      <c r="CZ679" s="40"/>
      <c r="DA679" s="11"/>
      <c r="DB679" s="11"/>
      <c r="DC679" s="11"/>
      <c r="DD679" s="11"/>
      <c r="DE679" s="11"/>
      <c r="DF679" s="11"/>
      <c r="DG679" s="11"/>
    </row>
    <row r="680" ht="15.75" customHeight="1">
      <c r="A680" s="41"/>
      <c r="B680" s="11"/>
      <c r="C680" s="11"/>
      <c r="D680" s="11"/>
      <c r="E680" s="11"/>
      <c r="F680" s="11"/>
      <c r="G680" s="11"/>
      <c r="H680" s="11"/>
      <c r="I680" s="41"/>
      <c r="J680" s="11"/>
      <c r="K680" s="11"/>
      <c r="L680" s="11"/>
      <c r="M680" s="11"/>
      <c r="N680" s="11"/>
      <c r="O680" s="11"/>
      <c r="P680" s="11"/>
      <c r="Q680" s="41"/>
      <c r="R680" s="11"/>
      <c r="S680" s="11"/>
      <c r="T680" s="11"/>
      <c r="U680" s="11"/>
      <c r="V680" s="11"/>
      <c r="W680" s="11"/>
      <c r="X680" s="11"/>
      <c r="Y680" s="4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  <c r="CD680" s="11"/>
      <c r="CE680" s="11"/>
      <c r="CF680" s="11"/>
      <c r="CG680" s="11"/>
      <c r="CH680" s="11"/>
      <c r="CI680" s="11"/>
      <c r="CJ680" s="11"/>
      <c r="CK680" s="11"/>
      <c r="CL680" s="11"/>
      <c r="CM680" s="11"/>
      <c r="CN680" s="11"/>
      <c r="CO680" s="11"/>
      <c r="CP680" s="40"/>
      <c r="CQ680" s="40"/>
      <c r="CR680" s="40"/>
      <c r="CS680" s="40"/>
      <c r="CT680" s="40"/>
      <c r="CU680" s="40"/>
      <c r="CV680" s="40"/>
      <c r="CW680" s="40"/>
      <c r="CX680" s="40"/>
      <c r="CY680" s="40"/>
      <c r="CZ680" s="40"/>
      <c r="DA680" s="11"/>
      <c r="DB680" s="11"/>
      <c r="DC680" s="11"/>
      <c r="DD680" s="11"/>
      <c r="DE680" s="11"/>
      <c r="DF680" s="11"/>
      <c r="DG680" s="11"/>
    </row>
    <row r="681" ht="15.75" customHeight="1">
      <c r="A681" s="41"/>
      <c r="B681" s="11"/>
      <c r="C681" s="11"/>
      <c r="D681" s="11"/>
      <c r="E681" s="11"/>
      <c r="F681" s="11"/>
      <c r="G681" s="11"/>
      <c r="H681" s="11"/>
      <c r="I681" s="41"/>
      <c r="J681" s="11"/>
      <c r="K681" s="11"/>
      <c r="L681" s="11"/>
      <c r="M681" s="11"/>
      <c r="N681" s="11"/>
      <c r="O681" s="11"/>
      <c r="P681" s="11"/>
      <c r="Q681" s="41"/>
      <c r="R681" s="11"/>
      <c r="S681" s="11"/>
      <c r="T681" s="11"/>
      <c r="U681" s="11"/>
      <c r="V681" s="11"/>
      <c r="W681" s="11"/>
      <c r="X681" s="11"/>
      <c r="Y681" s="4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  <c r="CD681" s="11"/>
      <c r="CE681" s="11"/>
      <c r="CF681" s="11"/>
      <c r="CG681" s="11"/>
      <c r="CH681" s="11"/>
      <c r="CI681" s="11"/>
      <c r="CJ681" s="11"/>
      <c r="CK681" s="11"/>
      <c r="CL681" s="11"/>
      <c r="CM681" s="11"/>
      <c r="CN681" s="11"/>
      <c r="CO681" s="11"/>
      <c r="CP681" s="40"/>
      <c r="CQ681" s="40"/>
      <c r="CR681" s="40"/>
      <c r="CS681" s="40"/>
      <c r="CT681" s="40"/>
      <c r="CU681" s="40"/>
      <c r="CV681" s="40"/>
      <c r="CW681" s="40"/>
      <c r="CX681" s="40"/>
      <c r="CY681" s="40"/>
      <c r="CZ681" s="40"/>
      <c r="DA681" s="11"/>
      <c r="DB681" s="11"/>
      <c r="DC681" s="11"/>
      <c r="DD681" s="11"/>
      <c r="DE681" s="11"/>
      <c r="DF681" s="11"/>
      <c r="DG681" s="11"/>
    </row>
    <row r="682" ht="15.75" customHeight="1">
      <c r="A682" s="41"/>
      <c r="B682" s="11"/>
      <c r="C682" s="11"/>
      <c r="D682" s="11"/>
      <c r="E682" s="11"/>
      <c r="F682" s="11"/>
      <c r="G682" s="11"/>
      <c r="H682" s="11"/>
      <c r="I682" s="41"/>
      <c r="J682" s="11"/>
      <c r="K682" s="11"/>
      <c r="L682" s="11"/>
      <c r="M682" s="11"/>
      <c r="N682" s="11"/>
      <c r="O682" s="11"/>
      <c r="P682" s="11"/>
      <c r="Q682" s="41"/>
      <c r="R682" s="11"/>
      <c r="S682" s="11"/>
      <c r="T682" s="11"/>
      <c r="U682" s="11"/>
      <c r="V682" s="11"/>
      <c r="W682" s="11"/>
      <c r="X682" s="11"/>
      <c r="Y682" s="4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  <c r="CD682" s="11"/>
      <c r="CE682" s="11"/>
      <c r="CF682" s="11"/>
      <c r="CG682" s="11"/>
      <c r="CH682" s="11"/>
      <c r="CI682" s="11"/>
      <c r="CJ682" s="11"/>
      <c r="CK682" s="11"/>
      <c r="CL682" s="11"/>
      <c r="CM682" s="11"/>
      <c r="CN682" s="11"/>
      <c r="CO682" s="11"/>
      <c r="CP682" s="40"/>
      <c r="CQ682" s="40"/>
      <c r="CR682" s="40"/>
      <c r="CS682" s="40"/>
      <c r="CT682" s="40"/>
      <c r="CU682" s="40"/>
      <c r="CV682" s="40"/>
      <c r="CW682" s="40"/>
      <c r="CX682" s="40"/>
      <c r="CY682" s="40"/>
      <c r="CZ682" s="40"/>
      <c r="DA682" s="11"/>
      <c r="DB682" s="11"/>
      <c r="DC682" s="11"/>
      <c r="DD682" s="11"/>
      <c r="DE682" s="11"/>
      <c r="DF682" s="11"/>
      <c r="DG682" s="11"/>
    </row>
    <row r="683" ht="15.75" customHeight="1">
      <c r="A683" s="41"/>
      <c r="B683" s="11"/>
      <c r="C683" s="11"/>
      <c r="D683" s="11"/>
      <c r="E683" s="11"/>
      <c r="F683" s="11"/>
      <c r="G683" s="11"/>
      <c r="H683" s="11"/>
      <c r="I683" s="41"/>
      <c r="J683" s="11"/>
      <c r="K683" s="11"/>
      <c r="L683" s="11"/>
      <c r="M683" s="11"/>
      <c r="N683" s="11"/>
      <c r="O683" s="11"/>
      <c r="P683" s="11"/>
      <c r="Q683" s="41"/>
      <c r="R683" s="11"/>
      <c r="S683" s="11"/>
      <c r="T683" s="11"/>
      <c r="U683" s="11"/>
      <c r="V683" s="11"/>
      <c r="W683" s="11"/>
      <c r="X683" s="11"/>
      <c r="Y683" s="4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/>
      <c r="CG683" s="11"/>
      <c r="CH683" s="11"/>
      <c r="CI683" s="11"/>
      <c r="CJ683" s="11"/>
      <c r="CK683" s="11"/>
      <c r="CL683" s="11"/>
      <c r="CM683" s="11"/>
      <c r="CN683" s="11"/>
      <c r="CO683" s="11"/>
      <c r="CP683" s="40"/>
      <c r="CQ683" s="40"/>
      <c r="CR683" s="40"/>
      <c r="CS683" s="40"/>
      <c r="CT683" s="40"/>
      <c r="CU683" s="40"/>
      <c r="CV683" s="40"/>
      <c r="CW683" s="40"/>
      <c r="CX683" s="40"/>
      <c r="CY683" s="40"/>
      <c r="CZ683" s="40"/>
      <c r="DA683" s="11"/>
      <c r="DB683" s="11"/>
      <c r="DC683" s="11"/>
      <c r="DD683" s="11"/>
      <c r="DE683" s="11"/>
      <c r="DF683" s="11"/>
      <c r="DG683" s="11"/>
    </row>
    <row r="684" ht="15.75" customHeight="1">
      <c r="A684" s="41"/>
      <c r="B684" s="11"/>
      <c r="C684" s="11"/>
      <c r="D684" s="11"/>
      <c r="E684" s="11"/>
      <c r="F684" s="11"/>
      <c r="G684" s="11"/>
      <c r="H684" s="11"/>
      <c r="I684" s="41"/>
      <c r="J684" s="11"/>
      <c r="K684" s="11"/>
      <c r="L684" s="11"/>
      <c r="M684" s="11"/>
      <c r="N684" s="11"/>
      <c r="O684" s="11"/>
      <c r="P684" s="11"/>
      <c r="Q684" s="41"/>
      <c r="R684" s="11"/>
      <c r="S684" s="11"/>
      <c r="T684" s="11"/>
      <c r="U684" s="11"/>
      <c r="V684" s="11"/>
      <c r="W684" s="11"/>
      <c r="X684" s="11"/>
      <c r="Y684" s="4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  <c r="CD684" s="11"/>
      <c r="CE684" s="11"/>
      <c r="CF684" s="11"/>
      <c r="CG684" s="11"/>
      <c r="CH684" s="11"/>
      <c r="CI684" s="11"/>
      <c r="CJ684" s="11"/>
      <c r="CK684" s="11"/>
      <c r="CL684" s="11"/>
      <c r="CM684" s="11"/>
      <c r="CN684" s="11"/>
      <c r="CO684" s="11"/>
      <c r="CP684" s="40"/>
      <c r="CQ684" s="40"/>
      <c r="CR684" s="40"/>
      <c r="CS684" s="40"/>
      <c r="CT684" s="40"/>
      <c r="CU684" s="40"/>
      <c r="CV684" s="40"/>
      <c r="CW684" s="40"/>
      <c r="CX684" s="40"/>
      <c r="CY684" s="40"/>
      <c r="CZ684" s="40"/>
      <c r="DA684" s="11"/>
      <c r="DB684" s="11"/>
      <c r="DC684" s="11"/>
      <c r="DD684" s="11"/>
      <c r="DE684" s="11"/>
      <c r="DF684" s="11"/>
      <c r="DG684" s="11"/>
    </row>
    <row r="685" ht="15.75" customHeight="1">
      <c r="A685" s="41"/>
      <c r="B685" s="11"/>
      <c r="C685" s="11"/>
      <c r="D685" s="11"/>
      <c r="E685" s="11"/>
      <c r="F685" s="11"/>
      <c r="G685" s="11"/>
      <c r="H685" s="11"/>
      <c r="I685" s="41"/>
      <c r="J685" s="11"/>
      <c r="K685" s="11"/>
      <c r="L685" s="11"/>
      <c r="M685" s="11"/>
      <c r="N685" s="11"/>
      <c r="O685" s="11"/>
      <c r="P685" s="11"/>
      <c r="Q685" s="41"/>
      <c r="R685" s="11"/>
      <c r="S685" s="11"/>
      <c r="T685" s="11"/>
      <c r="U685" s="11"/>
      <c r="V685" s="11"/>
      <c r="W685" s="11"/>
      <c r="X685" s="11"/>
      <c r="Y685" s="4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  <c r="CD685" s="11"/>
      <c r="CE685" s="11"/>
      <c r="CF685" s="11"/>
      <c r="CG685" s="11"/>
      <c r="CH685" s="11"/>
      <c r="CI685" s="11"/>
      <c r="CJ685" s="11"/>
      <c r="CK685" s="11"/>
      <c r="CL685" s="11"/>
      <c r="CM685" s="11"/>
      <c r="CN685" s="11"/>
      <c r="CO685" s="11"/>
      <c r="CP685" s="40"/>
      <c r="CQ685" s="40"/>
      <c r="CR685" s="40"/>
      <c r="CS685" s="40"/>
      <c r="CT685" s="40"/>
      <c r="CU685" s="40"/>
      <c r="CV685" s="40"/>
      <c r="CW685" s="40"/>
      <c r="CX685" s="40"/>
      <c r="CY685" s="40"/>
      <c r="CZ685" s="40"/>
      <c r="DA685" s="11"/>
      <c r="DB685" s="11"/>
      <c r="DC685" s="11"/>
      <c r="DD685" s="11"/>
      <c r="DE685" s="11"/>
      <c r="DF685" s="11"/>
      <c r="DG685" s="11"/>
    </row>
    <row r="686" ht="15.75" customHeight="1">
      <c r="A686" s="41"/>
      <c r="B686" s="11"/>
      <c r="C686" s="11"/>
      <c r="D686" s="11"/>
      <c r="E686" s="11"/>
      <c r="F686" s="11"/>
      <c r="G686" s="11"/>
      <c r="H686" s="11"/>
      <c r="I686" s="41"/>
      <c r="J686" s="11"/>
      <c r="K686" s="11"/>
      <c r="L686" s="11"/>
      <c r="M686" s="11"/>
      <c r="N686" s="11"/>
      <c r="O686" s="11"/>
      <c r="P686" s="11"/>
      <c r="Q686" s="41"/>
      <c r="R686" s="11"/>
      <c r="S686" s="11"/>
      <c r="T686" s="11"/>
      <c r="U686" s="11"/>
      <c r="V686" s="11"/>
      <c r="W686" s="11"/>
      <c r="X686" s="11"/>
      <c r="Y686" s="4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  <c r="CD686" s="11"/>
      <c r="CE686" s="11"/>
      <c r="CF686" s="11"/>
      <c r="CG686" s="11"/>
      <c r="CH686" s="11"/>
      <c r="CI686" s="11"/>
      <c r="CJ686" s="11"/>
      <c r="CK686" s="11"/>
      <c r="CL686" s="11"/>
      <c r="CM686" s="11"/>
      <c r="CN686" s="11"/>
      <c r="CO686" s="11"/>
      <c r="CP686" s="40"/>
      <c r="CQ686" s="40"/>
      <c r="CR686" s="40"/>
      <c r="CS686" s="40"/>
      <c r="CT686" s="40"/>
      <c r="CU686" s="40"/>
      <c r="CV686" s="40"/>
      <c r="CW686" s="40"/>
      <c r="CX686" s="40"/>
      <c r="CY686" s="40"/>
      <c r="CZ686" s="40"/>
      <c r="DA686" s="11"/>
      <c r="DB686" s="11"/>
      <c r="DC686" s="11"/>
      <c r="DD686" s="11"/>
      <c r="DE686" s="11"/>
      <c r="DF686" s="11"/>
      <c r="DG686" s="11"/>
    </row>
    <row r="687" ht="15.75" customHeight="1">
      <c r="A687" s="41"/>
      <c r="B687" s="11"/>
      <c r="C687" s="11"/>
      <c r="D687" s="11"/>
      <c r="E687" s="11"/>
      <c r="F687" s="11"/>
      <c r="G687" s="11"/>
      <c r="H687" s="11"/>
      <c r="I687" s="41"/>
      <c r="J687" s="11"/>
      <c r="K687" s="11"/>
      <c r="L687" s="11"/>
      <c r="M687" s="11"/>
      <c r="N687" s="11"/>
      <c r="O687" s="11"/>
      <c r="P687" s="11"/>
      <c r="Q687" s="41"/>
      <c r="R687" s="11"/>
      <c r="S687" s="11"/>
      <c r="T687" s="11"/>
      <c r="U687" s="11"/>
      <c r="V687" s="11"/>
      <c r="W687" s="11"/>
      <c r="X687" s="11"/>
      <c r="Y687" s="4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  <c r="CD687" s="11"/>
      <c r="CE687" s="11"/>
      <c r="CF687" s="11"/>
      <c r="CG687" s="11"/>
      <c r="CH687" s="11"/>
      <c r="CI687" s="11"/>
      <c r="CJ687" s="11"/>
      <c r="CK687" s="11"/>
      <c r="CL687" s="11"/>
      <c r="CM687" s="11"/>
      <c r="CN687" s="11"/>
      <c r="CO687" s="11"/>
      <c r="CP687" s="40"/>
      <c r="CQ687" s="40"/>
      <c r="CR687" s="40"/>
      <c r="CS687" s="40"/>
      <c r="CT687" s="40"/>
      <c r="CU687" s="40"/>
      <c r="CV687" s="40"/>
      <c r="CW687" s="40"/>
      <c r="CX687" s="40"/>
      <c r="CY687" s="40"/>
      <c r="CZ687" s="40"/>
      <c r="DA687" s="11"/>
      <c r="DB687" s="11"/>
      <c r="DC687" s="11"/>
      <c r="DD687" s="11"/>
      <c r="DE687" s="11"/>
      <c r="DF687" s="11"/>
      <c r="DG687" s="11"/>
    </row>
    <row r="688" ht="15.75" customHeight="1">
      <c r="A688" s="41"/>
      <c r="B688" s="11"/>
      <c r="C688" s="11"/>
      <c r="D688" s="11"/>
      <c r="E688" s="11"/>
      <c r="F688" s="11"/>
      <c r="G688" s="11"/>
      <c r="H688" s="11"/>
      <c r="I688" s="41"/>
      <c r="J688" s="11"/>
      <c r="K688" s="11"/>
      <c r="L688" s="11"/>
      <c r="M688" s="11"/>
      <c r="N688" s="11"/>
      <c r="O688" s="11"/>
      <c r="P688" s="11"/>
      <c r="Q688" s="41"/>
      <c r="R688" s="11"/>
      <c r="S688" s="11"/>
      <c r="T688" s="11"/>
      <c r="U688" s="11"/>
      <c r="V688" s="11"/>
      <c r="W688" s="11"/>
      <c r="X688" s="11"/>
      <c r="Y688" s="4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  <c r="CD688" s="11"/>
      <c r="CE688" s="11"/>
      <c r="CF688" s="11"/>
      <c r="CG688" s="11"/>
      <c r="CH688" s="11"/>
      <c r="CI688" s="11"/>
      <c r="CJ688" s="11"/>
      <c r="CK688" s="11"/>
      <c r="CL688" s="11"/>
      <c r="CM688" s="11"/>
      <c r="CN688" s="11"/>
      <c r="CO688" s="11"/>
      <c r="CP688" s="40"/>
      <c r="CQ688" s="40"/>
      <c r="CR688" s="40"/>
      <c r="CS688" s="40"/>
      <c r="CT688" s="40"/>
      <c r="CU688" s="40"/>
      <c r="CV688" s="40"/>
      <c r="CW688" s="40"/>
      <c r="CX688" s="40"/>
      <c r="CY688" s="40"/>
      <c r="CZ688" s="40"/>
      <c r="DA688" s="11"/>
      <c r="DB688" s="11"/>
      <c r="DC688" s="11"/>
      <c r="DD688" s="11"/>
      <c r="DE688" s="11"/>
      <c r="DF688" s="11"/>
      <c r="DG688" s="11"/>
    </row>
    <row r="689" ht="15.75" customHeight="1">
      <c r="A689" s="41"/>
      <c r="B689" s="11"/>
      <c r="C689" s="11"/>
      <c r="D689" s="11"/>
      <c r="E689" s="11"/>
      <c r="F689" s="11"/>
      <c r="G689" s="11"/>
      <c r="H689" s="11"/>
      <c r="I689" s="41"/>
      <c r="J689" s="11"/>
      <c r="K689" s="11"/>
      <c r="L689" s="11"/>
      <c r="M689" s="11"/>
      <c r="N689" s="11"/>
      <c r="O689" s="11"/>
      <c r="P689" s="11"/>
      <c r="Q689" s="41"/>
      <c r="R689" s="11"/>
      <c r="S689" s="11"/>
      <c r="T689" s="11"/>
      <c r="U689" s="11"/>
      <c r="V689" s="11"/>
      <c r="W689" s="11"/>
      <c r="X689" s="11"/>
      <c r="Y689" s="4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/>
      <c r="CG689" s="11"/>
      <c r="CH689" s="11"/>
      <c r="CI689" s="11"/>
      <c r="CJ689" s="11"/>
      <c r="CK689" s="11"/>
      <c r="CL689" s="11"/>
      <c r="CM689" s="11"/>
      <c r="CN689" s="11"/>
      <c r="CO689" s="11"/>
      <c r="CP689" s="40"/>
      <c r="CQ689" s="40"/>
      <c r="CR689" s="40"/>
      <c r="CS689" s="40"/>
      <c r="CT689" s="40"/>
      <c r="CU689" s="40"/>
      <c r="CV689" s="40"/>
      <c r="CW689" s="40"/>
      <c r="CX689" s="40"/>
      <c r="CY689" s="40"/>
      <c r="CZ689" s="40"/>
      <c r="DA689" s="11"/>
      <c r="DB689" s="11"/>
      <c r="DC689" s="11"/>
      <c r="DD689" s="11"/>
      <c r="DE689" s="11"/>
      <c r="DF689" s="11"/>
      <c r="DG689" s="11"/>
    </row>
    <row r="690" ht="15.75" customHeight="1">
      <c r="A690" s="41"/>
      <c r="B690" s="11"/>
      <c r="C690" s="11"/>
      <c r="D690" s="11"/>
      <c r="E690" s="11"/>
      <c r="F690" s="11"/>
      <c r="G690" s="11"/>
      <c r="H690" s="11"/>
      <c r="I690" s="41"/>
      <c r="J690" s="11"/>
      <c r="K690" s="11"/>
      <c r="L690" s="11"/>
      <c r="M690" s="11"/>
      <c r="N690" s="11"/>
      <c r="O690" s="11"/>
      <c r="P690" s="11"/>
      <c r="Q690" s="41"/>
      <c r="R690" s="11"/>
      <c r="S690" s="11"/>
      <c r="T690" s="11"/>
      <c r="U690" s="11"/>
      <c r="V690" s="11"/>
      <c r="W690" s="11"/>
      <c r="X690" s="11"/>
      <c r="Y690" s="4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/>
      <c r="CG690" s="11"/>
      <c r="CH690" s="11"/>
      <c r="CI690" s="11"/>
      <c r="CJ690" s="11"/>
      <c r="CK690" s="11"/>
      <c r="CL690" s="11"/>
      <c r="CM690" s="11"/>
      <c r="CN690" s="11"/>
      <c r="CO690" s="11"/>
      <c r="CP690" s="40"/>
      <c r="CQ690" s="40"/>
      <c r="CR690" s="40"/>
      <c r="CS690" s="40"/>
      <c r="CT690" s="40"/>
      <c r="CU690" s="40"/>
      <c r="CV690" s="40"/>
      <c r="CW690" s="40"/>
      <c r="CX690" s="40"/>
      <c r="CY690" s="40"/>
      <c r="CZ690" s="40"/>
      <c r="DA690" s="11"/>
      <c r="DB690" s="11"/>
      <c r="DC690" s="11"/>
      <c r="DD690" s="11"/>
      <c r="DE690" s="11"/>
      <c r="DF690" s="11"/>
      <c r="DG690" s="11"/>
    </row>
    <row r="691" ht="15.75" customHeight="1">
      <c r="A691" s="41"/>
      <c r="B691" s="11"/>
      <c r="C691" s="11"/>
      <c r="D691" s="11"/>
      <c r="E691" s="11"/>
      <c r="F691" s="11"/>
      <c r="G691" s="11"/>
      <c r="H691" s="11"/>
      <c r="I691" s="41"/>
      <c r="J691" s="11"/>
      <c r="K691" s="11"/>
      <c r="L691" s="11"/>
      <c r="M691" s="11"/>
      <c r="N691" s="11"/>
      <c r="O691" s="11"/>
      <c r="P691" s="11"/>
      <c r="Q691" s="41"/>
      <c r="R691" s="11"/>
      <c r="S691" s="11"/>
      <c r="T691" s="11"/>
      <c r="U691" s="11"/>
      <c r="V691" s="11"/>
      <c r="W691" s="11"/>
      <c r="X691" s="11"/>
      <c r="Y691" s="4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  <c r="CD691" s="11"/>
      <c r="CE691" s="11"/>
      <c r="CF691" s="11"/>
      <c r="CG691" s="11"/>
      <c r="CH691" s="11"/>
      <c r="CI691" s="11"/>
      <c r="CJ691" s="11"/>
      <c r="CK691" s="11"/>
      <c r="CL691" s="11"/>
      <c r="CM691" s="11"/>
      <c r="CN691" s="11"/>
      <c r="CO691" s="11"/>
      <c r="CP691" s="40"/>
      <c r="CQ691" s="40"/>
      <c r="CR691" s="40"/>
      <c r="CS691" s="40"/>
      <c r="CT691" s="40"/>
      <c r="CU691" s="40"/>
      <c r="CV691" s="40"/>
      <c r="CW691" s="40"/>
      <c r="CX691" s="40"/>
      <c r="CY691" s="40"/>
      <c r="CZ691" s="40"/>
      <c r="DA691" s="11"/>
      <c r="DB691" s="11"/>
      <c r="DC691" s="11"/>
      <c r="DD691" s="11"/>
      <c r="DE691" s="11"/>
      <c r="DF691" s="11"/>
      <c r="DG691" s="11"/>
    </row>
    <row r="692" ht="15.75" customHeight="1">
      <c r="A692" s="41"/>
      <c r="B692" s="11"/>
      <c r="C692" s="11"/>
      <c r="D692" s="11"/>
      <c r="E692" s="11"/>
      <c r="F692" s="11"/>
      <c r="G692" s="11"/>
      <c r="H692" s="11"/>
      <c r="I692" s="41"/>
      <c r="J692" s="11"/>
      <c r="K692" s="11"/>
      <c r="L692" s="11"/>
      <c r="M692" s="11"/>
      <c r="N692" s="11"/>
      <c r="O692" s="11"/>
      <c r="P692" s="11"/>
      <c r="Q692" s="41"/>
      <c r="R692" s="11"/>
      <c r="S692" s="11"/>
      <c r="T692" s="11"/>
      <c r="U692" s="11"/>
      <c r="V692" s="11"/>
      <c r="W692" s="11"/>
      <c r="X692" s="11"/>
      <c r="Y692" s="4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  <c r="CD692" s="11"/>
      <c r="CE692" s="11"/>
      <c r="CF692" s="11"/>
      <c r="CG692" s="11"/>
      <c r="CH692" s="11"/>
      <c r="CI692" s="11"/>
      <c r="CJ692" s="11"/>
      <c r="CK692" s="11"/>
      <c r="CL692" s="11"/>
      <c r="CM692" s="11"/>
      <c r="CN692" s="11"/>
      <c r="CO692" s="11"/>
      <c r="CP692" s="40"/>
      <c r="CQ692" s="40"/>
      <c r="CR692" s="40"/>
      <c r="CS692" s="40"/>
      <c r="CT692" s="40"/>
      <c r="CU692" s="40"/>
      <c r="CV692" s="40"/>
      <c r="CW692" s="40"/>
      <c r="CX692" s="40"/>
      <c r="CY692" s="40"/>
      <c r="CZ692" s="40"/>
      <c r="DA692" s="11"/>
      <c r="DB692" s="11"/>
      <c r="DC692" s="11"/>
      <c r="DD692" s="11"/>
      <c r="DE692" s="11"/>
      <c r="DF692" s="11"/>
      <c r="DG692" s="11"/>
    </row>
    <row r="693" ht="15.75" customHeight="1">
      <c r="A693" s="41"/>
      <c r="B693" s="11"/>
      <c r="C693" s="11"/>
      <c r="D693" s="11"/>
      <c r="E693" s="11"/>
      <c r="F693" s="11"/>
      <c r="G693" s="11"/>
      <c r="H693" s="11"/>
      <c r="I693" s="41"/>
      <c r="J693" s="11"/>
      <c r="K693" s="11"/>
      <c r="L693" s="11"/>
      <c r="M693" s="11"/>
      <c r="N693" s="11"/>
      <c r="O693" s="11"/>
      <c r="P693" s="11"/>
      <c r="Q693" s="41"/>
      <c r="R693" s="11"/>
      <c r="S693" s="11"/>
      <c r="T693" s="11"/>
      <c r="U693" s="11"/>
      <c r="V693" s="11"/>
      <c r="W693" s="11"/>
      <c r="X693" s="11"/>
      <c r="Y693" s="4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  <c r="CD693" s="11"/>
      <c r="CE693" s="11"/>
      <c r="CF693" s="11"/>
      <c r="CG693" s="11"/>
      <c r="CH693" s="11"/>
      <c r="CI693" s="11"/>
      <c r="CJ693" s="11"/>
      <c r="CK693" s="11"/>
      <c r="CL693" s="11"/>
      <c r="CM693" s="11"/>
      <c r="CN693" s="11"/>
      <c r="CO693" s="11"/>
      <c r="CP693" s="40"/>
      <c r="CQ693" s="40"/>
      <c r="CR693" s="40"/>
      <c r="CS693" s="40"/>
      <c r="CT693" s="40"/>
      <c r="CU693" s="40"/>
      <c r="CV693" s="40"/>
      <c r="CW693" s="40"/>
      <c r="CX693" s="40"/>
      <c r="CY693" s="40"/>
      <c r="CZ693" s="40"/>
      <c r="DA693" s="11"/>
      <c r="DB693" s="11"/>
      <c r="DC693" s="11"/>
      <c r="DD693" s="11"/>
      <c r="DE693" s="11"/>
      <c r="DF693" s="11"/>
      <c r="DG693" s="11"/>
    </row>
    <row r="694" ht="15.75" customHeight="1">
      <c r="A694" s="41"/>
      <c r="B694" s="11"/>
      <c r="C694" s="11"/>
      <c r="D694" s="11"/>
      <c r="E694" s="11"/>
      <c r="F694" s="11"/>
      <c r="G694" s="11"/>
      <c r="H694" s="11"/>
      <c r="I694" s="41"/>
      <c r="J694" s="11"/>
      <c r="K694" s="11"/>
      <c r="L694" s="11"/>
      <c r="M694" s="11"/>
      <c r="N694" s="11"/>
      <c r="O694" s="11"/>
      <c r="P694" s="11"/>
      <c r="Q694" s="41"/>
      <c r="R694" s="11"/>
      <c r="S694" s="11"/>
      <c r="T694" s="11"/>
      <c r="U694" s="11"/>
      <c r="V694" s="11"/>
      <c r="W694" s="11"/>
      <c r="X694" s="11"/>
      <c r="Y694" s="4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  <c r="CD694" s="11"/>
      <c r="CE694" s="11"/>
      <c r="CF694" s="11"/>
      <c r="CG694" s="11"/>
      <c r="CH694" s="11"/>
      <c r="CI694" s="11"/>
      <c r="CJ694" s="11"/>
      <c r="CK694" s="11"/>
      <c r="CL694" s="11"/>
      <c r="CM694" s="11"/>
      <c r="CN694" s="11"/>
      <c r="CO694" s="11"/>
      <c r="CP694" s="40"/>
      <c r="CQ694" s="40"/>
      <c r="CR694" s="40"/>
      <c r="CS694" s="40"/>
      <c r="CT694" s="40"/>
      <c r="CU694" s="40"/>
      <c r="CV694" s="40"/>
      <c r="CW694" s="40"/>
      <c r="CX694" s="40"/>
      <c r="CY694" s="40"/>
      <c r="CZ694" s="40"/>
      <c r="DA694" s="11"/>
      <c r="DB694" s="11"/>
      <c r="DC694" s="11"/>
      <c r="DD694" s="11"/>
      <c r="DE694" s="11"/>
      <c r="DF694" s="11"/>
      <c r="DG694" s="11"/>
    </row>
    <row r="695" ht="15.75" customHeight="1">
      <c r="A695" s="41"/>
      <c r="B695" s="11"/>
      <c r="C695" s="11"/>
      <c r="D695" s="11"/>
      <c r="E695" s="11"/>
      <c r="F695" s="11"/>
      <c r="G695" s="11"/>
      <c r="H695" s="11"/>
      <c r="I695" s="41"/>
      <c r="J695" s="11"/>
      <c r="K695" s="11"/>
      <c r="L695" s="11"/>
      <c r="M695" s="11"/>
      <c r="N695" s="11"/>
      <c r="O695" s="11"/>
      <c r="P695" s="11"/>
      <c r="Q695" s="41"/>
      <c r="R695" s="11"/>
      <c r="S695" s="11"/>
      <c r="T695" s="11"/>
      <c r="U695" s="11"/>
      <c r="V695" s="11"/>
      <c r="W695" s="11"/>
      <c r="X695" s="11"/>
      <c r="Y695" s="4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  <c r="CD695" s="11"/>
      <c r="CE695" s="11"/>
      <c r="CF695" s="11"/>
      <c r="CG695" s="11"/>
      <c r="CH695" s="11"/>
      <c r="CI695" s="11"/>
      <c r="CJ695" s="11"/>
      <c r="CK695" s="11"/>
      <c r="CL695" s="11"/>
      <c r="CM695" s="11"/>
      <c r="CN695" s="11"/>
      <c r="CO695" s="11"/>
      <c r="CP695" s="40"/>
      <c r="CQ695" s="40"/>
      <c r="CR695" s="40"/>
      <c r="CS695" s="40"/>
      <c r="CT695" s="40"/>
      <c r="CU695" s="40"/>
      <c r="CV695" s="40"/>
      <c r="CW695" s="40"/>
      <c r="CX695" s="40"/>
      <c r="CY695" s="40"/>
      <c r="CZ695" s="40"/>
      <c r="DA695" s="11"/>
      <c r="DB695" s="11"/>
      <c r="DC695" s="11"/>
      <c r="DD695" s="11"/>
      <c r="DE695" s="11"/>
      <c r="DF695" s="11"/>
      <c r="DG695" s="11"/>
    </row>
    <row r="696" ht="15.75" customHeight="1">
      <c r="A696" s="41"/>
      <c r="B696" s="11"/>
      <c r="C696" s="11"/>
      <c r="D696" s="11"/>
      <c r="E696" s="11"/>
      <c r="F696" s="11"/>
      <c r="G696" s="11"/>
      <c r="H696" s="11"/>
      <c r="I696" s="41"/>
      <c r="J696" s="11"/>
      <c r="K696" s="11"/>
      <c r="L696" s="11"/>
      <c r="M696" s="11"/>
      <c r="N696" s="11"/>
      <c r="O696" s="11"/>
      <c r="P696" s="11"/>
      <c r="Q696" s="41"/>
      <c r="R696" s="11"/>
      <c r="S696" s="11"/>
      <c r="T696" s="11"/>
      <c r="U696" s="11"/>
      <c r="V696" s="11"/>
      <c r="W696" s="11"/>
      <c r="X696" s="11"/>
      <c r="Y696" s="4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  <c r="CD696" s="11"/>
      <c r="CE696" s="11"/>
      <c r="CF696" s="11"/>
      <c r="CG696" s="11"/>
      <c r="CH696" s="11"/>
      <c r="CI696" s="11"/>
      <c r="CJ696" s="11"/>
      <c r="CK696" s="11"/>
      <c r="CL696" s="11"/>
      <c r="CM696" s="11"/>
      <c r="CN696" s="11"/>
      <c r="CO696" s="11"/>
      <c r="CP696" s="40"/>
      <c r="CQ696" s="40"/>
      <c r="CR696" s="40"/>
      <c r="CS696" s="40"/>
      <c r="CT696" s="40"/>
      <c r="CU696" s="40"/>
      <c r="CV696" s="40"/>
      <c r="CW696" s="40"/>
      <c r="CX696" s="40"/>
      <c r="CY696" s="40"/>
      <c r="CZ696" s="40"/>
      <c r="DA696" s="11"/>
      <c r="DB696" s="11"/>
      <c r="DC696" s="11"/>
      <c r="DD696" s="11"/>
      <c r="DE696" s="11"/>
      <c r="DF696" s="11"/>
      <c r="DG696" s="11"/>
    </row>
    <row r="697" ht="15.75" customHeight="1">
      <c r="A697" s="41"/>
      <c r="B697" s="11"/>
      <c r="C697" s="11"/>
      <c r="D697" s="11"/>
      <c r="E697" s="11"/>
      <c r="F697" s="11"/>
      <c r="G697" s="11"/>
      <c r="H697" s="11"/>
      <c r="I697" s="41"/>
      <c r="J697" s="11"/>
      <c r="K697" s="11"/>
      <c r="L697" s="11"/>
      <c r="M697" s="11"/>
      <c r="N697" s="11"/>
      <c r="O697" s="11"/>
      <c r="P697" s="11"/>
      <c r="Q697" s="41"/>
      <c r="R697" s="11"/>
      <c r="S697" s="11"/>
      <c r="T697" s="11"/>
      <c r="U697" s="11"/>
      <c r="V697" s="11"/>
      <c r="W697" s="11"/>
      <c r="X697" s="11"/>
      <c r="Y697" s="4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  <c r="CD697" s="11"/>
      <c r="CE697" s="11"/>
      <c r="CF697" s="11"/>
      <c r="CG697" s="11"/>
      <c r="CH697" s="11"/>
      <c r="CI697" s="11"/>
      <c r="CJ697" s="11"/>
      <c r="CK697" s="11"/>
      <c r="CL697" s="11"/>
      <c r="CM697" s="11"/>
      <c r="CN697" s="11"/>
      <c r="CO697" s="11"/>
      <c r="CP697" s="40"/>
      <c r="CQ697" s="40"/>
      <c r="CR697" s="40"/>
      <c r="CS697" s="40"/>
      <c r="CT697" s="40"/>
      <c r="CU697" s="40"/>
      <c r="CV697" s="40"/>
      <c r="CW697" s="40"/>
      <c r="CX697" s="40"/>
      <c r="CY697" s="40"/>
      <c r="CZ697" s="40"/>
      <c r="DA697" s="11"/>
      <c r="DB697" s="11"/>
      <c r="DC697" s="11"/>
      <c r="DD697" s="11"/>
      <c r="DE697" s="11"/>
      <c r="DF697" s="11"/>
      <c r="DG697" s="11"/>
    </row>
    <row r="698" ht="15.75" customHeight="1">
      <c r="A698" s="41"/>
      <c r="B698" s="11"/>
      <c r="C698" s="11"/>
      <c r="D698" s="11"/>
      <c r="E698" s="11"/>
      <c r="F698" s="11"/>
      <c r="G698" s="11"/>
      <c r="H698" s="11"/>
      <c r="I698" s="41"/>
      <c r="J698" s="11"/>
      <c r="K698" s="11"/>
      <c r="L698" s="11"/>
      <c r="M698" s="11"/>
      <c r="N698" s="11"/>
      <c r="O698" s="11"/>
      <c r="P698" s="11"/>
      <c r="Q698" s="41"/>
      <c r="R698" s="11"/>
      <c r="S698" s="11"/>
      <c r="T698" s="11"/>
      <c r="U698" s="11"/>
      <c r="V698" s="11"/>
      <c r="W698" s="11"/>
      <c r="X698" s="11"/>
      <c r="Y698" s="4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  <c r="CD698" s="11"/>
      <c r="CE698" s="11"/>
      <c r="CF698" s="11"/>
      <c r="CG698" s="11"/>
      <c r="CH698" s="11"/>
      <c r="CI698" s="11"/>
      <c r="CJ698" s="11"/>
      <c r="CK698" s="11"/>
      <c r="CL698" s="11"/>
      <c r="CM698" s="11"/>
      <c r="CN698" s="11"/>
      <c r="CO698" s="11"/>
      <c r="CP698" s="40"/>
      <c r="CQ698" s="40"/>
      <c r="CR698" s="40"/>
      <c r="CS698" s="40"/>
      <c r="CT698" s="40"/>
      <c r="CU698" s="40"/>
      <c r="CV698" s="40"/>
      <c r="CW698" s="40"/>
      <c r="CX698" s="40"/>
      <c r="CY698" s="40"/>
      <c r="CZ698" s="40"/>
      <c r="DA698" s="11"/>
      <c r="DB698" s="11"/>
      <c r="DC698" s="11"/>
      <c r="DD698" s="11"/>
      <c r="DE698" s="11"/>
      <c r="DF698" s="11"/>
      <c r="DG698" s="11"/>
    </row>
    <row r="699" ht="15.75" customHeight="1">
      <c r="A699" s="41"/>
      <c r="B699" s="11"/>
      <c r="C699" s="11"/>
      <c r="D699" s="11"/>
      <c r="E699" s="11"/>
      <c r="F699" s="11"/>
      <c r="G699" s="11"/>
      <c r="H699" s="11"/>
      <c r="I699" s="41"/>
      <c r="J699" s="11"/>
      <c r="K699" s="11"/>
      <c r="L699" s="11"/>
      <c r="M699" s="11"/>
      <c r="N699" s="11"/>
      <c r="O699" s="11"/>
      <c r="P699" s="11"/>
      <c r="Q699" s="41"/>
      <c r="R699" s="11"/>
      <c r="S699" s="11"/>
      <c r="T699" s="11"/>
      <c r="U699" s="11"/>
      <c r="V699" s="11"/>
      <c r="W699" s="11"/>
      <c r="X699" s="11"/>
      <c r="Y699" s="4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  <c r="CD699" s="11"/>
      <c r="CE699" s="11"/>
      <c r="CF699" s="11"/>
      <c r="CG699" s="11"/>
      <c r="CH699" s="11"/>
      <c r="CI699" s="11"/>
      <c r="CJ699" s="11"/>
      <c r="CK699" s="11"/>
      <c r="CL699" s="11"/>
      <c r="CM699" s="11"/>
      <c r="CN699" s="11"/>
      <c r="CO699" s="11"/>
      <c r="CP699" s="40"/>
      <c r="CQ699" s="40"/>
      <c r="CR699" s="40"/>
      <c r="CS699" s="40"/>
      <c r="CT699" s="40"/>
      <c r="CU699" s="40"/>
      <c r="CV699" s="40"/>
      <c r="CW699" s="40"/>
      <c r="CX699" s="40"/>
      <c r="CY699" s="40"/>
      <c r="CZ699" s="40"/>
      <c r="DA699" s="11"/>
      <c r="DB699" s="11"/>
      <c r="DC699" s="11"/>
      <c r="DD699" s="11"/>
      <c r="DE699" s="11"/>
      <c r="DF699" s="11"/>
      <c r="DG699" s="11"/>
    </row>
    <row r="700" ht="15.75" customHeight="1">
      <c r="A700" s="41"/>
      <c r="B700" s="11"/>
      <c r="C700" s="11"/>
      <c r="D700" s="11"/>
      <c r="E700" s="11"/>
      <c r="F700" s="11"/>
      <c r="G700" s="11"/>
      <c r="H700" s="11"/>
      <c r="I700" s="41"/>
      <c r="J700" s="11"/>
      <c r="K700" s="11"/>
      <c r="L700" s="11"/>
      <c r="M700" s="11"/>
      <c r="N700" s="11"/>
      <c r="O700" s="11"/>
      <c r="P700" s="11"/>
      <c r="Q700" s="41"/>
      <c r="R700" s="11"/>
      <c r="S700" s="11"/>
      <c r="T700" s="11"/>
      <c r="U700" s="11"/>
      <c r="V700" s="11"/>
      <c r="W700" s="11"/>
      <c r="X700" s="11"/>
      <c r="Y700" s="4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  <c r="CD700" s="11"/>
      <c r="CE700" s="11"/>
      <c r="CF700" s="11"/>
      <c r="CG700" s="11"/>
      <c r="CH700" s="11"/>
      <c r="CI700" s="11"/>
      <c r="CJ700" s="11"/>
      <c r="CK700" s="11"/>
      <c r="CL700" s="11"/>
      <c r="CM700" s="11"/>
      <c r="CN700" s="11"/>
      <c r="CO700" s="11"/>
      <c r="CP700" s="40"/>
      <c r="CQ700" s="40"/>
      <c r="CR700" s="40"/>
      <c r="CS700" s="40"/>
      <c r="CT700" s="40"/>
      <c r="CU700" s="40"/>
      <c r="CV700" s="40"/>
      <c r="CW700" s="40"/>
      <c r="CX700" s="40"/>
      <c r="CY700" s="40"/>
      <c r="CZ700" s="40"/>
      <c r="DA700" s="11"/>
      <c r="DB700" s="11"/>
      <c r="DC700" s="11"/>
      <c r="DD700" s="11"/>
      <c r="DE700" s="11"/>
      <c r="DF700" s="11"/>
      <c r="DG700" s="11"/>
    </row>
    <row r="701" ht="15.75" customHeight="1">
      <c r="A701" s="41"/>
      <c r="B701" s="11"/>
      <c r="C701" s="11"/>
      <c r="D701" s="11"/>
      <c r="E701" s="11"/>
      <c r="F701" s="11"/>
      <c r="G701" s="11"/>
      <c r="H701" s="11"/>
      <c r="I701" s="41"/>
      <c r="J701" s="11"/>
      <c r="K701" s="11"/>
      <c r="L701" s="11"/>
      <c r="M701" s="11"/>
      <c r="N701" s="11"/>
      <c r="O701" s="11"/>
      <c r="P701" s="11"/>
      <c r="Q701" s="41"/>
      <c r="R701" s="11"/>
      <c r="S701" s="11"/>
      <c r="T701" s="11"/>
      <c r="U701" s="11"/>
      <c r="V701" s="11"/>
      <c r="W701" s="11"/>
      <c r="X701" s="11"/>
      <c r="Y701" s="4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  <c r="CD701" s="11"/>
      <c r="CE701" s="11"/>
      <c r="CF701" s="11"/>
      <c r="CG701" s="11"/>
      <c r="CH701" s="11"/>
      <c r="CI701" s="11"/>
      <c r="CJ701" s="11"/>
      <c r="CK701" s="11"/>
      <c r="CL701" s="11"/>
      <c r="CM701" s="11"/>
      <c r="CN701" s="11"/>
      <c r="CO701" s="11"/>
      <c r="CP701" s="40"/>
      <c r="CQ701" s="40"/>
      <c r="CR701" s="40"/>
      <c r="CS701" s="40"/>
      <c r="CT701" s="40"/>
      <c r="CU701" s="40"/>
      <c r="CV701" s="40"/>
      <c r="CW701" s="40"/>
      <c r="CX701" s="40"/>
      <c r="CY701" s="40"/>
      <c r="CZ701" s="40"/>
      <c r="DA701" s="11"/>
      <c r="DB701" s="11"/>
      <c r="DC701" s="11"/>
      <c r="DD701" s="11"/>
      <c r="DE701" s="11"/>
      <c r="DF701" s="11"/>
      <c r="DG701" s="11"/>
    </row>
    <row r="702" ht="15.75" customHeight="1">
      <c r="A702" s="41"/>
      <c r="B702" s="11"/>
      <c r="C702" s="11"/>
      <c r="D702" s="11"/>
      <c r="E702" s="11"/>
      <c r="F702" s="11"/>
      <c r="G702" s="11"/>
      <c r="H702" s="11"/>
      <c r="I702" s="41"/>
      <c r="J702" s="11"/>
      <c r="K702" s="11"/>
      <c r="L702" s="11"/>
      <c r="M702" s="11"/>
      <c r="N702" s="11"/>
      <c r="O702" s="11"/>
      <c r="P702" s="11"/>
      <c r="Q702" s="41"/>
      <c r="R702" s="11"/>
      <c r="S702" s="11"/>
      <c r="T702" s="11"/>
      <c r="U702" s="11"/>
      <c r="V702" s="11"/>
      <c r="W702" s="11"/>
      <c r="X702" s="11"/>
      <c r="Y702" s="4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  <c r="CD702" s="11"/>
      <c r="CE702" s="11"/>
      <c r="CF702" s="11"/>
      <c r="CG702" s="11"/>
      <c r="CH702" s="11"/>
      <c r="CI702" s="11"/>
      <c r="CJ702" s="11"/>
      <c r="CK702" s="11"/>
      <c r="CL702" s="11"/>
      <c r="CM702" s="11"/>
      <c r="CN702" s="11"/>
      <c r="CO702" s="11"/>
      <c r="CP702" s="40"/>
      <c r="CQ702" s="40"/>
      <c r="CR702" s="40"/>
      <c r="CS702" s="40"/>
      <c r="CT702" s="40"/>
      <c r="CU702" s="40"/>
      <c r="CV702" s="40"/>
      <c r="CW702" s="40"/>
      <c r="CX702" s="40"/>
      <c r="CY702" s="40"/>
      <c r="CZ702" s="40"/>
      <c r="DA702" s="11"/>
      <c r="DB702" s="11"/>
      <c r="DC702" s="11"/>
      <c r="DD702" s="11"/>
      <c r="DE702" s="11"/>
      <c r="DF702" s="11"/>
      <c r="DG702" s="11"/>
    </row>
    <row r="703" ht="15.75" customHeight="1">
      <c r="A703" s="41"/>
      <c r="B703" s="11"/>
      <c r="C703" s="11"/>
      <c r="D703" s="11"/>
      <c r="E703" s="11"/>
      <c r="F703" s="11"/>
      <c r="G703" s="11"/>
      <c r="H703" s="11"/>
      <c r="I703" s="41"/>
      <c r="J703" s="11"/>
      <c r="K703" s="11"/>
      <c r="L703" s="11"/>
      <c r="M703" s="11"/>
      <c r="N703" s="11"/>
      <c r="O703" s="11"/>
      <c r="P703" s="11"/>
      <c r="Q703" s="41"/>
      <c r="R703" s="11"/>
      <c r="S703" s="11"/>
      <c r="T703" s="11"/>
      <c r="U703" s="11"/>
      <c r="V703" s="11"/>
      <c r="W703" s="11"/>
      <c r="X703" s="11"/>
      <c r="Y703" s="4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  <c r="CD703" s="11"/>
      <c r="CE703" s="11"/>
      <c r="CF703" s="11"/>
      <c r="CG703" s="11"/>
      <c r="CH703" s="11"/>
      <c r="CI703" s="11"/>
      <c r="CJ703" s="11"/>
      <c r="CK703" s="11"/>
      <c r="CL703" s="11"/>
      <c r="CM703" s="11"/>
      <c r="CN703" s="11"/>
      <c r="CO703" s="11"/>
      <c r="CP703" s="40"/>
      <c r="CQ703" s="40"/>
      <c r="CR703" s="40"/>
      <c r="CS703" s="40"/>
      <c r="CT703" s="40"/>
      <c r="CU703" s="40"/>
      <c r="CV703" s="40"/>
      <c r="CW703" s="40"/>
      <c r="CX703" s="40"/>
      <c r="CY703" s="40"/>
      <c r="CZ703" s="40"/>
      <c r="DA703" s="11"/>
      <c r="DB703" s="11"/>
      <c r="DC703" s="11"/>
      <c r="DD703" s="11"/>
      <c r="DE703" s="11"/>
      <c r="DF703" s="11"/>
      <c r="DG703" s="11"/>
    </row>
    <row r="704" ht="15.75" customHeight="1">
      <c r="A704" s="41"/>
      <c r="B704" s="11"/>
      <c r="C704" s="11"/>
      <c r="D704" s="11"/>
      <c r="E704" s="11"/>
      <c r="F704" s="11"/>
      <c r="G704" s="11"/>
      <c r="H704" s="11"/>
      <c r="I704" s="41"/>
      <c r="J704" s="11"/>
      <c r="K704" s="11"/>
      <c r="L704" s="11"/>
      <c r="M704" s="11"/>
      <c r="N704" s="11"/>
      <c r="O704" s="11"/>
      <c r="P704" s="11"/>
      <c r="Q704" s="41"/>
      <c r="R704" s="11"/>
      <c r="S704" s="11"/>
      <c r="T704" s="11"/>
      <c r="U704" s="11"/>
      <c r="V704" s="11"/>
      <c r="W704" s="11"/>
      <c r="X704" s="11"/>
      <c r="Y704" s="4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40"/>
      <c r="CQ704" s="40"/>
      <c r="CR704" s="40"/>
      <c r="CS704" s="40"/>
      <c r="CT704" s="40"/>
      <c r="CU704" s="40"/>
      <c r="CV704" s="40"/>
      <c r="CW704" s="40"/>
      <c r="CX704" s="40"/>
      <c r="CY704" s="40"/>
      <c r="CZ704" s="40"/>
      <c r="DA704" s="11"/>
      <c r="DB704" s="11"/>
      <c r="DC704" s="11"/>
      <c r="DD704" s="11"/>
      <c r="DE704" s="11"/>
      <c r="DF704" s="11"/>
      <c r="DG704" s="11"/>
    </row>
    <row r="705" ht="15.75" customHeight="1">
      <c r="A705" s="41"/>
      <c r="B705" s="11"/>
      <c r="C705" s="11"/>
      <c r="D705" s="11"/>
      <c r="E705" s="11"/>
      <c r="F705" s="11"/>
      <c r="G705" s="11"/>
      <c r="H705" s="11"/>
      <c r="I705" s="41"/>
      <c r="J705" s="11"/>
      <c r="K705" s="11"/>
      <c r="L705" s="11"/>
      <c r="M705" s="11"/>
      <c r="N705" s="11"/>
      <c r="O705" s="11"/>
      <c r="P705" s="11"/>
      <c r="Q705" s="41"/>
      <c r="R705" s="11"/>
      <c r="S705" s="11"/>
      <c r="T705" s="11"/>
      <c r="U705" s="11"/>
      <c r="V705" s="11"/>
      <c r="W705" s="11"/>
      <c r="X705" s="11"/>
      <c r="Y705" s="4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40"/>
      <c r="CQ705" s="40"/>
      <c r="CR705" s="40"/>
      <c r="CS705" s="40"/>
      <c r="CT705" s="40"/>
      <c r="CU705" s="40"/>
      <c r="CV705" s="40"/>
      <c r="CW705" s="40"/>
      <c r="CX705" s="40"/>
      <c r="CY705" s="40"/>
      <c r="CZ705" s="40"/>
      <c r="DA705" s="11"/>
      <c r="DB705" s="11"/>
      <c r="DC705" s="11"/>
      <c r="DD705" s="11"/>
      <c r="DE705" s="11"/>
      <c r="DF705" s="11"/>
      <c r="DG705" s="11"/>
    </row>
    <row r="706" ht="15.75" customHeight="1">
      <c r="A706" s="41"/>
      <c r="B706" s="11"/>
      <c r="C706" s="11"/>
      <c r="D706" s="11"/>
      <c r="E706" s="11"/>
      <c r="F706" s="11"/>
      <c r="G706" s="11"/>
      <c r="H706" s="11"/>
      <c r="I706" s="41"/>
      <c r="J706" s="11"/>
      <c r="K706" s="11"/>
      <c r="L706" s="11"/>
      <c r="M706" s="11"/>
      <c r="N706" s="11"/>
      <c r="O706" s="11"/>
      <c r="P706" s="11"/>
      <c r="Q706" s="41"/>
      <c r="R706" s="11"/>
      <c r="S706" s="11"/>
      <c r="T706" s="11"/>
      <c r="U706" s="11"/>
      <c r="V706" s="11"/>
      <c r="W706" s="11"/>
      <c r="X706" s="11"/>
      <c r="Y706" s="4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  <c r="CD706" s="11"/>
      <c r="CE706" s="11"/>
      <c r="CF706" s="11"/>
      <c r="CG706" s="11"/>
      <c r="CH706" s="11"/>
      <c r="CI706" s="11"/>
      <c r="CJ706" s="11"/>
      <c r="CK706" s="11"/>
      <c r="CL706" s="11"/>
      <c r="CM706" s="11"/>
      <c r="CN706" s="11"/>
      <c r="CO706" s="11"/>
      <c r="CP706" s="40"/>
      <c r="CQ706" s="40"/>
      <c r="CR706" s="40"/>
      <c r="CS706" s="40"/>
      <c r="CT706" s="40"/>
      <c r="CU706" s="40"/>
      <c r="CV706" s="40"/>
      <c r="CW706" s="40"/>
      <c r="CX706" s="40"/>
      <c r="CY706" s="40"/>
      <c r="CZ706" s="40"/>
      <c r="DA706" s="11"/>
      <c r="DB706" s="11"/>
      <c r="DC706" s="11"/>
      <c r="DD706" s="11"/>
      <c r="DE706" s="11"/>
      <c r="DF706" s="11"/>
      <c r="DG706" s="11"/>
    </row>
    <row r="707" ht="15.75" customHeight="1">
      <c r="A707" s="41"/>
      <c r="B707" s="11"/>
      <c r="C707" s="11"/>
      <c r="D707" s="11"/>
      <c r="E707" s="11"/>
      <c r="F707" s="11"/>
      <c r="G707" s="11"/>
      <c r="H707" s="11"/>
      <c r="I707" s="41"/>
      <c r="J707" s="11"/>
      <c r="K707" s="11"/>
      <c r="L707" s="11"/>
      <c r="M707" s="11"/>
      <c r="N707" s="11"/>
      <c r="O707" s="11"/>
      <c r="P707" s="11"/>
      <c r="Q707" s="41"/>
      <c r="R707" s="11"/>
      <c r="S707" s="11"/>
      <c r="T707" s="11"/>
      <c r="U707" s="11"/>
      <c r="V707" s="11"/>
      <c r="W707" s="11"/>
      <c r="X707" s="11"/>
      <c r="Y707" s="4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11"/>
      <c r="CD707" s="11"/>
      <c r="CE707" s="11"/>
      <c r="CF707" s="11"/>
      <c r="CG707" s="11"/>
      <c r="CH707" s="11"/>
      <c r="CI707" s="11"/>
      <c r="CJ707" s="11"/>
      <c r="CK707" s="11"/>
      <c r="CL707" s="11"/>
      <c r="CM707" s="11"/>
      <c r="CN707" s="11"/>
      <c r="CO707" s="11"/>
      <c r="CP707" s="40"/>
      <c r="CQ707" s="40"/>
      <c r="CR707" s="40"/>
      <c r="CS707" s="40"/>
      <c r="CT707" s="40"/>
      <c r="CU707" s="40"/>
      <c r="CV707" s="40"/>
      <c r="CW707" s="40"/>
      <c r="CX707" s="40"/>
      <c r="CY707" s="40"/>
      <c r="CZ707" s="40"/>
      <c r="DA707" s="11"/>
      <c r="DB707" s="11"/>
      <c r="DC707" s="11"/>
      <c r="DD707" s="11"/>
      <c r="DE707" s="11"/>
      <c r="DF707" s="11"/>
      <c r="DG707" s="11"/>
    </row>
    <row r="708" ht="15.75" customHeight="1">
      <c r="A708" s="41"/>
      <c r="B708" s="11"/>
      <c r="C708" s="11"/>
      <c r="D708" s="11"/>
      <c r="E708" s="11"/>
      <c r="F708" s="11"/>
      <c r="G708" s="11"/>
      <c r="H708" s="11"/>
      <c r="I708" s="41"/>
      <c r="J708" s="11"/>
      <c r="K708" s="11"/>
      <c r="L708" s="11"/>
      <c r="M708" s="11"/>
      <c r="N708" s="11"/>
      <c r="O708" s="11"/>
      <c r="P708" s="11"/>
      <c r="Q708" s="41"/>
      <c r="R708" s="11"/>
      <c r="S708" s="11"/>
      <c r="T708" s="11"/>
      <c r="U708" s="11"/>
      <c r="V708" s="11"/>
      <c r="W708" s="11"/>
      <c r="X708" s="11"/>
      <c r="Y708" s="4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  <c r="CD708" s="11"/>
      <c r="CE708" s="11"/>
      <c r="CF708" s="11"/>
      <c r="CG708" s="11"/>
      <c r="CH708" s="11"/>
      <c r="CI708" s="11"/>
      <c r="CJ708" s="11"/>
      <c r="CK708" s="11"/>
      <c r="CL708" s="11"/>
      <c r="CM708" s="11"/>
      <c r="CN708" s="11"/>
      <c r="CO708" s="11"/>
      <c r="CP708" s="40"/>
      <c r="CQ708" s="40"/>
      <c r="CR708" s="40"/>
      <c r="CS708" s="40"/>
      <c r="CT708" s="40"/>
      <c r="CU708" s="40"/>
      <c r="CV708" s="40"/>
      <c r="CW708" s="40"/>
      <c r="CX708" s="40"/>
      <c r="CY708" s="40"/>
      <c r="CZ708" s="40"/>
      <c r="DA708" s="11"/>
      <c r="DB708" s="11"/>
      <c r="DC708" s="11"/>
      <c r="DD708" s="11"/>
      <c r="DE708" s="11"/>
      <c r="DF708" s="11"/>
      <c r="DG708" s="11"/>
    </row>
    <row r="709" ht="15.75" customHeight="1">
      <c r="A709" s="41"/>
      <c r="B709" s="11"/>
      <c r="C709" s="11"/>
      <c r="D709" s="11"/>
      <c r="E709" s="11"/>
      <c r="F709" s="11"/>
      <c r="G709" s="11"/>
      <c r="H709" s="11"/>
      <c r="I709" s="41"/>
      <c r="J709" s="11"/>
      <c r="K709" s="11"/>
      <c r="L709" s="11"/>
      <c r="M709" s="11"/>
      <c r="N709" s="11"/>
      <c r="O709" s="11"/>
      <c r="P709" s="11"/>
      <c r="Q709" s="41"/>
      <c r="R709" s="11"/>
      <c r="S709" s="11"/>
      <c r="T709" s="11"/>
      <c r="U709" s="11"/>
      <c r="V709" s="11"/>
      <c r="W709" s="11"/>
      <c r="X709" s="11"/>
      <c r="Y709" s="4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40"/>
      <c r="CQ709" s="40"/>
      <c r="CR709" s="40"/>
      <c r="CS709" s="40"/>
      <c r="CT709" s="40"/>
      <c r="CU709" s="40"/>
      <c r="CV709" s="40"/>
      <c r="CW709" s="40"/>
      <c r="CX709" s="40"/>
      <c r="CY709" s="40"/>
      <c r="CZ709" s="40"/>
      <c r="DA709" s="11"/>
      <c r="DB709" s="11"/>
      <c r="DC709" s="11"/>
      <c r="DD709" s="11"/>
      <c r="DE709" s="11"/>
      <c r="DF709" s="11"/>
      <c r="DG709" s="11"/>
    </row>
    <row r="710" ht="15.75" customHeight="1">
      <c r="A710" s="41"/>
      <c r="B710" s="11"/>
      <c r="C710" s="11"/>
      <c r="D710" s="11"/>
      <c r="E710" s="11"/>
      <c r="F710" s="11"/>
      <c r="G710" s="11"/>
      <c r="H710" s="11"/>
      <c r="I710" s="41"/>
      <c r="J710" s="11"/>
      <c r="K710" s="11"/>
      <c r="L710" s="11"/>
      <c r="M710" s="11"/>
      <c r="N710" s="11"/>
      <c r="O710" s="11"/>
      <c r="P710" s="11"/>
      <c r="Q710" s="41"/>
      <c r="R710" s="11"/>
      <c r="S710" s="11"/>
      <c r="T710" s="11"/>
      <c r="U710" s="11"/>
      <c r="V710" s="11"/>
      <c r="W710" s="11"/>
      <c r="X710" s="11"/>
      <c r="Y710" s="4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40"/>
      <c r="CQ710" s="40"/>
      <c r="CR710" s="40"/>
      <c r="CS710" s="40"/>
      <c r="CT710" s="40"/>
      <c r="CU710" s="40"/>
      <c r="CV710" s="40"/>
      <c r="CW710" s="40"/>
      <c r="CX710" s="40"/>
      <c r="CY710" s="40"/>
      <c r="CZ710" s="40"/>
      <c r="DA710" s="11"/>
      <c r="DB710" s="11"/>
      <c r="DC710" s="11"/>
      <c r="DD710" s="11"/>
      <c r="DE710" s="11"/>
      <c r="DF710" s="11"/>
      <c r="DG710" s="11"/>
    </row>
    <row r="711" ht="15.75" customHeight="1">
      <c r="A711" s="41"/>
      <c r="B711" s="11"/>
      <c r="C711" s="11"/>
      <c r="D711" s="11"/>
      <c r="E711" s="11"/>
      <c r="F711" s="11"/>
      <c r="G711" s="11"/>
      <c r="H711" s="11"/>
      <c r="I711" s="41"/>
      <c r="J711" s="11"/>
      <c r="K711" s="11"/>
      <c r="L711" s="11"/>
      <c r="M711" s="11"/>
      <c r="N711" s="11"/>
      <c r="O711" s="11"/>
      <c r="P711" s="11"/>
      <c r="Q711" s="41"/>
      <c r="R711" s="11"/>
      <c r="S711" s="11"/>
      <c r="T711" s="11"/>
      <c r="U711" s="11"/>
      <c r="V711" s="11"/>
      <c r="W711" s="11"/>
      <c r="X711" s="11"/>
      <c r="Y711" s="4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  <c r="CC711" s="11"/>
      <c r="CD711" s="11"/>
      <c r="CE711" s="11"/>
      <c r="CF711" s="11"/>
      <c r="CG711" s="11"/>
      <c r="CH711" s="11"/>
      <c r="CI711" s="11"/>
      <c r="CJ711" s="11"/>
      <c r="CK711" s="11"/>
      <c r="CL711" s="11"/>
      <c r="CM711" s="11"/>
      <c r="CN711" s="11"/>
      <c r="CO711" s="11"/>
      <c r="CP711" s="40"/>
      <c r="CQ711" s="40"/>
      <c r="CR711" s="40"/>
      <c r="CS711" s="40"/>
      <c r="CT711" s="40"/>
      <c r="CU711" s="40"/>
      <c r="CV711" s="40"/>
      <c r="CW711" s="40"/>
      <c r="CX711" s="40"/>
      <c r="CY711" s="40"/>
      <c r="CZ711" s="40"/>
      <c r="DA711" s="11"/>
      <c r="DB711" s="11"/>
      <c r="DC711" s="11"/>
      <c r="DD711" s="11"/>
      <c r="DE711" s="11"/>
      <c r="DF711" s="11"/>
      <c r="DG711" s="11"/>
    </row>
    <row r="712" ht="15.75" customHeight="1">
      <c r="A712" s="41"/>
      <c r="B712" s="11"/>
      <c r="C712" s="11"/>
      <c r="D712" s="11"/>
      <c r="E712" s="11"/>
      <c r="F712" s="11"/>
      <c r="G712" s="11"/>
      <c r="H712" s="11"/>
      <c r="I712" s="41"/>
      <c r="J712" s="11"/>
      <c r="K712" s="11"/>
      <c r="L712" s="11"/>
      <c r="M712" s="11"/>
      <c r="N712" s="11"/>
      <c r="O712" s="11"/>
      <c r="P712" s="11"/>
      <c r="Q712" s="41"/>
      <c r="R712" s="11"/>
      <c r="S712" s="11"/>
      <c r="T712" s="11"/>
      <c r="U712" s="11"/>
      <c r="V712" s="11"/>
      <c r="W712" s="11"/>
      <c r="X712" s="11"/>
      <c r="Y712" s="4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  <c r="CD712" s="11"/>
      <c r="CE712" s="11"/>
      <c r="CF712" s="11"/>
      <c r="CG712" s="11"/>
      <c r="CH712" s="11"/>
      <c r="CI712" s="11"/>
      <c r="CJ712" s="11"/>
      <c r="CK712" s="11"/>
      <c r="CL712" s="11"/>
      <c r="CM712" s="11"/>
      <c r="CN712" s="11"/>
      <c r="CO712" s="11"/>
      <c r="CP712" s="40"/>
      <c r="CQ712" s="40"/>
      <c r="CR712" s="40"/>
      <c r="CS712" s="40"/>
      <c r="CT712" s="40"/>
      <c r="CU712" s="40"/>
      <c r="CV712" s="40"/>
      <c r="CW712" s="40"/>
      <c r="CX712" s="40"/>
      <c r="CY712" s="40"/>
      <c r="CZ712" s="40"/>
      <c r="DA712" s="11"/>
      <c r="DB712" s="11"/>
      <c r="DC712" s="11"/>
      <c r="DD712" s="11"/>
      <c r="DE712" s="11"/>
      <c r="DF712" s="11"/>
      <c r="DG712" s="11"/>
    </row>
    <row r="713" ht="15.75" customHeight="1">
      <c r="A713" s="41"/>
      <c r="B713" s="11"/>
      <c r="C713" s="11"/>
      <c r="D713" s="11"/>
      <c r="E713" s="11"/>
      <c r="F713" s="11"/>
      <c r="G713" s="11"/>
      <c r="H713" s="11"/>
      <c r="I713" s="41"/>
      <c r="J713" s="11"/>
      <c r="K713" s="11"/>
      <c r="L713" s="11"/>
      <c r="M713" s="11"/>
      <c r="N713" s="11"/>
      <c r="O713" s="11"/>
      <c r="P713" s="11"/>
      <c r="Q713" s="41"/>
      <c r="R713" s="11"/>
      <c r="S713" s="11"/>
      <c r="T713" s="11"/>
      <c r="U713" s="11"/>
      <c r="V713" s="11"/>
      <c r="W713" s="11"/>
      <c r="X713" s="11"/>
      <c r="Y713" s="4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  <c r="CD713" s="11"/>
      <c r="CE713" s="11"/>
      <c r="CF713" s="11"/>
      <c r="CG713" s="11"/>
      <c r="CH713" s="11"/>
      <c r="CI713" s="11"/>
      <c r="CJ713" s="11"/>
      <c r="CK713" s="11"/>
      <c r="CL713" s="11"/>
      <c r="CM713" s="11"/>
      <c r="CN713" s="11"/>
      <c r="CO713" s="11"/>
      <c r="CP713" s="40"/>
      <c r="CQ713" s="40"/>
      <c r="CR713" s="40"/>
      <c r="CS713" s="40"/>
      <c r="CT713" s="40"/>
      <c r="CU713" s="40"/>
      <c r="CV713" s="40"/>
      <c r="CW713" s="40"/>
      <c r="CX713" s="40"/>
      <c r="CY713" s="40"/>
      <c r="CZ713" s="40"/>
      <c r="DA713" s="11"/>
      <c r="DB713" s="11"/>
      <c r="DC713" s="11"/>
      <c r="DD713" s="11"/>
      <c r="DE713" s="11"/>
      <c r="DF713" s="11"/>
      <c r="DG713" s="11"/>
    </row>
    <row r="714" ht="15.75" customHeight="1">
      <c r="A714" s="41"/>
      <c r="B714" s="11"/>
      <c r="C714" s="11"/>
      <c r="D714" s="11"/>
      <c r="E714" s="11"/>
      <c r="F714" s="11"/>
      <c r="G714" s="11"/>
      <c r="H714" s="11"/>
      <c r="I714" s="41"/>
      <c r="J714" s="11"/>
      <c r="K714" s="11"/>
      <c r="L714" s="11"/>
      <c r="M714" s="11"/>
      <c r="N714" s="11"/>
      <c r="O714" s="11"/>
      <c r="P714" s="11"/>
      <c r="Q714" s="41"/>
      <c r="R714" s="11"/>
      <c r="S714" s="11"/>
      <c r="T714" s="11"/>
      <c r="U714" s="11"/>
      <c r="V714" s="11"/>
      <c r="W714" s="11"/>
      <c r="X714" s="11"/>
      <c r="Y714" s="4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  <c r="CD714" s="11"/>
      <c r="CE714" s="11"/>
      <c r="CF714" s="11"/>
      <c r="CG714" s="11"/>
      <c r="CH714" s="11"/>
      <c r="CI714" s="11"/>
      <c r="CJ714" s="11"/>
      <c r="CK714" s="11"/>
      <c r="CL714" s="11"/>
      <c r="CM714" s="11"/>
      <c r="CN714" s="11"/>
      <c r="CO714" s="11"/>
      <c r="CP714" s="40"/>
      <c r="CQ714" s="40"/>
      <c r="CR714" s="40"/>
      <c r="CS714" s="40"/>
      <c r="CT714" s="40"/>
      <c r="CU714" s="40"/>
      <c r="CV714" s="40"/>
      <c r="CW714" s="40"/>
      <c r="CX714" s="40"/>
      <c r="CY714" s="40"/>
      <c r="CZ714" s="40"/>
      <c r="DA714" s="11"/>
      <c r="DB714" s="11"/>
      <c r="DC714" s="11"/>
      <c r="DD714" s="11"/>
      <c r="DE714" s="11"/>
      <c r="DF714" s="11"/>
      <c r="DG714" s="11"/>
    </row>
    <row r="715" ht="15.75" customHeight="1">
      <c r="A715" s="41"/>
      <c r="B715" s="11"/>
      <c r="C715" s="11"/>
      <c r="D715" s="11"/>
      <c r="E715" s="11"/>
      <c r="F715" s="11"/>
      <c r="G715" s="11"/>
      <c r="H715" s="11"/>
      <c r="I715" s="41"/>
      <c r="J715" s="11"/>
      <c r="K715" s="11"/>
      <c r="L715" s="11"/>
      <c r="M715" s="11"/>
      <c r="N715" s="11"/>
      <c r="O715" s="11"/>
      <c r="P715" s="11"/>
      <c r="Q715" s="41"/>
      <c r="R715" s="11"/>
      <c r="S715" s="11"/>
      <c r="T715" s="11"/>
      <c r="U715" s="11"/>
      <c r="V715" s="11"/>
      <c r="W715" s="11"/>
      <c r="X715" s="11"/>
      <c r="Y715" s="4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  <c r="CD715" s="11"/>
      <c r="CE715" s="11"/>
      <c r="CF715" s="11"/>
      <c r="CG715" s="11"/>
      <c r="CH715" s="11"/>
      <c r="CI715" s="11"/>
      <c r="CJ715" s="11"/>
      <c r="CK715" s="11"/>
      <c r="CL715" s="11"/>
      <c r="CM715" s="11"/>
      <c r="CN715" s="11"/>
      <c r="CO715" s="11"/>
      <c r="CP715" s="40"/>
      <c r="CQ715" s="40"/>
      <c r="CR715" s="40"/>
      <c r="CS715" s="40"/>
      <c r="CT715" s="40"/>
      <c r="CU715" s="40"/>
      <c r="CV715" s="40"/>
      <c r="CW715" s="40"/>
      <c r="CX715" s="40"/>
      <c r="CY715" s="40"/>
      <c r="CZ715" s="40"/>
      <c r="DA715" s="11"/>
      <c r="DB715" s="11"/>
      <c r="DC715" s="11"/>
      <c r="DD715" s="11"/>
      <c r="DE715" s="11"/>
      <c r="DF715" s="11"/>
      <c r="DG715" s="11"/>
    </row>
    <row r="716" ht="15.75" customHeight="1">
      <c r="A716" s="41"/>
      <c r="B716" s="11"/>
      <c r="C716" s="11"/>
      <c r="D716" s="11"/>
      <c r="E716" s="11"/>
      <c r="F716" s="11"/>
      <c r="G716" s="11"/>
      <c r="H716" s="11"/>
      <c r="I716" s="41"/>
      <c r="J716" s="11"/>
      <c r="K716" s="11"/>
      <c r="L716" s="11"/>
      <c r="M716" s="11"/>
      <c r="N716" s="11"/>
      <c r="O716" s="11"/>
      <c r="P716" s="11"/>
      <c r="Q716" s="41"/>
      <c r="R716" s="11"/>
      <c r="S716" s="11"/>
      <c r="T716" s="11"/>
      <c r="U716" s="11"/>
      <c r="V716" s="11"/>
      <c r="W716" s="11"/>
      <c r="X716" s="11"/>
      <c r="Y716" s="4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11"/>
      <c r="CD716" s="11"/>
      <c r="CE716" s="11"/>
      <c r="CF716" s="11"/>
      <c r="CG716" s="11"/>
      <c r="CH716" s="11"/>
      <c r="CI716" s="11"/>
      <c r="CJ716" s="11"/>
      <c r="CK716" s="11"/>
      <c r="CL716" s="11"/>
      <c r="CM716" s="11"/>
      <c r="CN716" s="11"/>
      <c r="CO716" s="11"/>
      <c r="CP716" s="40"/>
      <c r="CQ716" s="40"/>
      <c r="CR716" s="40"/>
      <c r="CS716" s="40"/>
      <c r="CT716" s="40"/>
      <c r="CU716" s="40"/>
      <c r="CV716" s="40"/>
      <c r="CW716" s="40"/>
      <c r="CX716" s="40"/>
      <c r="CY716" s="40"/>
      <c r="CZ716" s="40"/>
      <c r="DA716" s="11"/>
      <c r="DB716" s="11"/>
      <c r="DC716" s="11"/>
      <c r="DD716" s="11"/>
      <c r="DE716" s="11"/>
      <c r="DF716" s="11"/>
      <c r="DG716" s="11"/>
    </row>
    <row r="717" ht="15.75" customHeight="1">
      <c r="A717" s="41"/>
      <c r="B717" s="11"/>
      <c r="C717" s="11"/>
      <c r="D717" s="11"/>
      <c r="E717" s="11"/>
      <c r="F717" s="11"/>
      <c r="G717" s="11"/>
      <c r="H717" s="11"/>
      <c r="I717" s="41"/>
      <c r="J717" s="11"/>
      <c r="K717" s="11"/>
      <c r="L717" s="11"/>
      <c r="M717" s="11"/>
      <c r="N717" s="11"/>
      <c r="O717" s="11"/>
      <c r="P717" s="11"/>
      <c r="Q717" s="41"/>
      <c r="R717" s="11"/>
      <c r="S717" s="11"/>
      <c r="T717" s="11"/>
      <c r="U717" s="11"/>
      <c r="V717" s="11"/>
      <c r="W717" s="11"/>
      <c r="X717" s="11"/>
      <c r="Y717" s="4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11"/>
      <c r="CD717" s="11"/>
      <c r="CE717" s="11"/>
      <c r="CF717" s="11"/>
      <c r="CG717" s="11"/>
      <c r="CH717" s="11"/>
      <c r="CI717" s="11"/>
      <c r="CJ717" s="11"/>
      <c r="CK717" s="11"/>
      <c r="CL717" s="11"/>
      <c r="CM717" s="11"/>
      <c r="CN717" s="11"/>
      <c r="CO717" s="11"/>
      <c r="CP717" s="40"/>
      <c r="CQ717" s="40"/>
      <c r="CR717" s="40"/>
      <c r="CS717" s="40"/>
      <c r="CT717" s="40"/>
      <c r="CU717" s="40"/>
      <c r="CV717" s="40"/>
      <c r="CW717" s="40"/>
      <c r="CX717" s="40"/>
      <c r="CY717" s="40"/>
      <c r="CZ717" s="40"/>
      <c r="DA717" s="11"/>
      <c r="DB717" s="11"/>
      <c r="DC717" s="11"/>
      <c r="DD717" s="11"/>
      <c r="DE717" s="11"/>
      <c r="DF717" s="11"/>
      <c r="DG717" s="11"/>
    </row>
    <row r="718" ht="15.75" customHeight="1">
      <c r="A718" s="41"/>
      <c r="B718" s="11"/>
      <c r="C718" s="11"/>
      <c r="D718" s="11"/>
      <c r="E718" s="11"/>
      <c r="F718" s="11"/>
      <c r="G718" s="11"/>
      <c r="H718" s="11"/>
      <c r="I718" s="41"/>
      <c r="J718" s="11"/>
      <c r="K718" s="11"/>
      <c r="L718" s="11"/>
      <c r="M718" s="11"/>
      <c r="N718" s="11"/>
      <c r="O718" s="11"/>
      <c r="P718" s="11"/>
      <c r="Q718" s="41"/>
      <c r="R718" s="11"/>
      <c r="S718" s="11"/>
      <c r="T718" s="11"/>
      <c r="U718" s="11"/>
      <c r="V718" s="11"/>
      <c r="W718" s="11"/>
      <c r="X718" s="11"/>
      <c r="Y718" s="4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  <c r="CD718" s="11"/>
      <c r="CE718" s="11"/>
      <c r="CF718" s="11"/>
      <c r="CG718" s="11"/>
      <c r="CH718" s="11"/>
      <c r="CI718" s="11"/>
      <c r="CJ718" s="11"/>
      <c r="CK718" s="11"/>
      <c r="CL718" s="11"/>
      <c r="CM718" s="11"/>
      <c r="CN718" s="11"/>
      <c r="CO718" s="11"/>
      <c r="CP718" s="40"/>
      <c r="CQ718" s="40"/>
      <c r="CR718" s="40"/>
      <c r="CS718" s="40"/>
      <c r="CT718" s="40"/>
      <c r="CU718" s="40"/>
      <c r="CV718" s="40"/>
      <c r="CW718" s="40"/>
      <c r="CX718" s="40"/>
      <c r="CY718" s="40"/>
      <c r="CZ718" s="40"/>
      <c r="DA718" s="11"/>
      <c r="DB718" s="11"/>
      <c r="DC718" s="11"/>
      <c r="DD718" s="11"/>
      <c r="DE718" s="11"/>
      <c r="DF718" s="11"/>
      <c r="DG718" s="11"/>
    </row>
    <row r="719" ht="15.75" customHeight="1">
      <c r="A719" s="41"/>
      <c r="B719" s="11"/>
      <c r="C719" s="11"/>
      <c r="D719" s="11"/>
      <c r="E719" s="11"/>
      <c r="F719" s="11"/>
      <c r="G719" s="11"/>
      <c r="H719" s="11"/>
      <c r="I719" s="41"/>
      <c r="J719" s="11"/>
      <c r="K719" s="11"/>
      <c r="L719" s="11"/>
      <c r="M719" s="11"/>
      <c r="N719" s="11"/>
      <c r="O719" s="11"/>
      <c r="P719" s="11"/>
      <c r="Q719" s="41"/>
      <c r="R719" s="11"/>
      <c r="S719" s="11"/>
      <c r="T719" s="11"/>
      <c r="U719" s="11"/>
      <c r="V719" s="11"/>
      <c r="W719" s="11"/>
      <c r="X719" s="11"/>
      <c r="Y719" s="4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  <c r="CC719" s="11"/>
      <c r="CD719" s="11"/>
      <c r="CE719" s="11"/>
      <c r="CF719" s="11"/>
      <c r="CG719" s="11"/>
      <c r="CH719" s="11"/>
      <c r="CI719" s="11"/>
      <c r="CJ719" s="11"/>
      <c r="CK719" s="11"/>
      <c r="CL719" s="11"/>
      <c r="CM719" s="11"/>
      <c r="CN719" s="11"/>
      <c r="CO719" s="11"/>
      <c r="CP719" s="40"/>
      <c r="CQ719" s="40"/>
      <c r="CR719" s="40"/>
      <c r="CS719" s="40"/>
      <c r="CT719" s="40"/>
      <c r="CU719" s="40"/>
      <c r="CV719" s="40"/>
      <c r="CW719" s="40"/>
      <c r="CX719" s="40"/>
      <c r="CY719" s="40"/>
      <c r="CZ719" s="40"/>
      <c r="DA719" s="11"/>
      <c r="DB719" s="11"/>
      <c r="DC719" s="11"/>
      <c r="DD719" s="11"/>
      <c r="DE719" s="11"/>
      <c r="DF719" s="11"/>
      <c r="DG719" s="11"/>
    </row>
    <row r="720" ht="15.75" customHeight="1">
      <c r="A720" s="41"/>
      <c r="B720" s="11"/>
      <c r="C720" s="11"/>
      <c r="D720" s="11"/>
      <c r="E720" s="11"/>
      <c r="F720" s="11"/>
      <c r="G720" s="11"/>
      <c r="H720" s="11"/>
      <c r="I720" s="41"/>
      <c r="J720" s="11"/>
      <c r="K720" s="11"/>
      <c r="L720" s="11"/>
      <c r="M720" s="11"/>
      <c r="N720" s="11"/>
      <c r="O720" s="11"/>
      <c r="P720" s="11"/>
      <c r="Q720" s="41"/>
      <c r="R720" s="11"/>
      <c r="S720" s="11"/>
      <c r="T720" s="11"/>
      <c r="U720" s="11"/>
      <c r="V720" s="11"/>
      <c r="W720" s="11"/>
      <c r="X720" s="11"/>
      <c r="Y720" s="4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11"/>
      <c r="CD720" s="11"/>
      <c r="CE720" s="11"/>
      <c r="CF720" s="11"/>
      <c r="CG720" s="11"/>
      <c r="CH720" s="11"/>
      <c r="CI720" s="11"/>
      <c r="CJ720" s="11"/>
      <c r="CK720" s="11"/>
      <c r="CL720" s="11"/>
      <c r="CM720" s="11"/>
      <c r="CN720" s="11"/>
      <c r="CO720" s="11"/>
      <c r="CP720" s="40"/>
      <c r="CQ720" s="40"/>
      <c r="CR720" s="40"/>
      <c r="CS720" s="40"/>
      <c r="CT720" s="40"/>
      <c r="CU720" s="40"/>
      <c r="CV720" s="40"/>
      <c r="CW720" s="40"/>
      <c r="CX720" s="40"/>
      <c r="CY720" s="40"/>
      <c r="CZ720" s="40"/>
      <c r="DA720" s="11"/>
      <c r="DB720" s="11"/>
      <c r="DC720" s="11"/>
      <c r="DD720" s="11"/>
      <c r="DE720" s="11"/>
      <c r="DF720" s="11"/>
      <c r="DG720" s="11"/>
    </row>
    <row r="721" ht="15.75" customHeight="1">
      <c r="A721" s="41"/>
      <c r="B721" s="11"/>
      <c r="C721" s="11"/>
      <c r="D721" s="11"/>
      <c r="E721" s="11"/>
      <c r="F721" s="11"/>
      <c r="G721" s="11"/>
      <c r="H721" s="11"/>
      <c r="I721" s="41"/>
      <c r="J721" s="11"/>
      <c r="K721" s="11"/>
      <c r="L721" s="11"/>
      <c r="M721" s="11"/>
      <c r="N721" s="11"/>
      <c r="O721" s="11"/>
      <c r="P721" s="11"/>
      <c r="Q721" s="41"/>
      <c r="R721" s="11"/>
      <c r="S721" s="11"/>
      <c r="T721" s="11"/>
      <c r="U721" s="11"/>
      <c r="V721" s="11"/>
      <c r="W721" s="11"/>
      <c r="X721" s="11"/>
      <c r="Y721" s="4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  <c r="CD721" s="11"/>
      <c r="CE721" s="11"/>
      <c r="CF721" s="11"/>
      <c r="CG721" s="11"/>
      <c r="CH721" s="11"/>
      <c r="CI721" s="11"/>
      <c r="CJ721" s="11"/>
      <c r="CK721" s="11"/>
      <c r="CL721" s="11"/>
      <c r="CM721" s="11"/>
      <c r="CN721" s="11"/>
      <c r="CO721" s="11"/>
      <c r="CP721" s="40"/>
      <c r="CQ721" s="40"/>
      <c r="CR721" s="40"/>
      <c r="CS721" s="40"/>
      <c r="CT721" s="40"/>
      <c r="CU721" s="40"/>
      <c r="CV721" s="40"/>
      <c r="CW721" s="40"/>
      <c r="CX721" s="40"/>
      <c r="CY721" s="40"/>
      <c r="CZ721" s="40"/>
      <c r="DA721" s="11"/>
      <c r="DB721" s="11"/>
      <c r="DC721" s="11"/>
      <c r="DD721" s="11"/>
      <c r="DE721" s="11"/>
      <c r="DF721" s="11"/>
      <c r="DG721" s="11"/>
    </row>
    <row r="722" ht="15.75" customHeight="1">
      <c r="A722" s="41"/>
      <c r="B722" s="11"/>
      <c r="C722" s="11"/>
      <c r="D722" s="11"/>
      <c r="E722" s="11"/>
      <c r="F722" s="11"/>
      <c r="G722" s="11"/>
      <c r="H722" s="11"/>
      <c r="I722" s="41"/>
      <c r="J722" s="11"/>
      <c r="K722" s="11"/>
      <c r="L722" s="11"/>
      <c r="M722" s="11"/>
      <c r="N722" s="11"/>
      <c r="O722" s="11"/>
      <c r="P722" s="11"/>
      <c r="Q722" s="41"/>
      <c r="R722" s="11"/>
      <c r="S722" s="11"/>
      <c r="T722" s="11"/>
      <c r="U722" s="11"/>
      <c r="V722" s="11"/>
      <c r="W722" s="11"/>
      <c r="X722" s="11"/>
      <c r="Y722" s="4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  <c r="CD722" s="11"/>
      <c r="CE722" s="11"/>
      <c r="CF722" s="11"/>
      <c r="CG722" s="11"/>
      <c r="CH722" s="11"/>
      <c r="CI722" s="11"/>
      <c r="CJ722" s="11"/>
      <c r="CK722" s="11"/>
      <c r="CL722" s="11"/>
      <c r="CM722" s="11"/>
      <c r="CN722" s="11"/>
      <c r="CO722" s="11"/>
      <c r="CP722" s="40"/>
      <c r="CQ722" s="40"/>
      <c r="CR722" s="40"/>
      <c r="CS722" s="40"/>
      <c r="CT722" s="40"/>
      <c r="CU722" s="40"/>
      <c r="CV722" s="40"/>
      <c r="CW722" s="40"/>
      <c r="CX722" s="40"/>
      <c r="CY722" s="40"/>
      <c r="CZ722" s="40"/>
      <c r="DA722" s="11"/>
      <c r="DB722" s="11"/>
      <c r="DC722" s="11"/>
      <c r="DD722" s="11"/>
      <c r="DE722" s="11"/>
      <c r="DF722" s="11"/>
      <c r="DG722" s="11"/>
    </row>
    <row r="723" ht="15.75" customHeight="1">
      <c r="A723" s="41"/>
      <c r="B723" s="11"/>
      <c r="C723" s="11"/>
      <c r="D723" s="11"/>
      <c r="E723" s="11"/>
      <c r="F723" s="11"/>
      <c r="G723" s="11"/>
      <c r="H723" s="11"/>
      <c r="I723" s="41"/>
      <c r="J723" s="11"/>
      <c r="K723" s="11"/>
      <c r="L723" s="11"/>
      <c r="M723" s="11"/>
      <c r="N723" s="11"/>
      <c r="O723" s="11"/>
      <c r="P723" s="11"/>
      <c r="Q723" s="41"/>
      <c r="R723" s="11"/>
      <c r="S723" s="11"/>
      <c r="T723" s="11"/>
      <c r="U723" s="11"/>
      <c r="V723" s="11"/>
      <c r="W723" s="11"/>
      <c r="X723" s="11"/>
      <c r="Y723" s="4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  <c r="CD723" s="11"/>
      <c r="CE723" s="11"/>
      <c r="CF723" s="11"/>
      <c r="CG723" s="11"/>
      <c r="CH723" s="11"/>
      <c r="CI723" s="11"/>
      <c r="CJ723" s="11"/>
      <c r="CK723" s="11"/>
      <c r="CL723" s="11"/>
      <c r="CM723" s="11"/>
      <c r="CN723" s="11"/>
      <c r="CO723" s="11"/>
      <c r="CP723" s="40"/>
      <c r="CQ723" s="40"/>
      <c r="CR723" s="40"/>
      <c r="CS723" s="40"/>
      <c r="CT723" s="40"/>
      <c r="CU723" s="40"/>
      <c r="CV723" s="40"/>
      <c r="CW723" s="40"/>
      <c r="CX723" s="40"/>
      <c r="CY723" s="40"/>
      <c r="CZ723" s="40"/>
      <c r="DA723" s="11"/>
      <c r="DB723" s="11"/>
      <c r="DC723" s="11"/>
      <c r="DD723" s="11"/>
      <c r="DE723" s="11"/>
      <c r="DF723" s="11"/>
      <c r="DG723" s="11"/>
    </row>
    <row r="724" ht="15.75" customHeight="1">
      <c r="A724" s="41"/>
      <c r="B724" s="11"/>
      <c r="C724" s="11"/>
      <c r="D724" s="11"/>
      <c r="E724" s="11"/>
      <c r="F724" s="11"/>
      <c r="G724" s="11"/>
      <c r="H724" s="11"/>
      <c r="I724" s="41"/>
      <c r="J724" s="11"/>
      <c r="K724" s="11"/>
      <c r="L724" s="11"/>
      <c r="M724" s="11"/>
      <c r="N724" s="11"/>
      <c r="O724" s="11"/>
      <c r="P724" s="11"/>
      <c r="Q724" s="41"/>
      <c r="R724" s="11"/>
      <c r="S724" s="11"/>
      <c r="T724" s="11"/>
      <c r="U724" s="11"/>
      <c r="V724" s="11"/>
      <c r="W724" s="11"/>
      <c r="X724" s="11"/>
      <c r="Y724" s="4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11"/>
      <c r="CD724" s="11"/>
      <c r="CE724" s="11"/>
      <c r="CF724" s="11"/>
      <c r="CG724" s="11"/>
      <c r="CH724" s="11"/>
      <c r="CI724" s="11"/>
      <c r="CJ724" s="11"/>
      <c r="CK724" s="11"/>
      <c r="CL724" s="11"/>
      <c r="CM724" s="11"/>
      <c r="CN724" s="11"/>
      <c r="CO724" s="11"/>
      <c r="CP724" s="40"/>
      <c r="CQ724" s="40"/>
      <c r="CR724" s="40"/>
      <c r="CS724" s="40"/>
      <c r="CT724" s="40"/>
      <c r="CU724" s="40"/>
      <c r="CV724" s="40"/>
      <c r="CW724" s="40"/>
      <c r="CX724" s="40"/>
      <c r="CY724" s="40"/>
      <c r="CZ724" s="40"/>
      <c r="DA724" s="11"/>
      <c r="DB724" s="11"/>
      <c r="DC724" s="11"/>
      <c r="DD724" s="11"/>
      <c r="DE724" s="11"/>
      <c r="DF724" s="11"/>
      <c r="DG724" s="11"/>
    </row>
    <row r="725" ht="15.75" customHeight="1">
      <c r="A725" s="41"/>
      <c r="B725" s="11"/>
      <c r="C725" s="11"/>
      <c r="D725" s="11"/>
      <c r="E725" s="11"/>
      <c r="F725" s="11"/>
      <c r="G725" s="11"/>
      <c r="H725" s="11"/>
      <c r="I725" s="41"/>
      <c r="J725" s="11"/>
      <c r="K725" s="11"/>
      <c r="L725" s="11"/>
      <c r="M725" s="11"/>
      <c r="N725" s="11"/>
      <c r="O725" s="11"/>
      <c r="P725" s="11"/>
      <c r="Q725" s="41"/>
      <c r="R725" s="11"/>
      <c r="S725" s="11"/>
      <c r="T725" s="11"/>
      <c r="U725" s="11"/>
      <c r="V725" s="11"/>
      <c r="W725" s="11"/>
      <c r="X725" s="11"/>
      <c r="Y725" s="4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  <c r="CC725" s="11"/>
      <c r="CD725" s="11"/>
      <c r="CE725" s="11"/>
      <c r="CF725" s="11"/>
      <c r="CG725" s="11"/>
      <c r="CH725" s="11"/>
      <c r="CI725" s="11"/>
      <c r="CJ725" s="11"/>
      <c r="CK725" s="11"/>
      <c r="CL725" s="11"/>
      <c r="CM725" s="11"/>
      <c r="CN725" s="11"/>
      <c r="CO725" s="11"/>
      <c r="CP725" s="40"/>
      <c r="CQ725" s="40"/>
      <c r="CR725" s="40"/>
      <c r="CS725" s="40"/>
      <c r="CT725" s="40"/>
      <c r="CU725" s="40"/>
      <c r="CV725" s="40"/>
      <c r="CW725" s="40"/>
      <c r="CX725" s="40"/>
      <c r="CY725" s="40"/>
      <c r="CZ725" s="40"/>
      <c r="DA725" s="11"/>
      <c r="DB725" s="11"/>
      <c r="DC725" s="11"/>
      <c r="DD725" s="11"/>
      <c r="DE725" s="11"/>
      <c r="DF725" s="11"/>
      <c r="DG725" s="11"/>
    </row>
    <row r="726" ht="15.75" customHeight="1">
      <c r="A726" s="41"/>
      <c r="B726" s="11"/>
      <c r="C726" s="11"/>
      <c r="D726" s="11"/>
      <c r="E726" s="11"/>
      <c r="F726" s="11"/>
      <c r="G726" s="11"/>
      <c r="H726" s="11"/>
      <c r="I726" s="41"/>
      <c r="J726" s="11"/>
      <c r="K726" s="11"/>
      <c r="L726" s="11"/>
      <c r="M726" s="11"/>
      <c r="N726" s="11"/>
      <c r="O726" s="11"/>
      <c r="P726" s="11"/>
      <c r="Q726" s="41"/>
      <c r="R726" s="11"/>
      <c r="S726" s="11"/>
      <c r="T726" s="11"/>
      <c r="U726" s="11"/>
      <c r="V726" s="11"/>
      <c r="W726" s="11"/>
      <c r="X726" s="11"/>
      <c r="Y726" s="4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11"/>
      <c r="CD726" s="11"/>
      <c r="CE726" s="11"/>
      <c r="CF726" s="11"/>
      <c r="CG726" s="11"/>
      <c r="CH726" s="11"/>
      <c r="CI726" s="11"/>
      <c r="CJ726" s="11"/>
      <c r="CK726" s="11"/>
      <c r="CL726" s="11"/>
      <c r="CM726" s="11"/>
      <c r="CN726" s="11"/>
      <c r="CO726" s="11"/>
      <c r="CP726" s="40"/>
      <c r="CQ726" s="40"/>
      <c r="CR726" s="40"/>
      <c r="CS726" s="40"/>
      <c r="CT726" s="40"/>
      <c r="CU726" s="40"/>
      <c r="CV726" s="40"/>
      <c r="CW726" s="40"/>
      <c r="CX726" s="40"/>
      <c r="CY726" s="40"/>
      <c r="CZ726" s="40"/>
      <c r="DA726" s="11"/>
      <c r="DB726" s="11"/>
      <c r="DC726" s="11"/>
      <c r="DD726" s="11"/>
      <c r="DE726" s="11"/>
      <c r="DF726" s="11"/>
      <c r="DG726" s="11"/>
    </row>
    <row r="727" ht="15.75" customHeight="1">
      <c r="A727" s="41"/>
      <c r="B727" s="11"/>
      <c r="C727" s="11"/>
      <c r="D727" s="11"/>
      <c r="E727" s="11"/>
      <c r="F727" s="11"/>
      <c r="G727" s="11"/>
      <c r="H727" s="11"/>
      <c r="I727" s="41"/>
      <c r="J727" s="11"/>
      <c r="K727" s="11"/>
      <c r="L727" s="11"/>
      <c r="M727" s="11"/>
      <c r="N727" s="11"/>
      <c r="O727" s="11"/>
      <c r="P727" s="11"/>
      <c r="Q727" s="41"/>
      <c r="R727" s="11"/>
      <c r="S727" s="11"/>
      <c r="T727" s="11"/>
      <c r="U727" s="11"/>
      <c r="V727" s="11"/>
      <c r="W727" s="11"/>
      <c r="X727" s="11"/>
      <c r="Y727" s="4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  <c r="CD727" s="11"/>
      <c r="CE727" s="11"/>
      <c r="CF727" s="11"/>
      <c r="CG727" s="11"/>
      <c r="CH727" s="11"/>
      <c r="CI727" s="11"/>
      <c r="CJ727" s="11"/>
      <c r="CK727" s="11"/>
      <c r="CL727" s="11"/>
      <c r="CM727" s="11"/>
      <c r="CN727" s="11"/>
      <c r="CO727" s="11"/>
      <c r="CP727" s="40"/>
      <c r="CQ727" s="40"/>
      <c r="CR727" s="40"/>
      <c r="CS727" s="40"/>
      <c r="CT727" s="40"/>
      <c r="CU727" s="40"/>
      <c r="CV727" s="40"/>
      <c r="CW727" s="40"/>
      <c r="CX727" s="40"/>
      <c r="CY727" s="40"/>
      <c r="CZ727" s="40"/>
      <c r="DA727" s="11"/>
      <c r="DB727" s="11"/>
      <c r="DC727" s="11"/>
      <c r="DD727" s="11"/>
      <c r="DE727" s="11"/>
      <c r="DF727" s="11"/>
      <c r="DG727" s="11"/>
    </row>
    <row r="728" ht="15.75" customHeight="1">
      <c r="A728" s="41"/>
      <c r="B728" s="11"/>
      <c r="C728" s="11"/>
      <c r="D728" s="11"/>
      <c r="E728" s="11"/>
      <c r="F728" s="11"/>
      <c r="G728" s="11"/>
      <c r="H728" s="11"/>
      <c r="I728" s="41"/>
      <c r="J728" s="11"/>
      <c r="K728" s="11"/>
      <c r="L728" s="11"/>
      <c r="M728" s="11"/>
      <c r="N728" s="11"/>
      <c r="O728" s="11"/>
      <c r="P728" s="11"/>
      <c r="Q728" s="41"/>
      <c r="R728" s="11"/>
      <c r="S728" s="11"/>
      <c r="T728" s="11"/>
      <c r="U728" s="11"/>
      <c r="V728" s="11"/>
      <c r="W728" s="11"/>
      <c r="X728" s="11"/>
      <c r="Y728" s="4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11"/>
      <c r="CD728" s="11"/>
      <c r="CE728" s="11"/>
      <c r="CF728" s="11"/>
      <c r="CG728" s="11"/>
      <c r="CH728" s="11"/>
      <c r="CI728" s="11"/>
      <c r="CJ728" s="11"/>
      <c r="CK728" s="11"/>
      <c r="CL728" s="11"/>
      <c r="CM728" s="11"/>
      <c r="CN728" s="11"/>
      <c r="CO728" s="11"/>
      <c r="CP728" s="40"/>
      <c r="CQ728" s="40"/>
      <c r="CR728" s="40"/>
      <c r="CS728" s="40"/>
      <c r="CT728" s="40"/>
      <c r="CU728" s="40"/>
      <c r="CV728" s="40"/>
      <c r="CW728" s="40"/>
      <c r="CX728" s="40"/>
      <c r="CY728" s="40"/>
      <c r="CZ728" s="40"/>
      <c r="DA728" s="11"/>
      <c r="DB728" s="11"/>
      <c r="DC728" s="11"/>
      <c r="DD728" s="11"/>
      <c r="DE728" s="11"/>
      <c r="DF728" s="11"/>
      <c r="DG728" s="11"/>
    </row>
    <row r="729" ht="15.75" customHeight="1">
      <c r="A729" s="41"/>
      <c r="B729" s="11"/>
      <c r="C729" s="11"/>
      <c r="D729" s="11"/>
      <c r="E729" s="11"/>
      <c r="F729" s="11"/>
      <c r="G729" s="11"/>
      <c r="H729" s="11"/>
      <c r="I729" s="41"/>
      <c r="J729" s="11"/>
      <c r="K729" s="11"/>
      <c r="L729" s="11"/>
      <c r="M729" s="11"/>
      <c r="N729" s="11"/>
      <c r="O729" s="11"/>
      <c r="P729" s="11"/>
      <c r="Q729" s="41"/>
      <c r="R729" s="11"/>
      <c r="S729" s="11"/>
      <c r="T729" s="11"/>
      <c r="U729" s="11"/>
      <c r="V729" s="11"/>
      <c r="W729" s="11"/>
      <c r="X729" s="11"/>
      <c r="Y729" s="4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  <c r="CC729" s="11"/>
      <c r="CD729" s="11"/>
      <c r="CE729" s="11"/>
      <c r="CF729" s="11"/>
      <c r="CG729" s="11"/>
      <c r="CH729" s="11"/>
      <c r="CI729" s="11"/>
      <c r="CJ729" s="11"/>
      <c r="CK729" s="11"/>
      <c r="CL729" s="11"/>
      <c r="CM729" s="11"/>
      <c r="CN729" s="11"/>
      <c r="CO729" s="11"/>
      <c r="CP729" s="40"/>
      <c r="CQ729" s="40"/>
      <c r="CR729" s="40"/>
      <c r="CS729" s="40"/>
      <c r="CT729" s="40"/>
      <c r="CU729" s="40"/>
      <c r="CV729" s="40"/>
      <c r="CW729" s="40"/>
      <c r="CX729" s="40"/>
      <c r="CY729" s="40"/>
      <c r="CZ729" s="40"/>
      <c r="DA729" s="11"/>
      <c r="DB729" s="11"/>
      <c r="DC729" s="11"/>
      <c r="DD729" s="11"/>
      <c r="DE729" s="11"/>
      <c r="DF729" s="11"/>
      <c r="DG729" s="11"/>
    </row>
    <row r="730" ht="15.75" customHeight="1">
      <c r="A730" s="41"/>
      <c r="B730" s="11"/>
      <c r="C730" s="11"/>
      <c r="D730" s="11"/>
      <c r="E730" s="11"/>
      <c r="F730" s="11"/>
      <c r="G730" s="11"/>
      <c r="H730" s="11"/>
      <c r="I730" s="41"/>
      <c r="J730" s="11"/>
      <c r="K730" s="11"/>
      <c r="L730" s="11"/>
      <c r="M730" s="11"/>
      <c r="N730" s="11"/>
      <c r="O730" s="11"/>
      <c r="P730" s="11"/>
      <c r="Q730" s="41"/>
      <c r="R730" s="11"/>
      <c r="S730" s="11"/>
      <c r="T730" s="11"/>
      <c r="U730" s="11"/>
      <c r="V730" s="11"/>
      <c r="W730" s="11"/>
      <c r="X730" s="11"/>
      <c r="Y730" s="4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11"/>
      <c r="CD730" s="11"/>
      <c r="CE730" s="11"/>
      <c r="CF730" s="11"/>
      <c r="CG730" s="11"/>
      <c r="CH730" s="11"/>
      <c r="CI730" s="11"/>
      <c r="CJ730" s="11"/>
      <c r="CK730" s="11"/>
      <c r="CL730" s="11"/>
      <c r="CM730" s="11"/>
      <c r="CN730" s="11"/>
      <c r="CO730" s="11"/>
      <c r="CP730" s="40"/>
      <c r="CQ730" s="40"/>
      <c r="CR730" s="40"/>
      <c r="CS730" s="40"/>
      <c r="CT730" s="40"/>
      <c r="CU730" s="40"/>
      <c r="CV730" s="40"/>
      <c r="CW730" s="40"/>
      <c r="CX730" s="40"/>
      <c r="CY730" s="40"/>
      <c r="CZ730" s="40"/>
      <c r="DA730" s="11"/>
      <c r="DB730" s="11"/>
      <c r="DC730" s="11"/>
      <c r="DD730" s="11"/>
      <c r="DE730" s="11"/>
      <c r="DF730" s="11"/>
      <c r="DG730" s="11"/>
    </row>
    <row r="731" ht="15.75" customHeight="1">
      <c r="A731" s="41"/>
      <c r="B731" s="11"/>
      <c r="C731" s="11"/>
      <c r="D731" s="11"/>
      <c r="E731" s="11"/>
      <c r="F731" s="11"/>
      <c r="G731" s="11"/>
      <c r="H731" s="11"/>
      <c r="I731" s="41"/>
      <c r="J731" s="11"/>
      <c r="K731" s="11"/>
      <c r="L731" s="11"/>
      <c r="M731" s="11"/>
      <c r="N731" s="11"/>
      <c r="O731" s="11"/>
      <c r="P731" s="11"/>
      <c r="Q731" s="41"/>
      <c r="R731" s="11"/>
      <c r="S731" s="11"/>
      <c r="T731" s="11"/>
      <c r="U731" s="11"/>
      <c r="V731" s="11"/>
      <c r="W731" s="11"/>
      <c r="X731" s="11"/>
      <c r="Y731" s="4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11"/>
      <c r="CD731" s="11"/>
      <c r="CE731" s="11"/>
      <c r="CF731" s="11"/>
      <c r="CG731" s="11"/>
      <c r="CH731" s="11"/>
      <c r="CI731" s="11"/>
      <c r="CJ731" s="11"/>
      <c r="CK731" s="11"/>
      <c r="CL731" s="11"/>
      <c r="CM731" s="11"/>
      <c r="CN731" s="11"/>
      <c r="CO731" s="11"/>
      <c r="CP731" s="40"/>
      <c r="CQ731" s="40"/>
      <c r="CR731" s="40"/>
      <c r="CS731" s="40"/>
      <c r="CT731" s="40"/>
      <c r="CU731" s="40"/>
      <c r="CV731" s="40"/>
      <c r="CW731" s="40"/>
      <c r="CX731" s="40"/>
      <c r="CY731" s="40"/>
      <c r="CZ731" s="40"/>
      <c r="DA731" s="11"/>
      <c r="DB731" s="11"/>
      <c r="DC731" s="11"/>
      <c r="DD731" s="11"/>
      <c r="DE731" s="11"/>
      <c r="DF731" s="11"/>
      <c r="DG731" s="11"/>
    </row>
    <row r="732" ht="15.75" customHeight="1">
      <c r="A732" s="41"/>
      <c r="B732" s="11"/>
      <c r="C732" s="11"/>
      <c r="D732" s="11"/>
      <c r="E732" s="11"/>
      <c r="F732" s="11"/>
      <c r="G732" s="11"/>
      <c r="H732" s="11"/>
      <c r="I732" s="41"/>
      <c r="J732" s="11"/>
      <c r="K732" s="11"/>
      <c r="L732" s="11"/>
      <c r="M732" s="11"/>
      <c r="N732" s="11"/>
      <c r="O732" s="11"/>
      <c r="P732" s="11"/>
      <c r="Q732" s="41"/>
      <c r="R732" s="11"/>
      <c r="S732" s="11"/>
      <c r="T732" s="11"/>
      <c r="U732" s="11"/>
      <c r="V732" s="11"/>
      <c r="W732" s="11"/>
      <c r="X732" s="11"/>
      <c r="Y732" s="4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  <c r="CC732" s="11"/>
      <c r="CD732" s="11"/>
      <c r="CE732" s="11"/>
      <c r="CF732" s="11"/>
      <c r="CG732" s="11"/>
      <c r="CH732" s="11"/>
      <c r="CI732" s="11"/>
      <c r="CJ732" s="11"/>
      <c r="CK732" s="11"/>
      <c r="CL732" s="11"/>
      <c r="CM732" s="11"/>
      <c r="CN732" s="11"/>
      <c r="CO732" s="11"/>
      <c r="CP732" s="40"/>
      <c r="CQ732" s="40"/>
      <c r="CR732" s="40"/>
      <c r="CS732" s="40"/>
      <c r="CT732" s="40"/>
      <c r="CU732" s="40"/>
      <c r="CV732" s="40"/>
      <c r="CW732" s="40"/>
      <c r="CX732" s="40"/>
      <c r="CY732" s="40"/>
      <c r="CZ732" s="40"/>
      <c r="DA732" s="11"/>
      <c r="DB732" s="11"/>
      <c r="DC732" s="11"/>
      <c r="DD732" s="11"/>
      <c r="DE732" s="11"/>
      <c r="DF732" s="11"/>
      <c r="DG732" s="11"/>
    </row>
    <row r="733" ht="15.75" customHeight="1">
      <c r="A733" s="41"/>
      <c r="B733" s="11"/>
      <c r="C733" s="11"/>
      <c r="D733" s="11"/>
      <c r="E733" s="11"/>
      <c r="F733" s="11"/>
      <c r="G733" s="11"/>
      <c r="H733" s="11"/>
      <c r="I733" s="41"/>
      <c r="J733" s="11"/>
      <c r="K733" s="11"/>
      <c r="L733" s="11"/>
      <c r="M733" s="11"/>
      <c r="N733" s="11"/>
      <c r="O733" s="11"/>
      <c r="P733" s="11"/>
      <c r="Q733" s="41"/>
      <c r="R733" s="11"/>
      <c r="S733" s="11"/>
      <c r="T733" s="11"/>
      <c r="U733" s="11"/>
      <c r="V733" s="11"/>
      <c r="W733" s="11"/>
      <c r="X733" s="11"/>
      <c r="Y733" s="4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  <c r="CC733" s="11"/>
      <c r="CD733" s="11"/>
      <c r="CE733" s="11"/>
      <c r="CF733" s="11"/>
      <c r="CG733" s="11"/>
      <c r="CH733" s="11"/>
      <c r="CI733" s="11"/>
      <c r="CJ733" s="11"/>
      <c r="CK733" s="11"/>
      <c r="CL733" s="11"/>
      <c r="CM733" s="11"/>
      <c r="CN733" s="11"/>
      <c r="CO733" s="11"/>
      <c r="CP733" s="40"/>
      <c r="CQ733" s="40"/>
      <c r="CR733" s="40"/>
      <c r="CS733" s="40"/>
      <c r="CT733" s="40"/>
      <c r="CU733" s="40"/>
      <c r="CV733" s="40"/>
      <c r="CW733" s="40"/>
      <c r="CX733" s="40"/>
      <c r="CY733" s="40"/>
      <c r="CZ733" s="40"/>
      <c r="DA733" s="11"/>
      <c r="DB733" s="11"/>
      <c r="DC733" s="11"/>
      <c r="DD733" s="11"/>
      <c r="DE733" s="11"/>
      <c r="DF733" s="11"/>
      <c r="DG733" s="11"/>
    </row>
    <row r="734" ht="15.75" customHeight="1">
      <c r="A734" s="41"/>
      <c r="B734" s="11"/>
      <c r="C734" s="11"/>
      <c r="D734" s="11"/>
      <c r="E734" s="11"/>
      <c r="F734" s="11"/>
      <c r="G734" s="11"/>
      <c r="H734" s="11"/>
      <c r="I734" s="41"/>
      <c r="J734" s="11"/>
      <c r="K734" s="11"/>
      <c r="L734" s="11"/>
      <c r="M734" s="11"/>
      <c r="N734" s="11"/>
      <c r="O734" s="11"/>
      <c r="P734" s="11"/>
      <c r="Q734" s="41"/>
      <c r="R734" s="11"/>
      <c r="S734" s="11"/>
      <c r="T734" s="11"/>
      <c r="U734" s="11"/>
      <c r="V734" s="11"/>
      <c r="W734" s="11"/>
      <c r="X734" s="11"/>
      <c r="Y734" s="4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11"/>
      <c r="CD734" s="11"/>
      <c r="CE734" s="11"/>
      <c r="CF734" s="11"/>
      <c r="CG734" s="11"/>
      <c r="CH734" s="11"/>
      <c r="CI734" s="11"/>
      <c r="CJ734" s="11"/>
      <c r="CK734" s="11"/>
      <c r="CL734" s="11"/>
      <c r="CM734" s="11"/>
      <c r="CN734" s="11"/>
      <c r="CO734" s="11"/>
      <c r="CP734" s="40"/>
      <c r="CQ734" s="40"/>
      <c r="CR734" s="40"/>
      <c r="CS734" s="40"/>
      <c r="CT734" s="40"/>
      <c r="CU734" s="40"/>
      <c r="CV734" s="40"/>
      <c r="CW734" s="40"/>
      <c r="CX734" s="40"/>
      <c r="CY734" s="40"/>
      <c r="CZ734" s="40"/>
      <c r="DA734" s="11"/>
      <c r="DB734" s="11"/>
      <c r="DC734" s="11"/>
      <c r="DD734" s="11"/>
      <c r="DE734" s="11"/>
      <c r="DF734" s="11"/>
      <c r="DG734" s="11"/>
    </row>
    <row r="735" ht="15.75" customHeight="1">
      <c r="A735" s="41"/>
      <c r="B735" s="11"/>
      <c r="C735" s="11"/>
      <c r="D735" s="11"/>
      <c r="E735" s="11"/>
      <c r="F735" s="11"/>
      <c r="G735" s="11"/>
      <c r="H735" s="11"/>
      <c r="I735" s="41"/>
      <c r="J735" s="11"/>
      <c r="K735" s="11"/>
      <c r="L735" s="11"/>
      <c r="M735" s="11"/>
      <c r="N735" s="11"/>
      <c r="O735" s="11"/>
      <c r="P735" s="11"/>
      <c r="Q735" s="41"/>
      <c r="R735" s="11"/>
      <c r="S735" s="11"/>
      <c r="T735" s="11"/>
      <c r="U735" s="11"/>
      <c r="V735" s="11"/>
      <c r="W735" s="11"/>
      <c r="X735" s="11"/>
      <c r="Y735" s="4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11"/>
      <c r="CD735" s="11"/>
      <c r="CE735" s="11"/>
      <c r="CF735" s="11"/>
      <c r="CG735" s="11"/>
      <c r="CH735" s="11"/>
      <c r="CI735" s="11"/>
      <c r="CJ735" s="11"/>
      <c r="CK735" s="11"/>
      <c r="CL735" s="11"/>
      <c r="CM735" s="11"/>
      <c r="CN735" s="11"/>
      <c r="CO735" s="11"/>
      <c r="CP735" s="40"/>
      <c r="CQ735" s="40"/>
      <c r="CR735" s="40"/>
      <c r="CS735" s="40"/>
      <c r="CT735" s="40"/>
      <c r="CU735" s="40"/>
      <c r="CV735" s="40"/>
      <c r="CW735" s="40"/>
      <c r="CX735" s="40"/>
      <c r="CY735" s="40"/>
      <c r="CZ735" s="40"/>
      <c r="DA735" s="11"/>
      <c r="DB735" s="11"/>
      <c r="DC735" s="11"/>
      <c r="DD735" s="11"/>
      <c r="DE735" s="11"/>
      <c r="DF735" s="11"/>
      <c r="DG735" s="11"/>
    </row>
    <row r="736" ht="15.75" customHeight="1">
      <c r="A736" s="41"/>
      <c r="B736" s="11"/>
      <c r="C736" s="11"/>
      <c r="D736" s="11"/>
      <c r="E736" s="11"/>
      <c r="F736" s="11"/>
      <c r="G736" s="11"/>
      <c r="H736" s="11"/>
      <c r="I736" s="41"/>
      <c r="J736" s="11"/>
      <c r="K736" s="11"/>
      <c r="L736" s="11"/>
      <c r="M736" s="11"/>
      <c r="N736" s="11"/>
      <c r="O736" s="11"/>
      <c r="P736" s="11"/>
      <c r="Q736" s="41"/>
      <c r="R736" s="11"/>
      <c r="S736" s="11"/>
      <c r="T736" s="11"/>
      <c r="U736" s="11"/>
      <c r="V736" s="11"/>
      <c r="W736" s="11"/>
      <c r="X736" s="11"/>
      <c r="Y736" s="4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  <c r="CD736" s="11"/>
      <c r="CE736" s="11"/>
      <c r="CF736" s="11"/>
      <c r="CG736" s="11"/>
      <c r="CH736" s="11"/>
      <c r="CI736" s="11"/>
      <c r="CJ736" s="11"/>
      <c r="CK736" s="11"/>
      <c r="CL736" s="11"/>
      <c r="CM736" s="11"/>
      <c r="CN736" s="11"/>
      <c r="CO736" s="11"/>
      <c r="CP736" s="40"/>
      <c r="CQ736" s="40"/>
      <c r="CR736" s="40"/>
      <c r="CS736" s="40"/>
      <c r="CT736" s="40"/>
      <c r="CU736" s="40"/>
      <c r="CV736" s="40"/>
      <c r="CW736" s="40"/>
      <c r="CX736" s="40"/>
      <c r="CY736" s="40"/>
      <c r="CZ736" s="40"/>
      <c r="DA736" s="11"/>
      <c r="DB736" s="11"/>
      <c r="DC736" s="11"/>
      <c r="DD736" s="11"/>
      <c r="DE736" s="11"/>
      <c r="DF736" s="11"/>
      <c r="DG736" s="11"/>
    </row>
    <row r="737" ht="15.75" customHeight="1">
      <c r="A737" s="41"/>
      <c r="B737" s="11"/>
      <c r="C737" s="11"/>
      <c r="D737" s="11"/>
      <c r="E737" s="11"/>
      <c r="F737" s="11"/>
      <c r="G737" s="11"/>
      <c r="H737" s="11"/>
      <c r="I737" s="41"/>
      <c r="J737" s="11"/>
      <c r="K737" s="11"/>
      <c r="L737" s="11"/>
      <c r="M737" s="11"/>
      <c r="N737" s="11"/>
      <c r="O737" s="11"/>
      <c r="P737" s="11"/>
      <c r="Q737" s="41"/>
      <c r="R737" s="11"/>
      <c r="S737" s="11"/>
      <c r="T737" s="11"/>
      <c r="U737" s="11"/>
      <c r="V737" s="11"/>
      <c r="W737" s="11"/>
      <c r="X737" s="11"/>
      <c r="Y737" s="4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  <c r="CD737" s="11"/>
      <c r="CE737" s="11"/>
      <c r="CF737" s="11"/>
      <c r="CG737" s="11"/>
      <c r="CH737" s="11"/>
      <c r="CI737" s="11"/>
      <c r="CJ737" s="11"/>
      <c r="CK737" s="11"/>
      <c r="CL737" s="11"/>
      <c r="CM737" s="11"/>
      <c r="CN737" s="11"/>
      <c r="CO737" s="11"/>
      <c r="CP737" s="40"/>
      <c r="CQ737" s="40"/>
      <c r="CR737" s="40"/>
      <c r="CS737" s="40"/>
      <c r="CT737" s="40"/>
      <c r="CU737" s="40"/>
      <c r="CV737" s="40"/>
      <c r="CW737" s="40"/>
      <c r="CX737" s="40"/>
      <c r="CY737" s="40"/>
      <c r="CZ737" s="40"/>
      <c r="DA737" s="11"/>
      <c r="DB737" s="11"/>
      <c r="DC737" s="11"/>
      <c r="DD737" s="11"/>
      <c r="DE737" s="11"/>
      <c r="DF737" s="11"/>
      <c r="DG737" s="11"/>
    </row>
    <row r="738" ht="15.75" customHeight="1">
      <c r="A738" s="41"/>
      <c r="B738" s="11"/>
      <c r="C738" s="11"/>
      <c r="D738" s="11"/>
      <c r="E738" s="11"/>
      <c r="F738" s="11"/>
      <c r="G738" s="11"/>
      <c r="H738" s="11"/>
      <c r="I738" s="41"/>
      <c r="J738" s="11"/>
      <c r="K738" s="11"/>
      <c r="L738" s="11"/>
      <c r="M738" s="11"/>
      <c r="N738" s="11"/>
      <c r="O738" s="11"/>
      <c r="P738" s="11"/>
      <c r="Q738" s="41"/>
      <c r="R738" s="11"/>
      <c r="S738" s="11"/>
      <c r="T738" s="11"/>
      <c r="U738" s="11"/>
      <c r="V738" s="11"/>
      <c r="W738" s="11"/>
      <c r="X738" s="11"/>
      <c r="Y738" s="4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  <c r="CD738" s="11"/>
      <c r="CE738" s="11"/>
      <c r="CF738" s="11"/>
      <c r="CG738" s="11"/>
      <c r="CH738" s="11"/>
      <c r="CI738" s="11"/>
      <c r="CJ738" s="11"/>
      <c r="CK738" s="11"/>
      <c r="CL738" s="11"/>
      <c r="CM738" s="11"/>
      <c r="CN738" s="11"/>
      <c r="CO738" s="11"/>
      <c r="CP738" s="40"/>
      <c r="CQ738" s="40"/>
      <c r="CR738" s="40"/>
      <c r="CS738" s="40"/>
      <c r="CT738" s="40"/>
      <c r="CU738" s="40"/>
      <c r="CV738" s="40"/>
      <c r="CW738" s="40"/>
      <c r="CX738" s="40"/>
      <c r="CY738" s="40"/>
      <c r="CZ738" s="40"/>
      <c r="DA738" s="11"/>
      <c r="DB738" s="11"/>
      <c r="DC738" s="11"/>
      <c r="DD738" s="11"/>
      <c r="DE738" s="11"/>
      <c r="DF738" s="11"/>
      <c r="DG738" s="11"/>
    </row>
    <row r="739" ht="15.75" customHeight="1">
      <c r="A739" s="41"/>
      <c r="B739" s="11"/>
      <c r="C739" s="11"/>
      <c r="D739" s="11"/>
      <c r="E739" s="11"/>
      <c r="F739" s="11"/>
      <c r="G739" s="11"/>
      <c r="H739" s="11"/>
      <c r="I739" s="41"/>
      <c r="J739" s="11"/>
      <c r="K739" s="11"/>
      <c r="L739" s="11"/>
      <c r="M739" s="11"/>
      <c r="N739" s="11"/>
      <c r="O739" s="11"/>
      <c r="P739" s="11"/>
      <c r="Q739" s="41"/>
      <c r="R739" s="11"/>
      <c r="S739" s="11"/>
      <c r="T739" s="11"/>
      <c r="U739" s="11"/>
      <c r="V739" s="11"/>
      <c r="W739" s="11"/>
      <c r="X739" s="11"/>
      <c r="Y739" s="4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  <c r="CD739" s="11"/>
      <c r="CE739" s="11"/>
      <c r="CF739" s="11"/>
      <c r="CG739" s="11"/>
      <c r="CH739" s="11"/>
      <c r="CI739" s="11"/>
      <c r="CJ739" s="11"/>
      <c r="CK739" s="11"/>
      <c r="CL739" s="11"/>
      <c r="CM739" s="11"/>
      <c r="CN739" s="11"/>
      <c r="CO739" s="11"/>
      <c r="CP739" s="40"/>
      <c r="CQ739" s="40"/>
      <c r="CR739" s="40"/>
      <c r="CS739" s="40"/>
      <c r="CT739" s="40"/>
      <c r="CU739" s="40"/>
      <c r="CV739" s="40"/>
      <c r="CW739" s="40"/>
      <c r="CX739" s="40"/>
      <c r="CY739" s="40"/>
      <c r="CZ739" s="40"/>
      <c r="DA739" s="11"/>
      <c r="DB739" s="11"/>
      <c r="DC739" s="11"/>
      <c r="DD739" s="11"/>
      <c r="DE739" s="11"/>
      <c r="DF739" s="11"/>
      <c r="DG739" s="11"/>
    </row>
    <row r="740" ht="15.75" customHeight="1">
      <c r="A740" s="41"/>
      <c r="B740" s="11"/>
      <c r="C740" s="11"/>
      <c r="D740" s="11"/>
      <c r="E740" s="11"/>
      <c r="F740" s="11"/>
      <c r="G740" s="11"/>
      <c r="H740" s="11"/>
      <c r="I740" s="41"/>
      <c r="J740" s="11"/>
      <c r="K740" s="11"/>
      <c r="L740" s="11"/>
      <c r="M740" s="11"/>
      <c r="N740" s="11"/>
      <c r="O740" s="11"/>
      <c r="P740" s="11"/>
      <c r="Q740" s="41"/>
      <c r="R740" s="11"/>
      <c r="S740" s="11"/>
      <c r="T740" s="11"/>
      <c r="U740" s="11"/>
      <c r="V740" s="11"/>
      <c r="W740" s="11"/>
      <c r="X740" s="11"/>
      <c r="Y740" s="4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11"/>
      <c r="CD740" s="11"/>
      <c r="CE740" s="11"/>
      <c r="CF740" s="11"/>
      <c r="CG740" s="11"/>
      <c r="CH740" s="11"/>
      <c r="CI740" s="11"/>
      <c r="CJ740" s="11"/>
      <c r="CK740" s="11"/>
      <c r="CL740" s="11"/>
      <c r="CM740" s="11"/>
      <c r="CN740" s="11"/>
      <c r="CO740" s="11"/>
      <c r="CP740" s="40"/>
      <c r="CQ740" s="40"/>
      <c r="CR740" s="40"/>
      <c r="CS740" s="40"/>
      <c r="CT740" s="40"/>
      <c r="CU740" s="40"/>
      <c r="CV740" s="40"/>
      <c r="CW740" s="40"/>
      <c r="CX740" s="40"/>
      <c r="CY740" s="40"/>
      <c r="CZ740" s="40"/>
      <c r="DA740" s="11"/>
      <c r="DB740" s="11"/>
      <c r="DC740" s="11"/>
      <c r="DD740" s="11"/>
      <c r="DE740" s="11"/>
      <c r="DF740" s="11"/>
      <c r="DG740" s="11"/>
    </row>
    <row r="741" ht="15.75" customHeight="1">
      <c r="A741" s="41"/>
      <c r="B741" s="11"/>
      <c r="C741" s="11"/>
      <c r="D741" s="11"/>
      <c r="E741" s="11"/>
      <c r="F741" s="11"/>
      <c r="G741" s="11"/>
      <c r="H741" s="11"/>
      <c r="I741" s="41"/>
      <c r="J741" s="11"/>
      <c r="K741" s="11"/>
      <c r="L741" s="11"/>
      <c r="M741" s="11"/>
      <c r="N741" s="11"/>
      <c r="O741" s="11"/>
      <c r="P741" s="11"/>
      <c r="Q741" s="41"/>
      <c r="R741" s="11"/>
      <c r="S741" s="11"/>
      <c r="T741" s="11"/>
      <c r="U741" s="11"/>
      <c r="V741" s="11"/>
      <c r="W741" s="11"/>
      <c r="X741" s="11"/>
      <c r="Y741" s="4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  <c r="CD741" s="11"/>
      <c r="CE741" s="11"/>
      <c r="CF741" s="11"/>
      <c r="CG741" s="11"/>
      <c r="CH741" s="11"/>
      <c r="CI741" s="11"/>
      <c r="CJ741" s="11"/>
      <c r="CK741" s="11"/>
      <c r="CL741" s="11"/>
      <c r="CM741" s="11"/>
      <c r="CN741" s="11"/>
      <c r="CO741" s="11"/>
      <c r="CP741" s="40"/>
      <c r="CQ741" s="40"/>
      <c r="CR741" s="40"/>
      <c r="CS741" s="40"/>
      <c r="CT741" s="40"/>
      <c r="CU741" s="40"/>
      <c r="CV741" s="40"/>
      <c r="CW741" s="40"/>
      <c r="CX741" s="40"/>
      <c r="CY741" s="40"/>
      <c r="CZ741" s="40"/>
      <c r="DA741" s="11"/>
      <c r="DB741" s="11"/>
      <c r="DC741" s="11"/>
      <c r="DD741" s="11"/>
      <c r="DE741" s="11"/>
      <c r="DF741" s="11"/>
      <c r="DG741" s="11"/>
    </row>
    <row r="742" ht="15.75" customHeight="1">
      <c r="A742" s="41"/>
      <c r="B742" s="11"/>
      <c r="C742" s="11"/>
      <c r="D742" s="11"/>
      <c r="E742" s="11"/>
      <c r="F742" s="11"/>
      <c r="G742" s="11"/>
      <c r="H742" s="11"/>
      <c r="I742" s="41"/>
      <c r="J742" s="11"/>
      <c r="K742" s="11"/>
      <c r="L742" s="11"/>
      <c r="M742" s="11"/>
      <c r="N742" s="11"/>
      <c r="O742" s="11"/>
      <c r="P742" s="11"/>
      <c r="Q742" s="41"/>
      <c r="R742" s="11"/>
      <c r="S742" s="11"/>
      <c r="T742" s="11"/>
      <c r="U742" s="11"/>
      <c r="V742" s="11"/>
      <c r="W742" s="11"/>
      <c r="X742" s="11"/>
      <c r="Y742" s="4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11"/>
      <c r="CD742" s="11"/>
      <c r="CE742" s="11"/>
      <c r="CF742" s="11"/>
      <c r="CG742" s="11"/>
      <c r="CH742" s="11"/>
      <c r="CI742" s="11"/>
      <c r="CJ742" s="11"/>
      <c r="CK742" s="11"/>
      <c r="CL742" s="11"/>
      <c r="CM742" s="11"/>
      <c r="CN742" s="11"/>
      <c r="CO742" s="11"/>
      <c r="CP742" s="40"/>
      <c r="CQ742" s="40"/>
      <c r="CR742" s="40"/>
      <c r="CS742" s="40"/>
      <c r="CT742" s="40"/>
      <c r="CU742" s="40"/>
      <c r="CV742" s="40"/>
      <c r="CW742" s="40"/>
      <c r="CX742" s="40"/>
      <c r="CY742" s="40"/>
      <c r="CZ742" s="40"/>
      <c r="DA742" s="11"/>
      <c r="DB742" s="11"/>
      <c r="DC742" s="11"/>
      <c r="DD742" s="11"/>
      <c r="DE742" s="11"/>
      <c r="DF742" s="11"/>
      <c r="DG742" s="11"/>
    </row>
    <row r="743" ht="15.75" customHeight="1">
      <c r="A743" s="41"/>
      <c r="B743" s="11"/>
      <c r="C743" s="11"/>
      <c r="D743" s="11"/>
      <c r="E743" s="11"/>
      <c r="F743" s="11"/>
      <c r="G743" s="11"/>
      <c r="H743" s="11"/>
      <c r="I743" s="41"/>
      <c r="J743" s="11"/>
      <c r="K743" s="11"/>
      <c r="L743" s="11"/>
      <c r="M743" s="11"/>
      <c r="N743" s="11"/>
      <c r="O743" s="11"/>
      <c r="P743" s="11"/>
      <c r="Q743" s="41"/>
      <c r="R743" s="11"/>
      <c r="S743" s="11"/>
      <c r="T743" s="11"/>
      <c r="U743" s="11"/>
      <c r="V743" s="11"/>
      <c r="W743" s="11"/>
      <c r="X743" s="11"/>
      <c r="Y743" s="4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  <c r="CC743" s="11"/>
      <c r="CD743" s="11"/>
      <c r="CE743" s="11"/>
      <c r="CF743" s="11"/>
      <c r="CG743" s="11"/>
      <c r="CH743" s="11"/>
      <c r="CI743" s="11"/>
      <c r="CJ743" s="11"/>
      <c r="CK743" s="11"/>
      <c r="CL743" s="11"/>
      <c r="CM743" s="11"/>
      <c r="CN743" s="11"/>
      <c r="CO743" s="11"/>
      <c r="CP743" s="40"/>
      <c r="CQ743" s="40"/>
      <c r="CR743" s="40"/>
      <c r="CS743" s="40"/>
      <c r="CT743" s="40"/>
      <c r="CU743" s="40"/>
      <c r="CV743" s="40"/>
      <c r="CW743" s="40"/>
      <c r="CX743" s="40"/>
      <c r="CY743" s="40"/>
      <c r="CZ743" s="40"/>
      <c r="DA743" s="11"/>
      <c r="DB743" s="11"/>
      <c r="DC743" s="11"/>
      <c r="DD743" s="11"/>
      <c r="DE743" s="11"/>
      <c r="DF743" s="11"/>
      <c r="DG743" s="11"/>
    </row>
    <row r="744" ht="15.75" customHeight="1">
      <c r="A744" s="41"/>
      <c r="B744" s="11"/>
      <c r="C744" s="11"/>
      <c r="D744" s="11"/>
      <c r="E744" s="11"/>
      <c r="F744" s="11"/>
      <c r="G744" s="11"/>
      <c r="H744" s="11"/>
      <c r="I744" s="41"/>
      <c r="J744" s="11"/>
      <c r="K744" s="11"/>
      <c r="L744" s="11"/>
      <c r="M744" s="11"/>
      <c r="N744" s="11"/>
      <c r="O744" s="11"/>
      <c r="P744" s="11"/>
      <c r="Q744" s="41"/>
      <c r="R744" s="11"/>
      <c r="S744" s="11"/>
      <c r="T744" s="11"/>
      <c r="U744" s="11"/>
      <c r="V744" s="11"/>
      <c r="W744" s="11"/>
      <c r="X744" s="11"/>
      <c r="Y744" s="4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40"/>
      <c r="CQ744" s="40"/>
      <c r="CR744" s="40"/>
      <c r="CS744" s="40"/>
      <c r="CT744" s="40"/>
      <c r="CU744" s="40"/>
      <c r="CV744" s="40"/>
      <c r="CW744" s="40"/>
      <c r="CX744" s="40"/>
      <c r="CY744" s="40"/>
      <c r="CZ744" s="40"/>
      <c r="DA744" s="11"/>
      <c r="DB744" s="11"/>
      <c r="DC744" s="11"/>
      <c r="DD744" s="11"/>
      <c r="DE744" s="11"/>
      <c r="DF744" s="11"/>
      <c r="DG744" s="11"/>
    </row>
    <row r="745" ht="15.75" customHeight="1">
      <c r="A745" s="41"/>
      <c r="B745" s="11"/>
      <c r="C745" s="11"/>
      <c r="D745" s="11"/>
      <c r="E745" s="11"/>
      <c r="F745" s="11"/>
      <c r="G745" s="11"/>
      <c r="H745" s="11"/>
      <c r="I745" s="41"/>
      <c r="J745" s="11"/>
      <c r="K745" s="11"/>
      <c r="L745" s="11"/>
      <c r="M745" s="11"/>
      <c r="N745" s="11"/>
      <c r="O745" s="11"/>
      <c r="P745" s="11"/>
      <c r="Q745" s="41"/>
      <c r="R745" s="11"/>
      <c r="S745" s="11"/>
      <c r="T745" s="11"/>
      <c r="U745" s="11"/>
      <c r="V745" s="11"/>
      <c r="W745" s="11"/>
      <c r="X745" s="11"/>
      <c r="Y745" s="4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40"/>
      <c r="CQ745" s="40"/>
      <c r="CR745" s="40"/>
      <c r="CS745" s="40"/>
      <c r="CT745" s="40"/>
      <c r="CU745" s="40"/>
      <c r="CV745" s="40"/>
      <c r="CW745" s="40"/>
      <c r="CX745" s="40"/>
      <c r="CY745" s="40"/>
      <c r="CZ745" s="40"/>
      <c r="DA745" s="11"/>
      <c r="DB745" s="11"/>
      <c r="DC745" s="11"/>
      <c r="DD745" s="11"/>
      <c r="DE745" s="11"/>
      <c r="DF745" s="11"/>
      <c r="DG745" s="11"/>
    </row>
    <row r="746" ht="15.75" customHeight="1">
      <c r="A746" s="41"/>
      <c r="B746" s="11"/>
      <c r="C746" s="11"/>
      <c r="D746" s="11"/>
      <c r="E746" s="11"/>
      <c r="F746" s="11"/>
      <c r="G746" s="11"/>
      <c r="H746" s="11"/>
      <c r="I746" s="41"/>
      <c r="J746" s="11"/>
      <c r="K746" s="11"/>
      <c r="L746" s="11"/>
      <c r="M746" s="11"/>
      <c r="N746" s="11"/>
      <c r="O746" s="11"/>
      <c r="P746" s="11"/>
      <c r="Q746" s="41"/>
      <c r="R746" s="11"/>
      <c r="S746" s="11"/>
      <c r="T746" s="11"/>
      <c r="U746" s="11"/>
      <c r="V746" s="11"/>
      <c r="W746" s="11"/>
      <c r="X746" s="11"/>
      <c r="Y746" s="4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  <c r="CA746" s="11"/>
      <c r="CB746" s="11"/>
      <c r="CC746" s="11"/>
      <c r="CD746" s="11"/>
      <c r="CE746" s="11"/>
      <c r="CF746" s="11"/>
      <c r="CG746" s="11"/>
      <c r="CH746" s="11"/>
      <c r="CI746" s="11"/>
      <c r="CJ746" s="11"/>
      <c r="CK746" s="11"/>
      <c r="CL746" s="11"/>
      <c r="CM746" s="11"/>
      <c r="CN746" s="11"/>
      <c r="CO746" s="11"/>
      <c r="CP746" s="40"/>
      <c r="CQ746" s="40"/>
      <c r="CR746" s="40"/>
      <c r="CS746" s="40"/>
      <c r="CT746" s="40"/>
      <c r="CU746" s="40"/>
      <c r="CV746" s="40"/>
      <c r="CW746" s="40"/>
      <c r="CX746" s="40"/>
      <c r="CY746" s="40"/>
      <c r="CZ746" s="40"/>
      <c r="DA746" s="11"/>
      <c r="DB746" s="11"/>
      <c r="DC746" s="11"/>
      <c r="DD746" s="11"/>
      <c r="DE746" s="11"/>
      <c r="DF746" s="11"/>
      <c r="DG746" s="11"/>
    </row>
    <row r="747" ht="15.75" customHeight="1">
      <c r="A747" s="41"/>
      <c r="B747" s="11"/>
      <c r="C747" s="11"/>
      <c r="D747" s="11"/>
      <c r="E747" s="11"/>
      <c r="F747" s="11"/>
      <c r="G747" s="11"/>
      <c r="H747" s="11"/>
      <c r="I747" s="41"/>
      <c r="J747" s="11"/>
      <c r="K747" s="11"/>
      <c r="L747" s="11"/>
      <c r="M747" s="11"/>
      <c r="N747" s="11"/>
      <c r="O747" s="11"/>
      <c r="P747" s="11"/>
      <c r="Q747" s="41"/>
      <c r="R747" s="11"/>
      <c r="S747" s="11"/>
      <c r="T747" s="11"/>
      <c r="U747" s="11"/>
      <c r="V747" s="11"/>
      <c r="W747" s="11"/>
      <c r="X747" s="11"/>
      <c r="Y747" s="4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40"/>
      <c r="CQ747" s="40"/>
      <c r="CR747" s="40"/>
      <c r="CS747" s="40"/>
      <c r="CT747" s="40"/>
      <c r="CU747" s="40"/>
      <c r="CV747" s="40"/>
      <c r="CW747" s="40"/>
      <c r="CX747" s="40"/>
      <c r="CY747" s="40"/>
      <c r="CZ747" s="40"/>
      <c r="DA747" s="11"/>
      <c r="DB747" s="11"/>
      <c r="DC747" s="11"/>
      <c r="DD747" s="11"/>
      <c r="DE747" s="11"/>
      <c r="DF747" s="11"/>
      <c r="DG747" s="11"/>
    </row>
    <row r="748" ht="15.75" customHeight="1">
      <c r="A748" s="41"/>
      <c r="B748" s="11"/>
      <c r="C748" s="11"/>
      <c r="D748" s="11"/>
      <c r="E748" s="11"/>
      <c r="F748" s="11"/>
      <c r="G748" s="11"/>
      <c r="H748" s="11"/>
      <c r="I748" s="41"/>
      <c r="J748" s="11"/>
      <c r="K748" s="11"/>
      <c r="L748" s="11"/>
      <c r="M748" s="11"/>
      <c r="N748" s="11"/>
      <c r="O748" s="11"/>
      <c r="P748" s="11"/>
      <c r="Q748" s="41"/>
      <c r="R748" s="11"/>
      <c r="S748" s="11"/>
      <c r="T748" s="11"/>
      <c r="U748" s="11"/>
      <c r="V748" s="11"/>
      <c r="W748" s="11"/>
      <c r="X748" s="11"/>
      <c r="Y748" s="4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  <c r="CA748" s="11"/>
      <c r="CB748" s="11"/>
      <c r="CC748" s="11"/>
      <c r="CD748" s="11"/>
      <c r="CE748" s="11"/>
      <c r="CF748" s="11"/>
      <c r="CG748" s="11"/>
      <c r="CH748" s="11"/>
      <c r="CI748" s="11"/>
      <c r="CJ748" s="11"/>
      <c r="CK748" s="11"/>
      <c r="CL748" s="11"/>
      <c r="CM748" s="11"/>
      <c r="CN748" s="11"/>
      <c r="CO748" s="11"/>
      <c r="CP748" s="40"/>
      <c r="CQ748" s="40"/>
      <c r="CR748" s="40"/>
      <c r="CS748" s="40"/>
      <c r="CT748" s="40"/>
      <c r="CU748" s="40"/>
      <c r="CV748" s="40"/>
      <c r="CW748" s="40"/>
      <c r="CX748" s="40"/>
      <c r="CY748" s="40"/>
      <c r="CZ748" s="40"/>
      <c r="DA748" s="11"/>
      <c r="DB748" s="11"/>
      <c r="DC748" s="11"/>
      <c r="DD748" s="11"/>
      <c r="DE748" s="11"/>
      <c r="DF748" s="11"/>
      <c r="DG748" s="11"/>
    </row>
    <row r="749" ht="15.75" customHeight="1">
      <c r="A749" s="41"/>
      <c r="B749" s="11"/>
      <c r="C749" s="11"/>
      <c r="D749" s="11"/>
      <c r="E749" s="11"/>
      <c r="F749" s="11"/>
      <c r="G749" s="11"/>
      <c r="H749" s="11"/>
      <c r="I749" s="41"/>
      <c r="J749" s="11"/>
      <c r="K749" s="11"/>
      <c r="L749" s="11"/>
      <c r="M749" s="11"/>
      <c r="N749" s="11"/>
      <c r="O749" s="11"/>
      <c r="P749" s="11"/>
      <c r="Q749" s="41"/>
      <c r="R749" s="11"/>
      <c r="S749" s="11"/>
      <c r="T749" s="11"/>
      <c r="U749" s="11"/>
      <c r="V749" s="11"/>
      <c r="W749" s="11"/>
      <c r="X749" s="11"/>
      <c r="Y749" s="4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11"/>
      <c r="CD749" s="11"/>
      <c r="CE749" s="11"/>
      <c r="CF749" s="11"/>
      <c r="CG749" s="11"/>
      <c r="CH749" s="11"/>
      <c r="CI749" s="11"/>
      <c r="CJ749" s="11"/>
      <c r="CK749" s="11"/>
      <c r="CL749" s="11"/>
      <c r="CM749" s="11"/>
      <c r="CN749" s="11"/>
      <c r="CO749" s="11"/>
      <c r="CP749" s="40"/>
      <c r="CQ749" s="40"/>
      <c r="CR749" s="40"/>
      <c r="CS749" s="40"/>
      <c r="CT749" s="40"/>
      <c r="CU749" s="40"/>
      <c r="CV749" s="40"/>
      <c r="CW749" s="40"/>
      <c r="CX749" s="40"/>
      <c r="CY749" s="40"/>
      <c r="CZ749" s="40"/>
      <c r="DA749" s="11"/>
      <c r="DB749" s="11"/>
      <c r="DC749" s="11"/>
      <c r="DD749" s="11"/>
      <c r="DE749" s="11"/>
      <c r="DF749" s="11"/>
      <c r="DG749" s="11"/>
    </row>
    <row r="750" ht="15.75" customHeight="1">
      <c r="A750" s="41"/>
      <c r="B750" s="11"/>
      <c r="C750" s="11"/>
      <c r="D750" s="11"/>
      <c r="E750" s="11"/>
      <c r="F750" s="11"/>
      <c r="G750" s="11"/>
      <c r="H750" s="11"/>
      <c r="I750" s="41"/>
      <c r="J750" s="11"/>
      <c r="K750" s="11"/>
      <c r="L750" s="11"/>
      <c r="M750" s="11"/>
      <c r="N750" s="11"/>
      <c r="O750" s="11"/>
      <c r="P750" s="11"/>
      <c r="Q750" s="41"/>
      <c r="R750" s="11"/>
      <c r="S750" s="11"/>
      <c r="T750" s="11"/>
      <c r="U750" s="11"/>
      <c r="V750" s="11"/>
      <c r="W750" s="11"/>
      <c r="X750" s="11"/>
      <c r="Y750" s="4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40"/>
      <c r="CQ750" s="40"/>
      <c r="CR750" s="40"/>
      <c r="CS750" s="40"/>
      <c r="CT750" s="40"/>
      <c r="CU750" s="40"/>
      <c r="CV750" s="40"/>
      <c r="CW750" s="40"/>
      <c r="CX750" s="40"/>
      <c r="CY750" s="40"/>
      <c r="CZ750" s="40"/>
      <c r="DA750" s="11"/>
      <c r="DB750" s="11"/>
      <c r="DC750" s="11"/>
      <c r="DD750" s="11"/>
      <c r="DE750" s="11"/>
      <c r="DF750" s="11"/>
      <c r="DG750" s="11"/>
    </row>
    <row r="751" ht="15.75" customHeight="1">
      <c r="A751" s="41"/>
      <c r="B751" s="11"/>
      <c r="C751" s="11"/>
      <c r="D751" s="11"/>
      <c r="E751" s="11"/>
      <c r="F751" s="11"/>
      <c r="G751" s="11"/>
      <c r="H751" s="11"/>
      <c r="I751" s="41"/>
      <c r="J751" s="11"/>
      <c r="K751" s="11"/>
      <c r="L751" s="11"/>
      <c r="M751" s="11"/>
      <c r="N751" s="11"/>
      <c r="O751" s="11"/>
      <c r="P751" s="11"/>
      <c r="Q751" s="41"/>
      <c r="R751" s="11"/>
      <c r="S751" s="11"/>
      <c r="T751" s="11"/>
      <c r="U751" s="11"/>
      <c r="V751" s="11"/>
      <c r="W751" s="11"/>
      <c r="X751" s="11"/>
      <c r="Y751" s="4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  <c r="CD751" s="11"/>
      <c r="CE751" s="11"/>
      <c r="CF751" s="11"/>
      <c r="CG751" s="11"/>
      <c r="CH751" s="11"/>
      <c r="CI751" s="11"/>
      <c r="CJ751" s="11"/>
      <c r="CK751" s="11"/>
      <c r="CL751" s="11"/>
      <c r="CM751" s="11"/>
      <c r="CN751" s="11"/>
      <c r="CO751" s="11"/>
      <c r="CP751" s="40"/>
      <c r="CQ751" s="40"/>
      <c r="CR751" s="40"/>
      <c r="CS751" s="40"/>
      <c r="CT751" s="40"/>
      <c r="CU751" s="40"/>
      <c r="CV751" s="40"/>
      <c r="CW751" s="40"/>
      <c r="CX751" s="40"/>
      <c r="CY751" s="40"/>
      <c r="CZ751" s="40"/>
      <c r="DA751" s="11"/>
      <c r="DB751" s="11"/>
      <c r="DC751" s="11"/>
      <c r="DD751" s="11"/>
      <c r="DE751" s="11"/>
      <c r="DF751" s="11"/>
      <c r="DG751" s="11"/>
    </row>
    <row r="752" ht="15.75" customHeight="1">
      <c r="A752" s="41"/>
      <c r="B752" s="11"/>
      <c r="C752" s="11"/>
      <c r="D752" s="11"/>
      <c r="E752" s="11"/>
      <c r="F752" s="11"/>
      <c r="G752" s="11"/>
      <c r="H752" s="11"/>
      <c r="I752" s="41"/>
      <c r="J752" s="11"/>
      <c r="K752" s="11"/>
      <c r="L752" s="11"/>
      <c r="M752" s="11"/>
      <c r="N752" s="11"/>
      <c r="O752" s="11"/>
      <c r="P752" s="11"/>
      <c r="Q752" s="41"/>
      <c r="R752" s="11"/>
      <c r="S752" s="11"/>
      <c r="T752" s="11"/>
      <c r="U752" s="11"/>
      <c r="V752" s="11"/>
      <c r="W752" s="11"/>
      <c r="X752" s="11"/>
      <c r="Y752" s="4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11"/>
      <c r="CD752" s="11"/>
      <c r="CE752" s="11"/>
      <c r="CF752" s="11"/>
      <c r="CG752" s="11"/>
      <c r="CH752" s="11"/>
      <c r="CI752" s="11"/>
      <c r="CJ752" s="11"/>
      <c r="CK752" s="11"/>
      <c r="CL752" s="11"/>
      <c r="CM752" s="11"/>
      <c r="CN752" s="11"/>
      <c r="CO752" s="11"/>
      <c r="CP752" s="40"/>
      <c r="CQ752" s="40"/>
      <c r="CR752" s="40"/>
      <c r="CS752" s="40"/>
      <c r="CT752" s="40"/>
      <c r="CU752" s="40"/>
      <c r="CV752" s="40"/>
      <c r="CW752" s="40"/>
      <c r="CX752" s="40"/>
      <c r="CY752" s="40"/>
      <c r="CZ752" s="40"/>
      <c r="DA752" s="11"/>
      <c r="DB752" s="11"/>
      <c r="DC752" s="11"/>
      <c r="DD752" s="11"/>
      <c r="DE752" s="11"/>
      <c r="DF752" s="11"/>
      <c r="DG752" s="11"/>
    </row>
    <row r="753" ht="15.75" customHeight="1">
      <c r="A753" s="41"/>
      <c r="B753" s="11"/>
      <c r="C753" s="11"/>
      <c r="D753" s="11"/>
      <c r="E753" s="11"/>
      <c r="F753" s="11"/>
      <c r="G753" s="11"/>
      <c r="H753" s="11"/>
      <c r="I753" s="41"/>
      <c r="J753" s="11"/>
      <c r="K753" s="11"/>
      <c r="L753" s="11"/>
      <c r="M753" s="11"/>
      <c r="N753" s="11"/>
      <c r="O753" s="11"/>
      <c r="P753" s="11"/>
      <c r="Q753" s="41"/>
      <c r="R753" s="11"/>
      <c r="S753" s="11"/>
      <c r="T753" s="11"/>
      <c r="U753" s="11"/>
      <c r="V753" s="11"/>
      <c r="W753" s="11"/>
      <c r="X753" s="11"/>
      <c r="Y753" s="4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  <c r="CA753" s="11"/>
      <c r="CB753" s="11"/>
      <c r="CC753" s="11"/>
      <c r="CD753" s="11"/>
      <c r="CE753" s="11"/>
      <c r="CF753" s="11"/>
      <c r="CG753" s="11"/>
      <c r="CH753" s="11"/>
      <c r="CI753" s="11"/>
      <c r="CJ753" s="11"/>
      <c r="CK753" s="11"/>
      <c r="CL753" s="11"/>
      <c r="CM753" s="11"/>
      <c r="CN753" s="11"/>
      <c r="CO753" s="11"/>
      <c r="CP753" s="40"/>
      <c r="CQ753" s="40"/>
      <c r="CR753" s="40"/>
      <c r="CS753" s="40"/>
      <c r="CT753" s="40"/>
      <c r="CU753" s="40"/>
      <c r="CV753" s="40"/>
      <c r="CW753" s="40"/>
      <c r="CX753" s="40"/>
      <c r="CY753" s="40"/>
      <c r="CZ753" s="40"/>
      <c r="DA753" s="11"/>
      <c r="DB753" s="11"/>
      <c r="DC753" s="11"/>
      <c r="DD753" s="11"/>
      <c r="DE753" s="11"/>
      <c r="DF753" s="11"/>
      <c r="DG753" s="11"/>
    </row>
    <row r="754" ht="15.75" customHeight="1">
      <c r="A754" s="41"/>
      <c r="B754" s="11"/>
      <c r="C754" s="11"/>
      <c r="D754" s="11"/>
      <c r="E754" s="11"/>
      <c r="F754" s="11"/>
      <c r="G754" s="11"/>
      <c r="H754" s="11"/>
      <c r="I754" s="41"/>
      <c r="J754" s="11"/>
      <c r="K754" s="11"/>
      <c r="L754" s="11"/>
      <c r="M754" s="11"/>
      <c r="N754" s="11"/>
      <c r="O754" s="11"/>
      <c r="P754" s="11"/>
      <c r="Q754" s="41"/>
      <c r="R754" s="11"/>
      <c r="S754" s="11"/>
      <c r="T754" s="11"/>
      <c r="U754" s="11"/>
      <c r="V754" s="11"/>
      <c r="W754" s="11"/>
      <c r="X754" s="11"/>
      <c r="Y754" s="4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  <c r="CC754" s="11"/>
      <c r="CD754" s="11"/>
      <c r="CE754" s="11"/>
      <c r="CF754" s="11"/>
      <c r="CG754" s="11"/>
      <c r="CH754" s="11"/>
      <c r="CI754" s="11"/>
      <c r="CJ754" s="11"/>
      <c r="CK754" s="11"/>
      <c r="CL754" s="11"/>
      <c r="CM754" s="11"/>
      <c r="CN754" s="11"/>
      <c r="CO754" s="11"/>
      <c r="CP754" s="40"/>
      <c r="CQ754" s="40"/>
      <c r="CR754" s="40"/>
      <c r="CS754" s="40"/>
      <c r="CT754" s="40"/>
      <c r="CU754" s="40"/>
      <c r="CV754" s="40"/>
      <c r="CW754" s="40"/>
      <c r="CX754" s="40"/>
      <c r="CY754" s="40"/>
      <c r="CZ754" s="40"/>
      <c r="DA754" s="11"/>
      <c r="DB754" s="11"/>
      <c r="DC754" s="11"/>
      <c r="DD754" s="11"/>
      <c r="DE754" s="11"/>
      <c r="DF754" s="11"/>
      <c r="DG754" s="11"/>
    </row>
    <row r="755" ht="15.75" customHeight="1">
      <c r="A755" s="41"/>
      <c r="B755" s="11"/>
      <c r="C755" s="11"/>
      <c r="D755" s="11"/>
      <c r="E755" s="11"/>
      <c r="F755" s="11"/>
      <c r="G755" s="11"/>
      <c r="H755" s="11"/>
      <c r="I755" s="41"/>
      <c r="J755" s="11"/>
      <c r="K755" s="11"/>
      <c r="L755" s="11"/>
      <c r="M755" s="11"/>
      <c r="N755" s="11"/>
      <c r="O755" s="11"/>
      <c r="P755" s="11"/>
      <c r="Q755" s="41"/>
      <c r="R755" s="11"/>
      <c r="S755" s="11"/>
      <c r="T755" s="11"/>
      <c r="U755" s="11"/>
      <c r="V755" s="11"/>
      <c r="W755" s="11"/>
      <c r="X755" s="11"/>
      <c r="Y755" s="4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  <c r="CC755" s="11"/>
      <c r="CD755" s="11"/>
      <c r="CE755" s="11"/>
      <c r="CF755" s="11"/>
      <c r="CG755" s="11"/>
      <c r="CH755" s="11"/>
      <c r="CI755" s="11"/>
      <c r="CJ755" s="11"/>
      <c r="CK755" s="11"/>
      <c r="CL755" s="11"/>
      <c r="CM755" s="11"/>
      <c r="CN755" s="11"/>
      <c r="CO755" s="11"/>
      <c r="CP755" s="40"/>
      <c r="CQ755" s="40"/>
      <c r="CR755" s="40"/>
      <c r="CS755" s="40"/>
      <c r="CT755" s="40"/>
      <c r="CU755" s="40"/>
      <c r="CV755" s="40"/>
      <c r="CW755" s="40"/>
      <c r="CX755" s="40"/>
      <c r="CY755" s="40"/>
      <c r="CZ755" s="40"/>
      <c r="DA755" s="11"/>
      <c r="DB755" s="11"/>
      <c r="DC755" s="11"/>
      <c r="DD755" s="11"/>
      <c r="DE755" s="11"/>
      <c r="DF755" s="11"/>
      <c r="DG755" s="11"/>
    </row>
    <row r="756" ht="15.75" customHeight="1">
      <c r="A756" s="41"/>
      <c r="B756" s="11"/>
      <c r="C756" s="11"/>
      <c r="D756" s="11"/>
      <c r="E756" s="11"/>
      <c r="F756" s="11"/>
      <c r="G756" s="11"/>
      <c r="H756" s="11"/>
      <c r="I756" s="41"/>
      <c r="J756" s="11"/>
      <c r="K756" s="11"/>
      <c r="L756" s="11"/>
      <c r="M756" s="11"/>
      <c r="N756" s="11"/>
      <c r="O756" s="11"/>
      <c r="P756" s="11"/>
      <c r="Q756" s="41"/>
      <c r="R756" s="11"/>
      <c r="S756" s="11"/>
      <c r="T756" s="11"/>
      <c r="U756" s="11"/>
      <c r="V756" s="11"/>
      <c r="W756" s="11"/>
      <c r="X756" s="11"/>
      <c r="Y756" s="4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  <c r="CC756" s="11"/>
      <c r="CD756" s="11"/>
      <c r="CE756" s="11"/>
      <c r="CF756" s="11"/>
      <c r="CG756" s="11"/>
      <c r="CH756" s="11"/>
      <c r="CI756" s="11"/>
      <c r="CJ756" s="11"/>
      <c r="CK756" s="11"/>
      <c r="CL756" s="11"/>
      <c r="CM756" s="11"/>
      <c r="CN756" s="11"/>
      <c r="CO756" s="11"/>
      <c r="CP756" s="40"/>
      <c r="CQ756" s="40"/>
      <c r="CR756" s="40"/>
      <c r="CS756" s="40"/>
      <c r="CT756" s="40"/>
      <c r="CU756" s="40"/>
      <c r="CV756" s="40"/>
      <c r="CW756" s="40"/>
      <c r="CX756" s="40"/>
      <c r="CY756" s="40"/>
      <c r="CZ756" s="40"/>
      <c r="DA756" s="11"/>
      <c r="DB756" s="11"/>
      <c r="DC756" s="11"/>
      <c r="DD756" s="11"/>
      <c r="DE756" s="11"/>
      <c r="DF756" s="11"/>
      <c r="DG756" s="11"/>
    </row>
    <row r="757" ht="15.75" customHeight="1">
      <c r="A757" s="41"/>
      <c r="B757" s="11"/>
      <c r="C757" s="11"/>
      <c r="D757" s="11"/>
      <c r="E757" s="11"/>
      <c r="F757" s="11"/>
      <c r="G757" s="11"/>
      <c r="H757" s="11"/>
      <c r="I757" s="41"/>
      <c r="J757" s="11"/>
      <c r="K757" s="11"/>
      <c r="L757" s="11"/>
      <c r="M757" s="11"/>
      <c r="N757" s="11"/>
      <c r="O757" s="11"/>
      <c r="P757" s="11"/>
      <c r="Q757" s="41"/>
      <c r="R757" s="11"/>
      <c r="S757" s="11"/>
      <c r="T757" s="11"/>
      <c r="U757" s="11"/>
      <c r="V757" s="11"/>
      <c r="W757" s="11"/>
      <c r="X757" s="11"/>
      <c r="Y757" s="4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11"/>
      <c r="CD757" s="11"/>
      <c r="CE757" s="11"/>
      <c r="CF757" s="11"/>
      <c r="CG757" s="11"/>
      <c r="CH757" s="11"/>
      <c r="CI757" s="11"/>
      <c r="CJ757" s="11"/>
      <c r="CK757" s="11"/>
      <c r="CL757" s="11"/>
      <c r="CM757" s="11"/>
      <c r="CN757" s="11"/>
      <c r="CO757" s="11"/>
      <c r="CP757" s="40"/>
      <c r="CQ757" s="40"/>
      <c r="CR757" s="40"/>
      <c r="CS757" s="40"/>
      <c r="CT757" s="40"/>
      <c r="CU757" s="40"/>
      <c r="CV757" s="40"/>
      <c r="CW757" s="40"/>
      <c r="CX757" s="40"/>
      <c r="CY757" s="40"/>
      <c r="CZ757" s="40"/>
      <c r="DA757" s="11"/>
      <c r="DB757" s="11"/>
      <c r="DC757" s="11"/>
      <c r="DD757" s="11"/>
      <c r="DE757" s="11"/>
      <c r="DF757" s="11"/>
      <c r="DG757" s="11"/>
    </row>
    <row r="758" ht="15.75" customHeight="1">
      <c r="A758" s="41"/>
      <c r="B758" s="11"/>
      <c r="C758" s="11"/>
      <c r="D758" s="11"/>
      <c r="E758" s="11"/>
      <c r="F758" s="11"/>
      <c r="G758" s="11"/>
      <c r="H758" s="11"/>
      <c r="I758" s="41"/>
      <c r="J758" s="11"/>
      <c r="K758" s="11"/>
      <c r="L758" s="11"/>
      <c r="M758" s="11"/>
      <c r="N758" s="11"/>
      <c r="O758" s="11"/>
      <c r="P758" s="11"/>
      <c r="Q758" s="41"/>
      <c r="R758" s="11"/>
      <c r="S758" s="11"/>
      <c r="T758" s="11"/>
      <c r="U758" s="11"/>
      <c r="V758" s="11"/>
      <c r="W758" s="11"/>
      <c r="X758" s="11"/>
      <c r="Y758" s="4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11"/>
      <c r="CD758" s="11"/>
      <c r="CE758" s="11"/>
      <c r="CF758" s="11"/>
      <c r="CG758" s="11"/>
      <c r="CH758" s="11"/>
      <c r="CI758" s="11"/>
      <c r="CJ758" s="11"/>
      <c r="CK758" s="11"/>
      <c r="CL758" s="11"/>
      <c r="CM758" s="11"/>
      <c r="CN758" s="11"/>
      <c r="CO758" s="11"/>
      <c r="CP758" s="40"/>
      <c r="CQ758" s="40"/>
      <c r="CR758" s="40"/>
      <c r="CS758" s="40"/>
      <c r="CT758" s="40"/>
      <c r="CU758" s="40"/>
      <c r="CV758" s="40"/>
      <c r="CW758" s="40"/>
      <c r="CX758" s="40"/>
      <c r="CY758" s="40"/>
      <c r="CZ758" s="40"/>
      <c r="DA758" s="11"/>
      <c r="DB758" s="11"/>
      <c r="DC758" s="11"/>
      <c r="DD758" s="11"/>
      <c r="DE758" s="11"/>
      <c r="DF758" s="11"/>
      <c r="DG758" s="11"/>
    </row>
    <row r="759" ht="15.75" customHeight="1">
      <c r="A759" s="41"/>
      <c r="B759" s="11"/>
      <c r="C759" s="11"/>
      <c r="D759" s="11"/>
      <c r="E759" s="11"/>
      <c r="F759" s="11"/>
      <c r="G759" s="11"/>
      <c r="H759" s="11"/>
      <c r="I759" s="41"/>
      <c r="J759" s="11"/>
      <c r="K759" s="11"/>
      <c r="L759" s="11"/>
      <c r="M759" s="11"/>
      <c r="N759" s="11"/>
      <c r="O759" s="11"/>
      <c r="P759" s="11"/>
      <c r="Q759" s="41"/>
      <c r="R759" s="11"/>
      <c r="S759" s="11"/>
      <c r="T759" s="11"/>
      <c r="U759" s="11"/>
      <c r="V759" s="11"/>
      <c r="W759" s="11"/>
      <c r="X759" s="11"/>
      <c r="Y759" s="4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  <c r="CC759" s="11"/>
      <c r="CD759" s="11"/>
      <c r="CE759" s="11"/>
      <c r="CF759" s="11"/>
      <c r="CG759" s="11"/>
      <c r="CH759" s="11"/>
      <c r="CI759" s="11"/>
      <c r="CJ759" s="11"/>
      <c r="CK759" s="11"/>
      <c r="CL759" s="11"/>
      <c r="CM759" s="11"/>
      <c r="CN759" s="11"/>
      <c r="CO759" s="11"/>
      <c r="CP759" s="40"/>
      <c r="CQ759" s="40"/>
      <c r="CR759" s="40"/>
      <c r="CS759" s="40"/>
      <c r="CT759" s="40"/>
      <c r="CU759" s="40"/>
      <c r="CV759" s="40"/>
      <c r="CW759" s="40"/>
      <c r="CX759" s="40"/>
      <c r="CY759" s="40"/>
      <c r="CZ759" s="40"/>
      <c r="DA759" s="11"/>
      <c r="DB759" s="11"/>
      <c r="DC759" s="11"/>
      <c r="DD759" s="11"/>
      <c r="DE759" s="11"/>
      <c r="DF759" s="11"/>
      <c r="DG759" s="11"/>
    </row>
    <row r="760" ht="15.75" customHeight="1">
      <c r="A760" s="41"/>
      <c r="B760" s="11"/>
      <c r="C760" s="11"/>
      <c r="D760" s="11"/>
      <c r="E760" s="11"/>
      <c r="F760" s="11"/>
      <c r="G760" s="11"/>
      <c r="H760" s="11"/>
      <c r="I760" s="41"/>
      <c r="J760" s="11"/>
      <c r="K760" s="11"/>
      <c r="L760" s="11"/>
      <c r="M760" s="11"/>
      <c r="N760" s="11"/>
      <c r="O760" s="11"/>
      <c r="P760" s="11"/>
      <c r="Q760" s="41"/>
      <c r="R760" s="11"/>
      <c r="S760" s="11"/>
      <c r="T760" s="11"/>
      <c r="U760" s="11"/>
      <c r="V760" s="11"/>
      <c r="W760" s="11"/>
      <c r="X760" s="11"/>
      <c r="Y760" s="4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  <c r="CC760" s="11"/>
      <c r="CD760" s="11"/>
      <c r="CE760" s="11"/>
      <c r="CF760" s="11"/>
      <c r="CG760" s="11"/>
      <c r="CH760" s="11"/>
      <c r="CI760" s="11"/>
      <c r="CJ760" s="11"/>
      <c r="CK760" s="11"/>
      <c r="CL760" s="11"/>
      <c r="CM760" s="11"/>
      <c r="CN760" s="11"/>
      <c r="CO760" s="11"/>
      <c r="CP760" s="40"/>
      <c r="CQ760" s="40"/>
      <c r="CR760" s="40"/>
      <c r="CS760" s="40"/>
      <c r="CT760" s="40"/>
      <c r="CU760" s="40"/>
      <c r="CV760" s="40"/>
      <c r="CW760" s="40"/>
      <c r="CX760" s="40"/>
      <c r="CY760" s="40"/>
      <c r="CZ760" s="40"/>
      <c r="DA760" s="11"/>
      <c r="DB760" s="11"/>
      <c r="DC760" s="11"/>
      <c r="DD760" s="11"/>
      <c r="DE760" s="11"/>
      <c r="DF760" s="11"/>
      <c r="DG760" s="11"/>
    </row>
    <row r="761" ht="15.75" customHeight="1">
      <c r="A761" s="41"/>
      <c r="B761" s="11"/>
      <c r="C761" s="11"/>
      <c r="D761" s="11"/>
      <c r="E761" s="11"/>
      <c r="F761" s="11"/>
      <c r="G761" s="11"/>
      <c r="H761" s="11"/>
      <c r="I761" s="41"/>
      <c r="J761" s="11"/>
      <c r="K761" s="11"/>
      <c r="L761" s="11"/>
      <c r="M761" s="11"/>
      <c r="N761" s="11"/>
      <c r="O761" s="11"/>
      <c r="P761" s="11"/>
      <c r="Q761" s="41"/>
      <c r="R761" s="11"/>
      <c r="S761" s="11"/>
      <c r="T761" s="11"/>
      <c r="U761" s="11"/>
      <c r="V761" s="11"/>
      <c r="W761" s="11"/>
      <c r="X761" s="11"/>
      <c r="Y761" s="4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  <c r="CC761" s="11"/>
      <c r="CD761" s="11"/>
      <c r="CE761" s="11"/>
      <c r="CF761" s="11"/>
      <c r="CG761" s="11"/>
      <c r="CH761" s="11"/>
      <c r="CI761" s="11"/>
      <c r="CJ761" s="11"/>
      <c r="CK761" s="11"/>
      <c r="CL761" s="11"/>
      <c r="CM761" s="11"/>
      <c r="CN761" s="11"/>
      <c r="CO761" s="11"/>
      <c r="CP761" s="40"/>
      <c r="CQ761" s="40"/>
      <c r="CR761" s="40"/>
      <c r="CS761" s="40"/>
      <c r="CT761" s="40"/>
      <c r="CU761" s="40"/>
      <c r="CV761" s="40"/>
      <c r="CW761" s="40"/>
      <c r="CX761" s="40"/>
      <c r="CY761" s="40"/>
      <c r="CZ761" s="40"/>
      <c r="DA761" s="11"/>
      <c r="DB761" s="11"/>
      <c r="DC761" s="11"/>
      <c r="DD761" s="11"/>
      <c r="DE761" s="11"/>
      <c r="DF761" s="11"/>
      <c r="DG761" s="11"/>
    </row>
    <row r="762" ht="15.75" customHeight="1">
      <c r="A762" s="41"/>
      <c r="B762" s="11"/>
      <c r="C762" s="11"/>
      <c r="D762" s="11"/>
      <c r="E762" s="11"/>
      <c r="F762" s="11"/>
      <c r="G762" s="11"/>
      <c r="H762" s="11"/>
      <c r="I762" s="41"/>
      <c r="J762" s="11"/>
      <c r="K762" s="11"/>
      <c r="L762" s="11"/>
      <c r="M762" s="11"/>
      <c r="N762" s="11"/>
      <c r="O762" s="11"/>
      <c r="P762" s="11"/>
      <c r="Q762" s="41"/>
      <c r="R762" s="11"/>
      <c r="S762" s="11"/>
      <c r="T762" s="11"/>
      <c r="U762" s="11"/>
      <c r="V762" s="11"/>
      <c r="W762" s="11"/>
      <c r="X762" s="11"/>
      <c r="Y762" s="4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11"/>
      <c r="CD762" s="11"/>
      <c r="CE762" s="11"/>
      <c r="CF762" s="11"/>
      <c r="CG762" s="11"/>
      <c r="CH762" s="11"/>
      <c r="CI762" s="11"/>
      <c r="CJ762" s="11"/>
      <c r="CK762" s="11"/>
      <c r="CL762" s="11"/>
      <c r="CM762" s="11"/>
      <c r="CN762" s="11"/>
      <c r="CO762" s="11"/>
      <c r="CP762" s="40"/>
      <c r="CQ762" s="40"/>
      <c r="CR762" s="40"/>
      <c r="CS762" s="40"/>
      <c r="CT762" s="40"/>
      <c r="CU762" s="40"/>
      <c r="CV762" s="40"/>
      <c r="CW762" s="40"/>
      <c r="CX762" s="40"/>
      <c r="CY762" s="40"/>
      <c r="CZ762" s="40"/>
      <c r="DA762" s="11"/>
      <c r="DB762" s="11"/>
      <c r="DC762" s="11"/>
      <c r="DD762" s="11"/>
      <c r="DE762" s="11"/>
      <c r="DF762" s="11"/>
      <c r="DG762" s="11"/>
    </row>
    <row r="763" ht="15.75" customHeight="1">
      <c r="A763" s="41"/>
      <c r="B763" s="11"/>
      <c r="C763" s="11"/>
      <c r="D763" s="11"/>
      <c r="E763" s="11"/>
      <c r="F763" s="11"/>
      <c r="G763" s="11"/>
      <c r="H763" s="11"/>
      <c r="I763" s="41"/>
      <c r="J763" s="11"/>
      <c r="K763" s="11"/>
      <c r="L763" s="11"/>
      <c r="M763" s="11"/>
      <c r="N763" s="11"/>
      <c r="O763" s="11"/>
      <c r="P763" s="11"/>
      <c r="Q763" s="41"/>
      <c r="R763" s="11"/>
      <c r="S763" s="11"/>
      <c r="T763" s="11"/>
      <c r="U763" s="11"/>
      <c r="V763" s="11"/>
      <c r="W763" s="11"/>
      <c r="X763" s="11"/>
      <c r="Y763" s="4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B763" s="11"/>
      <c r="CC763" s="11"/>
      <c r="CD763" s="11"/>
      <c r="CE763" s="11"/>
      <c r="CF763" s="11"/>
      <c r="CG763" s="11"/>
      <c r="CH763" s="11"/>
      <c r="CI763" s="11"/>
      <c r="CJ763" s="11"/>
      <c r="CK763" s="11"/>
      <c r="CL763" s="11"/>
      <c r="CM763" s="11"/>
      <c r="CN763" s="11"/>
      <c r="CO763" s="11"/>
      <c r="CP763" s="40"/>
      <c r="CQ763" s="40"/>
      <c r="CR763" s="40"/>
      <c r="CS763" s="40"/>
      <c r="CT763" s="40"/>
      <c r="CU763" s="40"/>
      <c r="CV763" s="40"/>
      <c r="CW763" s="40"/>
      <c r="CX763" s="40"/>
      <c r="CY763" s="40"/>
      <c r="CZ763" s="40"/>
      <c r="DA763" s="11"/>
      <c r="DB763" s="11"/>
      <c r="DC763" s="11"/>
      <c r="DD763" s="11"/>
      <c r="DE763" s="11"/>
      <c r="DF763" s="11"/>
      <c r="DG763" s="11"/>
    </row>
    <row r="764" ht="15.75" customHeight="1">
      <c r="A764" s="41"/>
      <c r="B764" s="11"/>
      <c r="C764" s="11"/>
      <c r="D764" s="11"/>
      <c r="E764" s="11"/>
      <c r="F764" s="11"/>
      <c r="G764" s="11"/>
      <c r="H764" s="11"/>
      <c r="I764" s="41"/>
      <c r="J764" s="11"/>
      <c r="K764" s="11"/>
      <c r="L764" s="11"/>
      <c r="M764" s="11"/>
      <c r="N764" s="11"/>
      <c r="O764" s="11"/>
      <c r="P764" s="11"/>
      <c r="Q764" s="41"/>
      <c r="R764" s="11"/>
      <c r="S764" s="11"/>
      <c r="T764" s="11"/>
      <c r="U764" s="11"/>
      <c r="V764" s="11"/>
      <c r="W764" s="11"/>
      <c r="X764" s="11"/>
      <c r="Y764" s="4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  <c r="CC764" s="11"/>
      <c r="CD764" s="11"/>
      <c r="CE764" s="11"/>
      <c r="CF764" s="11"/>
      <c r="CG764" s="11"/>
      <c r="CH764" s="11"/>
      <c r="CI764" s="11"/>
      <c r="CJ764" s="11"/>
      <c r="CK764" s="11"/>
      <c r="CL764" s="11"/>
      <c r="CM764" s="11"/>
      <c r="CN764" s="11"/>
      <c r="CO764" s="11"/>
      <c r="CP764" s="40"/>
      <c r="CQ764" s="40"/>
      <c r="CR764" s="40"/>
      <c r="CS764" s="40"/>
      <c r="CT764" s="40"/>
      <c r="CU764" s="40"/>
      <c r="CV764" s="40"/>
      <c r="CW764" s="40"/>
      <c r="CX764" s="40"/>
      <c r="CY764" s="40"/>
      <c r="CZ764" s="40"/>
      <c r="DA764" s="11"/>
      <c r="DB764" s="11"/>
      <c r="DC764" s="11"/>
      <c r="DD764" s="11"/>
      <c r="DE764" s="11"/>
      <c r="DF764" s="11"/>
      <c r="DG764" s="11"/>
    </row>
    <row r="765" ht="15.75" customHeight="1">
      <c r="A765" s="41"/>
      <c r="B765" s="11"/>
      <c r="C765" s="11"/>
      <c r="D765" s="11"/>
      <c r="E765" s="11"/>
      <c r="F765" s="11"/>
      <c r="G765" s="11"/>
      <c r="H765" s="11"/>
      <c r="I765" s="41"/>
      <c r="J765" s="11"/>
      <c r="K765" s="11"/>
      <c r="L765" s="11"/>
      <c r="M765" s="11"/>
      <c r="N765" s="11"/>
      <c r="O765" s="11"/>
      <c r="P765" s="11"/>
      <c r="Q765" s="41"/>
      <c r="R765" s="11"/>
      <c r="S765" s="11"/>
      <c r="T765" s="11"/>
      <c r="U765" s="11"/>
      <c r="V765" s="11"/>
      <c r="W765" s="11"/>
      <c r="X765" s="11"/>
      <c r="Y765" s="4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  <c r="CC765" s="11"/>
      <c r="CD765" s="11"/>
      <c r="CE765" s="11"/>
      <c r="CF765" s="11"/>
      <c r="CG765" s="11"/>
      <c r="CH765" s="11"/>
      <c r="CI765" s="11"/>
      <c r="CJ765" s="11"/>
      <c r="CK765" s="11"/>
      <c r="CL765" s="11"/>
      <c r="CM765" s="11"/>
      <c r="CN765" s="11"/>
      <c r="CO765" s="11"/>
      <c r="CP765" s="40"/>
      <c r="CQ765" s="40"/>
      <c r="CR765" s="40"/>
      <c r="CS765" s="40"/>
      <c r="CT765" s="40"/>
      <c r="CU765" s="40"/>
      <c r="CV765" s="40"/>
      <c r="CW765" s="40"/>
      <c r="CX765" s="40"/>
      <c r="CY765" s="40"/>
      <c r="CZ765" s="40"/>
      <c r="DA765" s="11"/>
      <c r="DB765" s="11"/>
      <c r="DC765" s="11"/>
      <c r="DD765" s="11"/>
      <c r="DE765" s="11"/>
      <c r="DF765" s="11"/>
      <c r="DG765" s="11"/>
    </row>
    <row r="766" ht="15.75" customHeight="1">
      <c r="A766" s="41"/>
      <c r="B766" s="11"/>
      <c r="C766" s="11"/>
      <c r="D766" s="11"/>
      <c r="E766" s="11"/>
      <c r="F766" s="11"/>
      <c r="G766" s="11"/>
      <c r="H766" s="11"/>
      <c r="I766" s="41"/>
      <c r="J766" s="11"/>
      <c r="K766" s="11"/>
      <c r="L766" s="11"/>
      <c r="M766" s="11"/>
      <c r="N766" s="11"/>
      <c r="O766" s="11"/>
      <c r="P766" s="11"/>
      <c r="Q766" s="41"/>
      <c r="R766" s="11"/>
      <c r="S766" s="11"/>
      <c r="T766" s="11"/>
      <c r="U766" s="11"/>
      <c r="V766" s="11"/>
      <c r="W766" s="11"/>
      <c r="X766" s="11"/>
      <c r="Y766" s="4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  <c r="CC766" s="11"/>
      <c r="CD766" s="11"/>
      <c r="CE766" s="11"/>
      <c r="CF766" s="11"/>
      <c r="CG766" s="11"/>
      <c r="CH766" s="11"/>
      <c r="CI766" s="11"/>
      <c r="CJ766" s="11"/>
      <c r="CK766" s="11"/>
      <c r="CL766" s="11"/>
      <c r="CM766" s="11"/>
      <c r="CN766" s="11"/>
      <c r="CO766" s="11"/>
      <c r="CP766" s="40"/>
      <c r="CQ766" s="40"/>
      <c r="CR766" s="40"/>
      <c r="CS766" s="40"/>
      <c r="CT766" s="40"/>
      <c r="CU766" s="40"/>
      <c r="CV766" s="40"/>
      <c r="CW766" s="40"/>
      <c r="CX766" s="40"/>
      <c r="CY766" s="40"/>
      <c r="CZ766" s="40"/>
      <c r="DA766" s="11"/>
      <c r="DB766" s="11"/>
      <c r="DC766" s="11"/>
      <c r="DD766" s="11"/>
      <c r="DE766" s="11"/>
      <c r="DF766" s="11"/>
      <c r="DG766" s="11"/>
    </row>
    <row r="767" ht="15.75" customHeight="1">
      <c r="A767" s="41"/>
      <c r="B767" s="11"/>
      <c r="C767" s="11"/>
      <c r="D767" s="11"/>
      <c r="E767" s="11"/>
      <c r="F767" s="11"/>
      <c r="G767" s="11"/>
      <c r="H767" s="11"/>
      <c r="I767" s="41"/>
      <c r="J767" s="11"/>
      <c r="K767" s="11"/>
      <c r="L767" s="11"/>
      <c r="M767" s="11"/>
      <c r="N767" s="11"/>
      <c r="O767" s="11"/>
      <c r="P767" s="11"/>
      <c r="Q767" s="41"/>
      <c r="R767" s="11"/>
      <c r="S767" s="11"/>
      <c r="T767" s="11"/>
      <c r="U767" s="11"/>
      <c r="V767" s="11"/>
      <c r="W767" s="11"/>
      <c r="X767" s="11"/>
      <c r="Y767" s="4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  <c r="CD767" s="11"/>
      <c r="CE767" s="11"/>
      <c r="CF767" s="11"/>
      <c r="CG767" s="11"/>
      <c r="CH767" s="11"/>
      <c r="CI767" s="11"/>
      <c r="CJ767" s="11"/>
      <c r="CK767" s="11"/>
      <c r="CL767" s="11"/>
      <c r="CM767" s="11"/>
      <c r="CN767" s="11"/>
      <c r="CO767" s="11"/>
      <c r="CP767" s="40"/>
      <c r="CQ767" s="40"/>
      <c r="CR767" s="40"/>
      <c r="CS767" s="40"/>
      <c r="CT767" s="40"/>
      <c r="CU767" s="40"/>
      <c r="CV767" s="40"/>
      <c r="CW767" s="40"/>
      <c r="CX767" s="40"/>
      <c r="CY767" s="40"/>
      <c r="CZ767" s="40"/>
      <c r="DA767" s="11"/>
      <c r="DB767" s="11"/>
      <c r="DC767" s="11"/>
      <c r="DD767" s="11"/>
      <c r="DE767" s="11"/>
      <c r="DF767" s="11"/>
      <c r="DG767" s="11"/>
    </row>
    <row r="768" ht="15.75" customHeight="1">
      <c r="A768" s="41"/>
      <c r="B768" s="11"/>
      <c r="C768" s="11"/>
      <c r="D768" s="11"/>
      <c r="E768" s="11"/>
      <c r="F768" s="11"/>
      <c r="G768" s="11"/>
      <c r="H768" s="11"/>
      <c r="I768" s="41"/>
      <c r="J768" s="11"/>
      <c r="K768" s="11"/>
      <c r="L768" s="11"/>
      <c r="M768" s="11"/>
      <c r="N768" s="11"/>
      <c r="O768" s="11"/>
      <c r="P768" s="11"/>
      <c r="Q768" s="41"/>
      <c r="R768" s="11"/>
      <c r="S768" s="11"/>
      <c r="T768" s="11"/>
      <c r="U768" s="11"/>
      <c r="V768" s="11"/>
      <c r="W768" s="11"/>
      <c r="X768" s="11"/>
      <c r="Y768" s="4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11"/>
      <c r="CD768" s="11"/>
      <c r="CE768" s="11"/>
      <c r="CF768" s="11"/>
      <c r="CG768" s="11"/>
      <c r="CH768" s="11"/>
      <c r="CI768" s="11"/>
      <c r="CJ768" s="11"/>
      <c r="CK768" s="11"/>
      <c r="CL768" s="11"/>
      <c r="CM768" s="11"/>
      <c r="CN768" s="11"/>
      <c r="CO768" s="11"/>
      <c r="CP768" s="40"/>
      <c r="CQ768" s="40"/>
      <c r="CR768" s="40"/>
      <c r="CS768" s="40"/>
      <c r="CT768" s="40"/>
      <c r="CU768" s="40"/>
      <c r="CV768" s="40"/>
      <c r="CW768" s="40"/>
      <c r="CX768" s="40"/>
      <c r="CY768" s="40"/>
      <c r="CZ768" s="40"/>
      <c r="DA768" s="11"/>
      <c r="DB768" s="11"/>
      <c r="DC768" s="11"/>
      <c r="DD768" s="11"/>
      <c r="DE768" s="11"/>
      <c r="DF768" s="11"/>
      <c r="DG768" s="11"/>
    </row>
    <row r="769" ht="15.75" customHeight="1">
      <c r="A769" s="41"/>
      <c r="B769" s="11"/>
      <c r="C769" s="11"/>
      <c r="D769" s="11"/>
      <c r="E769" s="11"/>
      <c r="F769" s="11"/>
      <c r="G769" s="11"/>
      <c r="H769" s="11"/>
      <c r="I769" s="41"/>
      <c r="J769" s="11"/>
      <c r="K769" s="11"/>
      <c r="L769" s="11"/>
      <c r="M769" s="11"/>
      <c r="N769" s="11"/>
      <c r="O769" s="11"/>
      <c r="P769" s="11"/>
      <c r="Q769" s="41"/>
      <c r="R769" s="11"/>
      <c r="S769" s="11"/>
      <c r="T769" s="11"/>
      <c r="U769" s="11"/>
      <c r="V769" s="11"/>
      <c r="W769" s="11"/>
      <c r="X769" s="11"/>
      <c r="Y769" s="4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  <c r="CC769" s="11"/>
      <c r="CD769" s="11"/>
      <c r="CE769" s="11"/>
      <c r="CF769" s="11"/>
      <c r="CG769" s="11"/>
      <c r="CH769" s="11"/>
      <c r="CI769" s="11"/>
      <c r="CJ769" s="11"/>
      <c r="CK769" s="11"/>
      <c r="CL769" s="11"/>
      <c r="CM769" s="11"/>
      <c r="CN769" s="11"/>
      <c r="CO769" s="11"/>
      <c r="CP769" s="40"/>
      <c r="CQ769" s="40"/>
      <c r="CR769" s="40"/>
      <c r="CS769" s="40"/>
      <c r="CT769" s="40"/>
      <c r="CU769" s="40"/>
      <c r="CV769" s="40"/>
      <c r="CW769" s="40"/>
      <c r="CX769" s="40"/>
      <c r="CY769" s="40"/>
      <c r="CZ769" s="40"/>
      <c r="DA769" s="11"/>
      <c r="DB769" s="11"/>
      <c r="DC769" s="11"/>
      <c r="DD769" s="11"/>
      <c r="DE769" s="11"/>
      <c r="DF769" s="11"/>
      <c r="DG769" s="11"/>
    </row>
    <row r="770" ht="15.75" customHeight="1">
      <c r="A770" s="41"/>
      <c r="B770" s="11"/>
      <c r="C770" s="11"/>
      <c r="D770" s="11"/>
      <c r="E770" s="11"/>
      <c r="F770" s="11"/>
      <c r="G770" s="11"/>
      <c r="H770" s="11"/>
      <c r="I770" s="41"/>
      <c r="J770" s="11"/>
      <c r="K770" s="11"/>
      <c r="L770" s="11"/>
      <c r="M770" s="11"/>
      <c r="N770" s="11"/>
      <c r="O770" s="11"/>
      <c r="P770" s="11"/>
      <c r="Q770" s="41"/>
      <c r="R770" s="11"/>
      <c r="S770" s="11"/>
      <c r="T770" s="11"/>
      <c r="U770" s="11"/>
      <c r="V770" s="11"/>
      <c r="W770" s="11"/>
      <c r="X770" s="11"/>
      <c r="Y770" s="4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  <c r="CC770" s="11"/>
      <c r="CD770" s="11"/>
      <c r="CE770" s="11"/>
      <c r="CF770" s="11"/>
      <c r="CG770" s="11"/>
      <c r="CH770" s="11"/>
      <c r="CI770" s="11"/>
      <c r="CJ770" s="11"/>
      <c r="CK770" s="11"/>
      <c r="CL770" s="11"/>
      <c r="CM770" s="11"/>
      <c r="CN770" s="11"/>
      <c r="CO770" s="11"/>
      <c r="CP770" s="40"/>
      <c r="CQ770" s="40"/>
      <c r="CR770" s="40"/>
      <c r="CS770" s="40"/>
      <c r="CT770" s="40"/>
      <c r="CU770" s="40"/>
      <c r="CV770" s="40"/>
      <c r="CW770" s="40"/>
      <c r="CX770" s="40"/>
      <c r="CY770" s="40"/>
      <c r="CZ770" s="40"/>
      <c r="DA770" s="11"/>
      <c r="DB770" s="11"/>
      <c r="DC770" s="11"/>
      <c r="DD770" s="11"/>
      <c r="DE770" s="11"/>
      <c r="DF770" s="11"/>
      <c r="DG770" s="11"/>
    </row>
    <row r="771" ht="15.75" customHeight="1">
      <c r="A771" s="41"/>
      <c r="B771" s="11"/>
      <c r="C771" s="11"/>
      <c r="D771" s="11"/>
      <c r="E771" s="11"/>
      <c r="F771" s="11"/>
      <c r="G771" s="11"/>
      <c r="H771" s="11"/>
      <c r="I771" s="41"/>
      <c r="J771" s="11"/>
      <c r="K771" s="11"/>
      <c r="L771" s="11"/>
      <c r="M771" s="11"/>
      <c r="N771" s="11"/>
      <c r="O771" s="11"/>
      <c r="P771" s="11"/>
      <c r="Q771" s="41"/>
      <c r="R771" s="11"/>
      <c r="S771" s="11"/>
      <c r="T771" s="11"/>
      <c r="U771" s="11"/>
      <c r="V771" s="11"/>
      <c r="W771" s="11"/>
      <c r="X771" s="11"/>
      <c r="Y771" s="4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  <c r="CA771" s="11"/>
      <c r="CB771" s="11"/>
      <c r="CC771" s="11"/>
      <c r="CD771" s="11"/>
      <c r="CE771" s="11"/>
      <c r="CF771" s="11"/>
      <c r="CG771" s="11"/>
      <c r="CH771" s="11"/>
      <c r="CI771" s="11"/>
      <c r="CJ771" s="11"/>
      <c r="CK771" s="11"/>
      <c r="CL771" s="11"/>
      <c r="CM771" s="11"/>
      <c r="CN771" s="11"/>
      <c r="CO771" s="11"/>
      <c r="CP771" s="40"/>
      <c r="CQ771" s="40"/>
      <c r="CR771" s="40"/>
      <c r="CS771" s="40"/>
      <c r="CT771" s="40"/>
      <c r="CU771" s="40"/>
      <c r="CV771" s="40"/>
      <c r="CW771" s="40"/>
      <c r="CX771" s="40"/>
      <c r="CY771" s="40"/>
      <c r="CZ771" s="40"/>
      <c r="DA771" s="11"/>
      <c r="DB771" s="11"/>
      <c r="DC771" s="11"/>
      <c r="DD771" s="11"/>
      <c r="DE771" s="11"/>
      <c r="DF771" s="11"/>
      <c r="DG771" s="11"/>
    </row>
    <row r="772" ht="15.75" customHeight="1">
      <c r="A772" s="41"/>
      <c r="B772" s="11"/>
      <c r="C772" s="11"/>
      <c r="D772" s="11"/>
      <c r="E772" s="11"/>
      <c r="F772" s="11"/>
      <c r="G772" s="11"/>
      <c r="H772" s="11"/>
      <c r="I772" s="41"/>
      <c r="J772" s="11"/>
      <c r="K772" s="11"/>
      <c r="L772" s="11"/>
      <c r="M772" s="11"/>
      <c r="N772" s="11"/>
      <c r="O772" s="11"/>
      <c r="P772" s="11"/>
      <c r="Q772" s="41"/>
      <c r="R772" s="11"/>
      <c r="S772" s="11"/>
      <c r="T772" s="11"/>
      <c r="U772" s="11"/>
      <c r="V772" s="11"/>
      <c r="W772" s="11"/>
      <c r="X772" s="11"/>
      <c r="Y772" s="4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  <c r="CA772" s="11"/>
      <c r="CB772" s="11"/>
      <c r="CC772" s="11"/>
      <c r="CD772" s="11"/>
      <c r="CE772" s="11"/>
      <c r="CF772" s="11"/>
      <c r="CG772" s="11"/>
      <c r="CH772" s="11"/>
      <c r="CI772" s="11"/>
      <c r="CJ772" s="11"/>
      <c r="CK772" s="11"/>
      <c r="CL772" s="11"/>
      <c r="CM772" s="11"/>
      <c r="CN772" s="11"/>
      <c r="CO772" s="11"/>
      <c r="CP772" s="40"/>
      <c r="CQ772" s="40"/>
      <c r="CR772" s="40"/>
      <c r="CS772" s="40"/>
      <c r="CT772" s="40"/>
      <c r="CU772" s="40"/>
      <c r="CV772" s="40"/>
      <c r="CW772" s="40"/>
      <c r="CX772" s="40"/>
      <c r="CY772" s="40"/>
      <c r="CZ772" s="40"/>
      <c r="DA772" s="11"/>
      <c r="DB772" s="11"/>
      <c r="DC772" s="11"/>
      <c r="DD772" s="11"/>
      <c r="DE772" s="11"/>
      <c r="DF772" s="11"/>
      <c r="DG772" s="11"/>
    </row>
    <row r="773" ht="15.75" customHeight="1">
      <c r="A773" s="41"/>
      <c r="B773" s="11"/>
      <c r="C773" s="11"/>
      <c r="D773" s="11"/>
      <c r="E773" s="11"/>
      <c r="F773" s="11"/>
      <c r="G773" s="11"/>
      <c r="H773" s="11"/>
      <c r="I773" s="41"/>
      <c r="J773" s="11"/>
      <c r="K773" s="11"/>
      <c r="L773" s="11"/>
      <c r="M773" s="11"/>
      <c r="N773" s="11"/>
      <c r="O773" s="11"/>
      <c r="P773" s="11"/>
      <c r="Q773" s="41"/>
      <c r="R773" s="11"/>
      <c r="S773" s="11"/>
      <c r="T773" s="11"/>
      <c r="U773" s="11"/>
      <c r="V773" s="11"/>
      <c r="W773" s="11"/>
      <c r="X773" s="11"/>
      <c r="Y773" s="4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11"/>
      <c r="CD773" s="11"/>
      <c r="CE773" s="11"/>
      <c r="CF773" s="11"/>
      <c r="CG773" s="11"/>
      <c r="CH773" s="11"/>
      <c r="CI773" s="11"/>
      <c r="CJ773" s="11"/>
      <c r="CK773" s="11"/>
      <c r="CL773" s="11"/>
      <c r="CM773" s="11"/>
      <c r="CN773" s="11"/>
      <c r="CO773" s="11"/>
      <c r="CP773" s="40"/>
      <c r="CQ773" s="40"/>
      <c r="CR773" s="40"/>
      <c r="CS773" s="40"/>
      <c r="CT773" s="40"/>
      <c r="CU773" s="40"/>
      <c r="CV773" s="40"/>
      <c r="CW773" s="40"/>
      <c r="CX773" s="40"/>
      <c r="CY773" s="40"/>
      <c r="CZ773" s="40"/>
      <c r="DA773" s="11"/>
      <c r="DB773" s="11"/>
      <c r="DC773" s="11"/>
      <c r="DD773" s="11"/>
      <c r="DE773" s="11"/>
      <c r="DF773" s="11"/>
      <c r="DG773" s="11"/>
    </row>
    <row r="774" ht="15.75" customHeight="1">
      <c r="A774" s="41"/>
      <c r="B774" s="11"/>
      <c r="C774" s="11"/>
      <c r="D774" s="11"/>
      <c r="E774" s="11"/>
      <c r="F774" s="11"/>
      <c r="G774" s="11"/>
      <c r="H774" s="11"/>
      <c r="I774" s="41"/>
      <c r="J774" s="11"/>
      <c r="K774" s="11"/>
      <c r="L774" s="11"/>
      <c r="M774" s="11"/>
      <c r="N774" s="11"/>
      <c r="O774" s="11"/>
      <c r="P774" s="11"/>
      <c r="Q774" s="41"/>
      <c r="R774" s="11"/>
      <c r="S774" s="11"/>
      <c r="T774" s="11"/>
      <c r="U774" s="11"/>
      <c r="V774" s="11"/>
      <c r="W774" s="11"/>
      <c r="X774" s="11"/>
      <c r="Y774" s="4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  <c r="CC774" s="11"/>
      <c r="CD774" s="11"/>
      <c r="CE774" s="11"/>
      <c r="CF774" s="11"/>
      <c r="CG774" s="11"/>
      <c r="CH774" s="11"/>
      <c r="CI774" s="11"/>
      <c r="CJ774" s="11"/>
      <c r="CK774" s="11"/>
      <c r="CL774" s="11"/>
      <c r="CM774" s="11"/>
      <c r="CN774" s="11"/>
      <c r="CO774" s="11"/>
      <c r="CP774" s="40"/>
      <c r="CQ774" s="40"/>
      <c r="CR774" s="40"/>
      <c r="CS774" s="40"/>
      <c r="CT774" s="40"/>
      <c r="CU774" s="40"/>
      <c r="CV774" s="40"/>
      <c r="CW774" s="40"/>
      <c r="CX774" s="40"/>
      <c r="CY774" s="40"/>
      <c r="CZ774" s="40"/>
      <c r="DA774" s="11"/>
      <c r="DB774" s="11"/>
      <c r="DC774" s="11"/>
      <c r="DD774" s="11"/>
      <c r="DE774" s="11"/>
      <c r="DF774" s="11"/>
      <c r="DG774" s="11"/>
    </row>
    <row r="775" ht="15.75" customHeight="1">
      <c r="A775" s="41"/>
      <c r="B775" s="11"/>
      <c r="C775" s="11"/>
      <c r="D775" s="11"/>
      <c r="E775" s="11"/>
      <c r="F775" s="11"/>
      <c r="G775" s="11"/>
      <c r="H775" s="11"/>
      <c r="I775" s="41"/>
      <c r="J775" s="11"/>
      <c r="K775" s="11"/>
      <c r="L775" s="11"/>
      <c r="M775" s="11"/>
      <c r="N775" s="11"/>
      <c r="O775" s="11"/>
      <c r="P775" s="11"/>
      <c r="Q775" s="41"/>
      <c r="R775" s="11"/>
      <c r="S775" s="11"/>
      <c r="T775" s="11"/>
      <c r="U775" s="11"/>
      <c r="V775" s="11"/>
      <c r="W775" s="11"/>
      <c r="X775" s="11"/>
      <c r="Y775" s="4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  <c r="CA775" s="11"/>
      <c r="CB775" s="11"/>
      <c r="CC775" s="11"/>
      <c r="CD775" s="11"/>
      <c r="CE775" s="11"/>
      <c r="CF775" s="11"/>
      <c r="CG775" s="11"/>
      <c r="CH775" s="11"/>
      <c r="CI775" s="11"/>
      <c r="CJ775" s="11"/>
      <c r="CK775" s="11"/>
      <c r="CL775" s="11"/>
      <c r="CM775" s="11"/>
      <c r="CN775" s="11"/>
      <c r="CO775" s="11"/>
      <c r="CP775" s="40"/>
      <c r="CQ775" s="40"/>
      <c r="CR775" s="40"/>
      <c r="CS775" s="40"/>
      <c r="CT775" s="40"/>
      <c r="CU775" s="40"/>
      <c r="CV775" s="40"/>
      <c r="CW775" s="40"/>
      <c r="CX775" s="40"/>
      <c r="CY775" s="40"/>
      <c r="CZ775" s="40"/>
      <c r="DA775" s="11"/>
      <c r="DB775" s="11"/>
      <c r="DC775" s="11"/>
      <c r="DD775" s="11"/>
      <c r="DE775" s="11"/>
      <c r="DF775" s="11"/>
      <c r="DG775" s="11"/>
    </row>
    <row r="776" ht="15.75" customHeight="1">
      <c r="A776" s="41"/>
      <c r="B776" s="11"/>
      <c r="C776" s="11"/>
      <c r="D776" s="11"/>
      <c r="E776" s="11"/>
      <c r="F776" s="11"/>
      <c r="G776" s="11"/>
      <c r="H776" s="11"/>
      <c r="I776" s="41"/>
      <c r="J776" s="11"/>
      <c r="K776" s="11"/>
      <c r="L776" s="11"/>
      <c r="M776" s="11"/>
      <c r="N776" s="11"/>
      <c r="O776" s="11"/>
      <c r="P776" s="11"/>
      <c r="Q776" s="41"/>
      <c r="R776" s="11"/>
      <c r="S776" s="11"/>
      <c r="T776" s="11"/>
      <c r="U776" s="11"/>
      <c r="V776" s="11"/>
      <c r="W776" s="11"/>
      <c r="X776" s="11"/>
      <c r="Y776" s="4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11"/>
      <c r="CD776" s="11"/>
      <c r="CE776" s="11"/>
      <c r="CF776" s="11"/>
      <c r="CG776" s="11"/>
      <c r="CH776" s="11"/>
      <c r="CI776" s="11"/>
      <c r="CJ776" s="11"/>
      <c r="CK776" s="11"/>
      <c r="CL776" s="11"/>
      <c r="CM776" s="11"/>
      <c r="CN776" s="11"/>
      <c r="CO776" s="11"/>
      <c r="CP776" s="40"/>
      <c r="CQ776" s="40"/>
      <c r="CR776" s="40"/>
      <c r="CS776" s="40"/>
      <c r="CT776" s="40"/>
      <c r="CU776" s="40"/>
      <c r="CV776" s="40"/>
      <c r="CW776" s="40"/>
      <c r="CX776" s="40"/>
      <c r="CY776" s="40"/>
      <c r="CZ776" s="40"/>
      <c r="DA776" s="11"/>
      <c r="DB776" s="11"/>
      <c r="DC776" s="11"/>
      <c r="DD776" s="11"/>
      <c r="DE776" s="11"/>
      <c r="DF776" s="11"/>
      <c r="DG776" s="11"/>
    </row>
    <row r="777" ht="15.75" customHeight="1">
      <c r="A777" s="41"/>
      <c r="B777" s="11"/>
      <c r="C777" s="11"/>
      <c r="D777" s="11"/>
      <c r="E777" s="11"/>
      <c r="F777" s="11"/>
      <c r="G777" s="11"/>
      <c r="H777" s="11"/>
      <c r="I777" s="41"/>
      <c r="J777" s="11"/>
      <c r="K777" s="11"/>
      <c r="L777" s="11"/>
      <c r="M777" s="11"/>
      <c r="N777" s="11"/>
      <c r="O777" s="11"/>
      <c r="P777" s="11"/>
      <c r="Q777" s="41"/>
      <c r="R777" s="11"/>
      <c r="S777" s="11"/>
      <c r="T777" s="11"/>
      <c r="U777" s="11"/>
      <c r="V777" s="11"/>
      <c r="W777" s="11"/>
      <c r="X777" s="11"/>
      <c r="Y777" s="4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  <c r="CC777" s="11"/>
      <c r="CD777" s="11"/>
      <c r="CE777" s="11"/>
      <c r="CF777" s="11"/>
      <c r="CG777" s="11"/>
      <c r="CH777" s="11"/>
      <c r="CI777" s="11"/>
      <c r="CJ777" s="11"/>
      <c r="CK777" s="11"/>
      <c r="CL777" s="11"/>
      <c r="CM777" s="11"/>
      <c r="CN777" s="11"/>
      <c r="CO777" s="11"/>
      <c r="CP777" s="40"/>
      <c r="CQ777" s="40"/>
      <c r="CR777" s="40"/>
      <c r="CS777" s="40"/>
      <c r="CT777" s="40"/>
      <c r="CU777" s="40"/>
      <c r="CV777" s="40"/>
      <c r="CW777" s="40"/>
      <c r="CX777" s="40"/>
      <c r="CY777" s="40"/>
      <c r="CZ777" s="40"/>
      <c r="DA777" s="11"/>
      <c r="DB777" s="11"/>
      <c r="DC777" s="11"/>
      <c r="DD777" s="11"/>
      <c r="DE777" s="11"/>
      <c r="DF777" s="11"/>
      <c r="DG777" s="11"/>
    </row>
    <row r="778" ht="15.75" customHeight="1">
      <c r="A778" s="41"/>
      <c r="B778" s="11"/>
      <c r="C778" s="11"/>
      <c r="D778" s="11"/>
      <c r="E778" s="11"/>
      <c r="F778" s="11"/>
      <c r="G778" s="11"/>
      <c r="H778" s="11"/>
      <c r="I778" s="41"/>
      <c r="J778" s="11"/>
      <c r="K778" s="11"/>
      <c r="L778" s="11"/>
      <c r="M778" s="11"/>
      <c r="N778" s="11"/>
      <c r="O778" s="11"/>
      <c r="P778" s="11"/>
      <c r="Q778" s="41"/>
      <c r="R778" s="11"/>
      <c r="S778" s="11"/>
      <c r="T778" s="11"/>
      <c r="U778" s="11"/>
      <c r="V778" s="11"/>
      <c r="W778" s="11"/>
      <c r="X778" s="11"/>
      <c r="Y778" s="4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  <c r="CC778" s="11"/>
      <c r="CD778" s="11"/>
      <c r="CE778" s="11"/>
      <c r="CF778" s="11"/>
      <c r="CG778" s="11"/>
      <c r="CH778" s="11"/>
      <c r="CI778" s="11"/>
      <c r="CJ778" s="11"/>
      <c r="CK778" s="11"/>
      <c r="CL778" s="11"/>
      <c r="CM778" s="11"/>
      <c r="CN778" s="11"/>
      <c r="CO778" s="11"/>
      <c r="CP778" s="40"/>
      <c r="CQ778" s="40"/>
      <c r="CR778" s="40"/>
      <c r="CS778" s="40"/>
      <c r="CT778" s="40"/>
      <c r="CU778" s="40"/>
      <c r="CV778" s="40"/>
      <c r="CW778" s="40"/>
      <c r="CX778" s="40"/>
      <c r="CY778" s="40"/>
      <c r="CZ778" s="40"/>
      <c r="DA778" s="11"/>
      <c r="DB778" s="11"/>
      <c r="DC778" s="11"/>
      <c r="DD778" s="11"/>
      <c r="DE778" s="11"/>
      <c r="DF778" s="11"/>
      <c r="DG778" s="11"/>
    </row>
    <row r="779" ht="15.75" customHeight="1">
      <c r="A779" s="41"/>
      <c r="B779" s="11"/>
      <c r="C779" s="11"/>
      <c r="D779" s="11"/>
      <c r="E779" s="11"/>
      <c r="F779" s="11"/>
      <c r="G779" s="11"/>
      <c r="H779" s="11"/>
      <c r="I779" s="41"/>
      <c r="J779" s="11"/>
      <c r="K779" s="11"/>
      <c r="L779" s="11"/>
      <c r="M779" s="11"/>
      <c r="N779" s="11"/>
      <c r="O779" s="11"/>
      <c r="P779" s="11"/>
      <c r="Q779" s="41"/>
      <c r="R779" s="11"/>
      <c r="S779" s="11"/>
      <c r="T779" s="11"/>
      <c r="U779" s="11"/>
      <c r="V779" s="11"/>
      <c r="W779" s="11"/>
      <c r="X779" s="11"/>
      <c r="Y779" s="4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  <c r="CA779" s="11"/>
      <c r="CB779" s="11"/>
      <c r="CC779" s="11"/>
      <c r="CD779" s="11"/>
      <c r="CE779" s="11"/>
      <c r="CF779" s="11"/>
      <c r="CG779" s="11"/>
      <c r="CH779" s="11"/>
      <c r="CI779" s="11"/>
      <c r="CJ779" s="11"/>
      <c r="CK779" s="11"/>
      <c r="CL779" s="11"/>
      <c r="CM779" s="11"/>
      <c r="CN779" s="11"/>
      <c r="CO779" s="11"/>
      <c r="CP779" s="40"/>
      <c r="CQ779" s="40"/>
      <c r="CR779" s="40"/>
      <c r="CS779" s="40"/>
      <c r="CT779" s="40"/>
      <c r="CU779" s="40"/>
      <c r="CV779" s="40"/>
      <c r="CW779" s="40"/>
      <c r="CX779" s="40"/>
      <c r="CY779" s="40"/>
      <c r="CZ779" s="40"/>
      <c r="DA779" s="11"/>
      <c r="DB779" s="11"/>
      <c r="DC779" s="11"/>
      <c r="DD779" s="11"/>
      <c r="DE779" s="11"/>
      <c r="DF779" s="11"/>
      <c r="DG779" s="11"/>
    </row>
    <row r="780" ht="15.75" customHeight="1">
      <c r="A780" s="41"/>
      <c r="B780" s="11"/>
      <c r="C780" s="11"/>
      <c r="D780" s="11"/>
      <c r="E780" s="11"/>
      <c r="F780" s="11"/>
      <c r="G780" s="11"/>
      <c r="H780" s="11"/>
      <c r="I780" s="41"/>
      <c r="J780" s="11"/>
      <c r="K780" s="11"/>
      <c r="L780" s="11"/>
      <c r="M780" s="11"/>
      <c r="N780" s="11"/>
      <c r="O780" s="11"/>
      <c r="P780" s="11"/>
      <c r="Q780" s="41"/>
      <c r="R780" s="11"/>
      <c r="S780" s="11"/>
      <c r="T780" s="11"/>
      <c r="U780" s="11"/>
      <c r="V780" s="11"/>
      <c r="W780" s="11"/>
      <c r="X780" s="11"/>
      <c r="Y780" s="4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  <c r="CD780" s="11"/>
      <c r="CE780" s="11"/>
      <c r="CF780" s="11"/>
      <c r="CG780" s="11"/>
      <c r="CH780" s="11"/>
      <c r="CI780" s="11"/>
      <c r="CJ780" s="11"/>
      <c r="CK780" s="11"/>
      <c r="CL780" s="11"/>
      <c r="CM780" s="11"/>
      <c r="CN780" s="11"/>
      <c r="CO780" s="11"/>
      <c r="CP780" s="40"/>
      <c r="CQ780" s="40"/>
      <c r="CR780" s="40"/>
      <c r="CS780" s="40"/>
      <c r="CT780" s="40"/>
      <c r="CU780" s="40"/>
      <c r="CV780" s="40"/>
      <c r="CW780" s="40"/>
      <c r="CX780" s="40"/>
      <c r="CY780" s="40"/>
      <c r="CZ780" s="40"/>
      <c r="DA780" s="11"/>
      <c r="DB780" s="11"/>
      <c r="DC780" s="11"/>
      <c r="DD780" s="11"/>
      <c r="DE780" s="11"/>
      <c r="DF780" s="11"/>
      <c r="DG780" s="11"/>
    </row>
    <row r="781" ht="15.75" customHeight="1">
      <c r="A781" s="41"/>
      <c r="B781" s="11"/>
      <c r="C781" s="11"/>
      <c r="D781" s="11"/>
      <c r="E781" s="11"/>
      <c r="F781" s="11"/>
      <c r="G781" s="11"/>
      <c r="H781" s="11"/>
      <c r="I781" s="41"/>
      <c r="J781" s="11"/>
      <c r="K781" s="11"/>
      <c r="L781" s="11"/>
      <c r="M781" s="11"/>
      <c r="N781" s="11"/>
      <c r="O781" s="11"/>
      <c r="P781" s="11"/>
      <c r="Q781" s="41"/>
      <c r="R781" s="11"/>
      <c r="S781" s="11"/>
      <c r="T781" s="11"/>
      <c r="U781" s="11"/>
      <c r="V781" s="11"/>
      <c r="W781" s="11"/>
      <c r="X781" s="11"/>
      <c r="Y781" s="4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  <c r="CC781" s="11"/>
      <c r="CD781" s="11"/>
      <c r="CE781" s="11"/>
      <c r="CF781" s="11"/>
      <c r="CG781" s="11"/>
      <c r="CH781" s="11"/>
      <c r="CI781" s="11"/>
      <c r="CJ781" s="11"/>
      <c r="CK781" s="11"/>
      <c r="CL781" s="11"/>
      <c r="CM781" s="11"/>
      <c r="CN781" s="11"/>
      <c r="CO781" s="11"/>
      <c r="CP781" s="40"/>
      <c r="CQ781" s="40"/>
      <c r="CR781" s="40"/>
      <c r="CS781" s="40"/>
      <c r="CT781" s="40"/>
      <c r="CU781" s="40"/>
      <c r="CV781" s="40"/>
      <c r="CW781" s="40"/>
      <c r="CX781" s="40"/>
      <c r="CY781" s="40"/>
      <c r="CZ781" s="40"/>
      <c r="DA781" s="11"/>
      <c r="DB781" s="11"/>
      <c r="DC781" s="11"/>
      <c r="DD781" s="11"/>
      <c r="DE781" s="11"/>
      <c r="DF781" s="11"/>
      <c r="DG781" s="11"/>
    </row>
    <row r="782" ht="15.75" customHeight="1">
      <c r="A782" s="41"/>
      <c r="B782" s="11"/>
      <c r="C782" s="11"/>
      <c r="D782" s="11"/>
      <c r="E782" s="11"/>
      <c r="F782" s="11"/>
      <c r="G782" s="11"/>
      <c r="H782" s="11"/>
      <c r="I782" s="41"/>
      <c r="J782" s="11"/>
      <c r="K782" s="11"/>
      <c r="L782" s="11"/>
      <c r="M782" s="11"/>
      <c r="N782" s="11"/>
      <c r="O782" s="11"/>
      <c r="P782" s="11"/>
      <c r="Q782" s="41"/>
      <c r="R782" s="11"/>
      <c r="S782" s="11"/>
      <c r="T782" s="11"/>
      <c r="U782" s="11"/>
      <c r="V782" s="11"/>
      <c r="W782" s="11"/>
      <c r="X782" s="11"/>
      <c r="Y782" s="4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  <c r="CA782" s="11"/>
      <c r="CB782" s="11"/>
      <c r="CC782" s="11"/>
      <c r="CD782" s="11"/>
      <c r="CE782" s="11"/>
      <c r="CF782" s="11"/>
      <c r="CG782" s="11"/>
      <c r="CH782" s="11"/>
      <c r="CI782" s="11"/>
      <c r="CJ782" s="11"/>
      <c r="CK782" s="11"/>
      <c r="CL782" s="11"/>
      <c r="CM782" s="11"/>
      <c r="CN782" s="11"/>
      <c r="CO782" s="11"/>
      <c r="CP782" s="40"/>
      <c r="CQ782" s="40"/>
      <c r="CR782" s="40"/>
      <c r="CS782" s="40"/>
      <c r="CT782" s="40"/>
      <c r="CU782" s="40"/>
      <c r="CV782" s="40"/>
      <c r="CW782" s="40"/>
      <c r="CX782" s="40"/>
      <c r="CY782" s="40"/>
      <c r="CZ782" s="40"/>
      <c r="DA782" s="11"/>
      <c r="DB782" s="11"/>
      <c r="DC782" s="11"/>
      <c r="DD782" s="11"/>
      <c r="DE782" s="11"/>
      <c r="DF782" s="11"/>
      <c r="DG782" s="11"/>
    </row>
    <row r="783" ht="15.75" customHeight="1">
      <c r="A783" s="41"/>
      <c r="B783" s="11"/>
      <c r="C783" s="11"/>
      <c r="D783" s="11"/>
      <c r="E783" s="11"/>
      <c r="F783" s="11"/>
      <c r="G783" s="11"/>
      <c r="H783" s="11"/>
      <c r="I783" s="41"/>
      <c r="J783" s="11"/>
      <c r="K783" s="11"/>
      <c r="L783" s="11"/>
      <c r="M783" s="11"/>
      <c r="N783" s="11"/>
      <c r="O783" s="11"/>
      <c r="P783" s="11"/>
      <c r="Q783" s="41"/>
      <c r="R783" s="11"/>
      <c r="S783" s="11"/>
      <c r="T783" s="11"/>
      <c r="U783" s="11"/>
      <c r="V783" s="11"/>
      <c r="W783" s="11"/>
      <c r="X783" s="11"/>
      <c r="Y783" s="4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  <c r="CC783" s="11"/>
      <c r="CD783" s="11"/>
      <c r="CE783" s="11"/>
      <c r="CF783" s="11"/>
      <c r="CG783" s="11"/>
      <c r="CH783" s="11"/>
      <c r="CI783" s="11"/>
      <c r="CJ783" s="11"/>
      <c r="CK783" s="11"/>
      <c r="CL783" s="11"/>
      <c r="CM783" s="11"/>
      <c r="CN783" s="11"/>
      <c r="CO783" s="11"/>
      <c r="CP783" s="40"/>
      <c r="CQ783" s="40"/>
      <c r="CR783" s="40"/>
      <c r="CS783" s="40"/>
      <c r="CT783" s="40"/>
      <c r="CU783" s="40"/>
      <c r="CV783" s="40"/>
      <c r="CW783" s="40"/>
      <c r="CX783" s="40"/>
      <c r="CY783" s="40"/>
      <c r="CZ783" s="40"/>
      <c r="DA783" s="11"/>
      <c r="DB783" s="11"/>
      <c r="DC783" s="11"/>
      <c r="DD783" s="11"/>
      <c r="DE783" s="11"/>
      <c r="DF783" s="11"/>
      <c r="DG783" s="11"/>
    </row>
    <row r="784" ht="15.75" customHeight="1">
      <c r="A784" s="41"/>
      <c r="B784" s="11"/>
      <c r="C784" s="11"/>
      <c r="D784" s="11"/>
      <c r="E784" s="11"/>
      <c r="F784" s="11"/>
      <c r="G784" s="11"/>
      <c r="H784" s="11"/>
      <c r="I784" s="41"/>
      <c r="J784" s="11"/>
      <c r="K784" s="11"/>
      <c r="L784" s="11"/>
      <c r="M784" s="11"/>
      <c r="N784" s="11"/>
      <c r="O784" s="11"/>
      <c r="P784" s="11"/>
      <c r="Q784" s="41"/>
      <c r="R784" s="11"/>
      <c r="S784" s="11"/>
      <c r="T784" s="11"/>
      <c r="U784" s="11"/>
      <c r="V784" s="11"/>
      <c r="W784" s="11"/>
      <c r="X784" s="11"/>
      <c r="Y784" s="4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40"/>
      <c r="CQ784" s="40"/>
      <c r="CR784" s="40"/>
      <c r="CS784" s="40"/>
      <c r="CT784" s="40"/>
      <c r="CU784" s="40"/>
      <c r="CV784" s="40"/>
      <c r="CW784" s="40"/>
      <c r="CX784" s="40"/>
      <c r="CY784" s="40"/>
      <c r="CZ784" s="40"/>
      <c r="DA784" s="11"/>
      <c r="DB784" s="11"/>
      <c r="DC784" s="11"/>
      <c r="DD784" s="11"/>
      <c r="DE784" s="11"/>
      <c r="DF784" s="11"/>
      <c r="DG784" s="11"/>
    </row>
    <row r="785" ht="15.75" customHeight="1">
      <c r="A785" s="41"/>
      <c r="B785" s="11"/>
      <c r="C785" s="11"/>
      <c r="D785" s="11"/>
      <c r="E785" s="11"/>
      <c r="F785" s="11"/>
      <c r="G785" s="11"/>
      <c r="H785" s="11"/>
      <c r="I785" s="41"/>
      <c r="J785" s="11"/>
      <c r="K785" s="11"/>
      <c r="L785" s="11"/>
      <c r="M785" s="11"/>
      <c r="N785" s="11"/>
      <c r="O785" s="11"/>
      <c r="P785" s="11"/>
      <c r="Q785" s="41"/>
      <c r="R785" s="11"/>
      <c r="S785" s="11"/>
      <c r="T785" s="11"/>
      <c r="U785" s="11"/>
      <c r="V785" s="11"/>
      <c r="W785" s="11"/>
      <c r="X785" s="11"/>
      <c r="Y785" s="4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40"/>
      <c r="CQ785" s="40"/>
      <c r="CR785" s="40"/>
      <c r="CS785" s="40"/>
      <c r="CT785" s="40"/>
      <c r="CU785" s="40"/>
      <c r="CV785" s="40"/>
      <c r="CW785" s="40"/>
      <c r="CX785" s="40"/>
      <c r="CY785" s="40"/>
      <c r="CZ785" s="40"/>
      <c r="DA785" s="11"/>
      <c r="DB785" s="11"/>
      <c r="DC785" s="11"/>
      <c r="DD785" s="11"/>
      <c r="DE785" s="11"/>
      <c r="DF785" s="11"/>
      <c r="DG785" s="11"/>
    </row>
    <row r="786" ht="15.75" customHeight="1">
      <c r="A786" s="41"/>
      <c r="B786" s="11"/>
      <c r="C786" s="11"/>
      <c r="D786" s="11"/>
      <c r="E786" s="11"/>
      <c r="F786" s="11"/>
      <c r="G786" s="11"/>
      <c r="H786" s="11"/>
      <c r="I786" s="41"/>
      <c r="J786" s="11"/>
      <c r="K786" s="11"/>
      <c r="L786" s="11"/>
      <c r="M786" s="11"/>
      <c r="N786" s="11"/>
      <c r="O786" s="11"/>
      <c r="P786" s="11"/>
      <c r="Q786" s="41"/>
      <c r="R786" s="11"/>
      <c r="S786" s="11"/>
      <c r="T786" s="11"/>
      <c r="U786" s="11"/>
      <c r="V786" s="11"/>
      <c r="W786" s="11"/>
      <c r="X786" s="11"/>
      <c r="Y786" s="4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11"/>
      <c r="CD786" s="11"/>
      <c r="CE786" s="11"/>
      <c r="CF786" s="11"/>
      <c r="CG786" s="11"/>
      <c r="CH786" s="11"/>
      <c r="CI786" s="11"/>
      <c r="CJ786" s="11"/>
      <c r="CK786" s="11"/>
      <c r="CL786" s="11"/>
      <c r="CM786" s="11"/>
      <c r="CN786" s="11"/>
      <c r="CO786" s="11"/>
      <c r="CP786" s="40"/>
      <c r="CQ786" s="40"/>
      <c r="CR786" s="40"/>
      <c r="CS786" s="40"/>
      <c r="CT786" s="40"/>
      <c r="CU786" s="40"/>
      <c r="CV786" s="40"/>
      <c r="CW786" s="40"/>
      <c r="CX786" s="40"/>
      <c r="CY786" s="40"/>
      <c r="CZ786" s="40"/>
      <c r="DA786" s="11"/>
      <c r="DB786" s="11"/>
      <c r="DC786" s="11"/>
      <c r="DD786" s="11"/>
      <c r="DE786" s="11"/>
      <c r="DF786" s="11"/>
      <c r="DG786" s="11"/>
    </row>
    <row r="787" ht="15.75" customHeight="1">
      <c r="A787" s="41"/>
      <c r="B787" s="11"/>
      <c r="C787" s="11"/>
      <c r="D787" s="11"/>
      <c r="E787" s="11"/>
      <c r="F787" s="11"/>
      <c r="G787" s="11"/>
      <c r="H787" s="11"/>
      <c r="I787" s="41"/>
      <c r="J787" s="11"/>
      <c r="K787" s="11"/>
      <c r="L787" s="11"/>
      <c r="M787" s="11"/>
      <c r="N787" s="11"/>
      <c r="O787" s="11"/>
      <c r="P787" s="11"/>
      <c r="Q787" s="41"/>
      <c r="R787" s="11"/>
      <c r="S787" s="11"/>
      <c r="T787" s="11"/>
      <c r="U787" s="11"/>
      <c r="V787" s="11"/>
      <c r="W787" s="11"/>
      <c r="X787" s="11"/>
      <c r="Y787" s="4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  <c r="CD787" s="11"/>
      <c r="CE787" s="11"/>
      <c r="CF787" s="11"/>
      <c r="CG787" s="11"/>
      <c r="CH787" s="11"/>
      <c r="CI787" s="11"/>
      <c r="CJ787" s="11"/>
      <c r="CK787" s="11"/>
      <c r="CL787" s="11"/>
      <c r="CM787" s="11"/>
      <c r="CN787" s="11"/>
      <c r="CO787" s="11"/>
      <c r="CP787" s="40"/>
      <c r="CQ787" s="40"/>
      <c r="CR787" s="40"/>
      <c r="CS787" s="40"/>
      <c r="CT787" s="40"/>
      <c r="CU787" s="40"/>
      <c r="CV787" s="40"/>
      <c r="CW787" s="40"/>
      <c r="CX787" s="40"/>
      <c r="CY787" s="40"/>
      <c r="CZ787" s="40"/>
      <c r="DA787" s="11"/>
      <c r="DB787" s="11"/>
      <c r="DC787" s="11"/>
      <c r="DD787" s="11"/>
      <c r="DE787" s="11"/>
      <c r="DF787" s="11"/>
      <c r="DG787" s="11"/>
    </row>
    <row r="788" ht="15.75" customHeight="1">
      <c r="A788" s="41"/>
      <c r="B788" s="11"/>
      <c r="C788" s="11"/>
      <c r="D788" s="11"/>
      <c r="E788" s="11"/>
      <c r="F788" s="11"/>
      <c r="G788" s="11"/>
      <c r="H788" s="11"/>
      <c r="I788" s="41"/>
      <c r="J788" s="11"/>
      <c r="K788" s="11"/>
      <c r="L788" s="11"/>
      <c r="M788" s="11"/>
      <c r="N788" s="11"/>
      <c r="O788" s="11"/>
      <c r="P788" s="11"/>
      <c r="Q788" s="41"/>
      <c r="R788" s="11"/>
      <c r="S788" s="11"/>
      <c r="T788" s="11"/>
      <c r="U788" s="11"/>
      <c r="V788" s="11"/>
      <c r="W788" s="11"/>
      <c r="X788" s="11"/>
      <c r="Y788" s="4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  <c r="CD788" s="11"/>
      <c r="CE788" s="11"/>
      <c r="CF788" s="11"/>
      <c r="CG788" s="11"/>
      <c r="CH788" s="11"/>
      <c r="CI788" s="11"/>
      <c r="CJ788" s="11"/>
      <c r="CK788" s="11"/>
      <c r="CL788" s="11"/>
      <c r="CM788" s="11"/>
      <c r="CN788" s="11"/>
      <c r="CO788" s="11"/>
      <c r="CP788" s="40"/>
      <c r="CQ788" s="40"/>
      <c r="CR788" s="40"/>
      <c r="CS788" s="40"/>
      <c r="CT788" s="40"/>
      <c r="CU788" s="40"/>
      <c r="CV788" s="40"/>
      <c r="CW788" s="40"/>
      <c r="CX788" s="40"/>
      <c r="CY788" s="40"/>
      <c r="CZ788" s="40"/>
      <c r="DA788" s="11"/>
      <c r="DB788" s="11"/>
      <c r="DC788" s="11"/>
      <c r="DD788" s="11"/>
      <c r="DE788" s="11"/>
      <c r="DF788" s="11"/>
      <c r="DG788" s="11"/>
    </row>
    <row r="789" ht="15.75" customHeight="1">
      <c r="A789" s="41"/>
      <c r="B789" s="11"/>
      <c r="C789" s="11"/>
      <c r="D789" s="11"/>
      <c r="E789" s="11"/>
      <c r="F789" s="11"/>
      <c r="G789" s="11"/>
      <c r="H789" s="11"/>
      <c r="I789" s="41"/>
      <c r="J789" s="11"/>
      <c r="K789" s="11"/>
      <c r="L789" s="11"/>
      <c r="M789" s="11"/>
      <c r="N789" s="11"/>
      <c r="O789" s="11"/>
      <c r="P789" s="11"/>
      <c r="Q789" s="41"/>
      <c r="R789" s="11"/>
      <c r="S789" s="11"/>
      <c r="T789" s="11"/>
      <c r="U789" s="11"/>
      <c r="V789" s="11"/>
      <c r="W789" s="11"/>
      <c r="X789" s="11"/>
      <c r="Y789" s="4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11"/>
      <c r="CD789" s="11"/>
      <c r="CE789" s="11"/>
      <c r="CF789" s="11"/>
      <c r="CG789" s="11"/>
      <c r="CH789" s="11"/>
      <c r="CI789" s="11"/>
      <c r="CJ789" s="11"/>
      <c r="CK789" s="11"/>
      <c r="CL789" s="11"/>
      <c r="CM789" s="11"/>
      <c r="CN789" s="11"/>
      <c r="CO789" s="11"/>
      <c r="CP789" s="40"/>
      <c r="CQ789" s="40"/>
      <c r="CR789" s="40"/>
      <c r="CS789" s="40"/>
      <c r="CT789" s="40"/>
      <c r="CU789" s="40"/>
      <c r="CV789" s="40"/>
      <c r="CW789" s="40"/>
      <c r="CX789" s="40"/>
      <c r="CY789" s="40"/>
      <c r="CZ789" s="40"/>
      <c r="DA789" s="11"/>
      <c r="DB789" s="11"/>
      <c r="DC789" s="11"/>
      <c r="DD789" s="11"/>
      <c r="DE789" s="11"/>
      <c r="DF789" s="11"/>
      <c r="DG789" s="11"/>
    </row>
    <row r="790" ht="15.75" customHeight="1">
      <c r="A790" s="41"/>
      <c r="B790" s="11"/>
      <c r="C790" s="11"/>
      <c r="D790" s="11"/>
      <c r="E790" s="11"/>
      <c r="F790" s="11"/>
      <c r="G790" s="11"/>
      <c r="H790" s="11"/>
      <c r="I790" s="41"/>
      <c r="J790" s="11"/>
      <c r="K790" s="11"/>
      <c r="L790" s="11"/>
      <c r="M790" s="11"/>
      <c r="N790" s="11"/>
      <c r="O790" s="11"/>
      <c r="P790" s="11"/>
      <c r="Q790" s="41"/>
      <c r="R790" s="11"/>
      <c r="S790" s="11"/>
      <c r="T790" s="11"/>
      <c r="U790" s="11"/>
      <c r="V790" s="11"/>
      <c r="W790" s="11"/>
      <c r="X790" s="11"/>
      <c r="Y790" s="4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40"/>
      <c r="CQ790" s="40"/>
      <c r="CR790" s="40"/>
      <c r="CS790" s="40"/>
      <c r="CT790" s="40"/>
      <c r="CU790" s="40"/>
      <c r="CV790" s="40"/>
      <c r="CW790" s="40"/>
      <c r="CX790" s="40"/>
      <c r="CY790" s="40"/>
      <c r="CZ790" s="40"/>
      <c r="DA790" s="11"/>
      <c r="DB790" s="11"/>
      <c r="DC790" s="11"/>
      <c r="DD790" s="11"/>
      <c r="DE790" s="11"/>
      <c r="DF790" s="11"/>
      <c r="DG790" s="11"/>
    </row>
    <row r="791" ht="15.75" customHeight="1">
      <c r="A791" s="41"/>
      <c r="B791" s="11"/>
      <c r="C791" s="11"/>
      <c r="D791" s="11"/>
      <c r="E791" s="11"/>
      <c r="F791" s="11"/>
      <c r="G791" s="11"/>
      <c r="H791" s="11"/>
      <c r="I791" s="41"/>
      <c r="J791" s="11"/>
      <c r="K791" s="11"/>
      <c r="L791" s="11"/>
      <c r="M791" s="11"/>
      <c r="N791" s="11"/>
      <c r="O791" s="11"/>
      <c r="P791" s="11"/>
      <c r="Q791" s="41"/>
      <c r="R791" s="11"/>
      <c r="S791" s="11"/>
      <c r="T791" s="11"/>
      <c r="U791" s="11"/>
      <c r="V791" s="11"/>
      <c r="W791" s="11"/>
      <c r="X791" s="11"/>
      <c r="Y791" s="4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  <c r="CA791" s="11"/>
      <c r="CB791" s="11"/>
      <c r="CC791" s="11"/>
      <c r="CD791" s="11"/>
      <c r="CE791" s="11"/>
      <c r="CF791" s="11"/>
      <c r="CG791" s="11"/>
      <c r="CH791" s="11"/>
      <c r="CI791" s="11"/>
      <c r="CJ791" s="11"/>
      <c r="CK791" s="11"/>
      <c r="CL791" s="11"/>
      <c r="CM791" s="11"/>
      <c r="CN791" s="11"/>
      <c r="CO791" s="11"/>
      <c r="CP791" s="40"/>
      <c r="CQ791" s="40"/>
      <c r="CR791" s="40"/>
      <c r="CS791" s="40"/>
      <c r="CT791" s="40"/>
      <c r="CU791" s="40"/>
      <c r="CV791" s="40"/>
      <c r="CW791" s="40"/>
      <c r="CX791" s="40"/>
      <c r="CY791" s="40"/>
      <c r="CZ791" s="40"/>
      <c r="DA791" s="11"/>
      <c r="DB791" s="11"/>
      <c r="DC791" s="11"/>
      <c r="DD791" s="11"/>
      <c r="DE791" s="11"/>
      <c r="DF791" s="11"/>
      <c r="DG791" s="11"/>
    </row>
    <row r="792" ht="15.75" customHeight="1">
      <c r="A792" s="41"/>
      <c r="B792" s="11"/>
      <c r="C792" s="11"/>
      <c r="D792" s="11"/>
      <c r="E792" s="11"/>
      <c r="F792" s="11"/>
      <c r="G792" s="11"/>
      <c r="H792" s="11"/>
      <c r="I792" s="41"/>
      <c r="J792" s="11"/>
      <c r="K792" s="11"/>
      <c r="L792" s="11"/>
      <c r="M792" s="11"/>
      <c r="N792" s="11"/>
      <c r="O792" s="11"/>
      <c r="P792" s="11"/>
      <c r="Q792" s="41"/>
      <c r="R792" s="11"/>
      <c r="S792" s="11"/>
      <c r="T792" s="11"/>
      <c r="U792" s="11"/>
      <c r="V792" s="11"/>
      <c r="W792" s="11"/>
      <c r="X792" s="11"/>
      <c r="Y792" s="4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11"/>
      <c r="CD792" s="11"/>
      <c r="CE792" s="11"/>
      <c r="CF792" s="11"/>
      <c r="CG792" s="11"/>
      <c r="CH792" s="11"/>
      <c r="CI792" s="11"/>
      <c r="CJ792" s="11"/>
      <c r="CK792" s="11"/>
      <c r="CL792" s="11"/>
      <c r="CM792" s="11"/>
      <c r="CN792" s="11"/>
      <c r="CO792" s="11"/>
      <c r="CP792" s="40"/>
      <c r="CQ792" s="40"/>
      <c r="CR792" s="40"/>
      <c r="CS792" s="40"/>
      <c r="CT792" s="40"/>
      <c r="CU792" s="40"/>
      <c r="CV792" s="40"/>
      <c r="CW792" s="40"/>
      <c r="CX792" s="40"/>
      <c r="CY792" s="40"/>
      <c r="CZ792" s="40"/>
      <c r="DA792" s="11"/>
      <c r="DB792" s="11"/>
      <c r="DC792" s="11"/>
      <c r="DD792" s="11"/>
      <c r="DE792" s="11"/>
      <c r="DF792" s="11"/>
      <c r="DG792" s="11"/>
    </row>
    <row r="793" ht="15.75" customHeight="1">
      <c r="A793" s="41"/>
      <c r="B793" s="11"/>
      <c r="C793" s="11"/>
      <c r="D793" s="11"/>
      <c r="E793" s="11"/>
      <c r="F793" s="11"/>
      <c r="G793" s="11"/>
      <c r="H793" s="11"/>
      <c r="I793" s="41"/>
      <c r="J793" s="11"/>
      <c r="K793" s="11"/>
      <c r="L793" s="11"/>
      <c r="M793" s="11"/>
      <c r="N793" s="11"/>
      <c r="O793" s="11"/>
      <c r="P793" s="11"/>
      <c r="Q793" s="41"/>
      <c r="R793" s="11"/>
      <c r="S793" s="11"/>
      <c r="T793" s="11"/>
      <c r="U793" s="11"/>
      <c r="V793" s="11"/>
      <c r="W793" s="11"/>
      <c r="X793" s="11"/>
      <c r="Y793" s="4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  <c r="CA793" s="11"/>
      <c r="CB793" s="11"/>
      <c r="CC793" s="11"/>
      <c r="CD793" s="11"/>
      <c r="CE793" s="11"/>
      <c r="CF793" s="11"/>
      <c r="CG793" s="11"/>
      <c r="CH793" s="11"/>
      <c r="CI793" s="11"/>
      <c r="CJ793" s="11"/>
      <c r="CK793" s="11"/>
      <c r="CL793" s="11"/>
      <c r="CM793" s="11"/>
      <c r="CN793" s="11"/>
      <c r="CO793" s="11"/>
      <c r="CP793" s="40"/>
      <c r="CQ793" s="40"/>
      <c r="CR793" s="40"/>
      <c r="CS793" s="40"/>
      <c r="CT793" s="40"/>
      <c r="CU793" s="40"/>
      <c r="CV793" s="40"/>
      <c r="CW793" s="40"/>
      <c r="CX793" s="40"/>
      <c r="CY793" s="40"/>
      <c r="CZ793" s="40"/>
      <c r="DA793" s="11"/>
      <c r="DB793" s="11"/>
      <c r="DC793" s="11"/>
      <c r="DD793" s="11"/>
      <c r="DE793" s="11"/>
      <c r="DF793" s="11"/>
      <c r="DG793" s="11"/>
    </row>
    <row r="794" ht="15.75" customHeight="1">
      <c r="A794" s="41"/>
      <c r="B794" s="11"/>
      <c r="C794" s="11"/>
      <c r="D794" s="11"/>
      <c r="E794" s="11"/>
      <c r="F794" s="11"/>
      <c r="G794" s="11"/>
      <c r="H794" s="11"/>
      <c r="I794" s="41"/>
      <c r="J794" s="11"/>
      <c r="K794" s="11"/>
      <c r="L794" s="11"/>
      <c r="M794" s="11"/>
      <c r="N794" s="11"/>
      <c r="O794" s="11"/>
      <c r="P794" s="11"/>
      <c r="Q794" s="41"/>
      <c r="R794" s="11"/>
      <c r="S794" s="11"/>
      <c r="T794" s="11"/>
      <c r="U794" s="11"/>
      <c r="V794" s="11"/>
      <c r="W794" s="11"/>
      <c r="X794" s="11"/>
      <c r="Y794" s="4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11"/>
      <c r="CD794" s="11"/>
      <c r="CE794" s="11"/>
      <c r="CF794" s="11"/>
      <c r="CG794" s="11"/>
      <c r="CH794" s="11"/>
      <c r="CI794" s="11"/>
      <c r="CJ794" s="11"/>
      <c r="CK794" s="11"/>
      <c r="CL794" s="11"/>
      <c r="CM794" s="11"/>
      <c r="CN794" s="11"/>
      <c r="CO794" s="11"/>
      <c r="CP794" s="40"/>
      <c r="CQ794" s="40"/>
      <c r="CR794" s="40"/>
      <c r="CS794" s="40"/>
      <c r="CT794" s="40"/>
      <c r="CU794" s="40"/>
      <c r="CV794" s="40"/>
      <c r="CW794" s="40"/>
      <c r="CX794" s="40"/>
      <c r="CY794" s="40"/>
      <c r="CZ794" s="40"/>
      <c r="DA794" s="11"/>
      <c r="DB794" s="11"/>
      <c r="DC794" s="11"/>
      <c r="DD794" s="11"/>
      <c r="DE794" s="11"/>
      <c r="DF794" s="11"/>
      <c r="DG794" s="11"/>
    </row>
    <row r="795" ht="15.75" customHeight="1">
      <c r="A795" s="41"/>
      <c r="B795" s="11"/>
      <c r="C795" s="11"/>
      <c r="D795" s="11"/>
      <c r="E795" s="11"/>
      <c r="F795" s="11"/>
      <c r="G795" s="11"/>
      <c r="H795" s="11"/>
      <c r="I795" s="41"/>
      <c r="J795" s="11"/>
      <c r="K795" s="11"/>
      <c r="L795" s="11"/>
      <c r="M795" s="11"/>
      <c r="N795" s="11"/>
      <c r="O795" s="11"/>
      <c r="P795" s="11"/>
      <c r="Q795" s="41"/>
      <c r="R795" s="11"/>
      <c r="S795" s="11"/>
      <c r="T795" s="11"/>
      <c r="U795" s="11"/>
      <c r="V795" s="11"/>
      <c r="W795" s="11"/>
      <c r="X795" s="11"/>
      <c r="Y795" s="4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11"/>
      <c r="CD795" s="11"/>
      <c r="CE795" s="11"/>
      <c r="CF795" s="11"/>
      <c r="CG795" s="11"/>
      <c r="CH795" s="11"/>
      <c r="CI795" s="11"/>
      <c r="CJ795" s="11"/>
      <c r="CK795" s="11"/>
      <c r="CL795" s="11"/>
      <c r="CM795" s="11"/>
      <c r="CN795" s="11"/>
      <c r="CO795" s="11"/>
      <c r="CP795" s="40"/>
      <c r="CQ795" s="40"/>
      <c r="CR795" s="40"/>
      <c r="CS795" s="40"/>
      <c r="CT795" s="40"/>
      <c r="CU795" s="40"/>
      <c r="CV795" s="40"/>
      <c r="CW795" s="40"/>
      <c r="CX795" s="40"/>
      <c r="CY795" s="40"/>
      <c r="CZ795" s="40"/>
      <c r="DA795" s="11"/>
      <c r="DB795" s="11"/>
      <c r="DC795" s="11"/>
      <c r="DD795" s="11"/>
      <c r="DE795" s="11"/>
      <c r="DF795" s="11"/>
      <c r="DG795" s="11"/>
    </row>
    <row r="796" ht="15.75" customHeight="1">
      <c r="A796" s="41"/>
      <c r="B796" s="11"/>
      <c r="C796" s="11"/>
      <c r="D796" s="11"/>
      <c r="E796" s="11"/>
      <c r="F796" s="11"/>
      <c r="G796" s="11"/>
      <c r="H796" s="11"/>
      <c r="I796" s="41"/>
      <c r="J796" s="11"/>
      <c r="K796" s="11"/>
      <c r="L796" s="11"/>
      <c r="M796" s="11"/>
      <c r="N796" s="11"/>
      <c r="O796" s="11"/>
      <c r="P796" s="11"/>
      <c r="Q796" s="41"/>
      <c r="R796" s="11"/>
      <c r="S796" s="11"/>
      <c r="T796" s="11"/>
      <c r="U796" s="11"/>
      <c r="V796" s="11"/>
      <c r="W796" s="11"/>
      <c r="X796" s="11"/>
      <c r="Y796" s="4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11"/>
      <c r="CD796" s="11"/>
      <c r="CE796" s="11"/>
      <c r="CF796" s="11"/>
      <c r="CG796" s="11"/>
      <c r="CH796" s="11"/>
      <c r="CI796" s="11"/>
      <c r="CJ796" s="11"/>
      <c r="CK796" s="11"/>
      <c r="CL796" s="11"/>
      <c r="CM796" s="11"/>
      <c r="CN796" s="11"/>
      <c r="CO796" s="11"/>
      <c r="CP796" s="40"/>
      <c r="CQ796" s="40"/>
      <c r="CR796" s="40"/>
      <c r="CS796" s="40"/>
      <c r="CT796" s="40"/>
      <c r="CU796" s="40"/>
      <c r="CV796" s="40"/>
      <c r="CW796" s="40"/>
      <c r="CX796" s="40"/>
      <c r="CY796" s="40"/>
      <c r="CZ796" s="40"/>
      <c r="DA796" s="11"/>
      <c r="DB796" s="11"/>
      <c r="DC796" s="11"/>
      <c r="DD796" s="11"/>
      <c r="DE796" s="11"/>
      <c r="DF796" s="11"/>
      <c r="DG796" s="11"/>
    </row>
    <row r="797" ht="15.75" customHeight="1">
      <c r="A797" s="41"/>
      <c r="B797" s="11"/>
      <c r="C797" s="11"/>
      <c r="D797" s="11"/>
      <c r="E797" s="11"/>
      <c r="F797" s="11"/>
      <c r="G797" s="11"/>
      <c r="H797" s="11"/>
      <c r="I797" s="41"/>
      <c r="J797" s="11"/>
      <c r="K797" s="11"/>
      <c r="L797" s="11"/>
      <c r="M797" s="11"/>
      <c r="N797" s="11"/>
      <c r="O797" s="11"/>
      <c r="P797" s="11"/>
      <c r="Q797" s="41"/>
      <c r="R797" s="11"/>
      <c r="S797" s="11"/>
      <c r="T797" s="11"/>
      <c r="U797" s="11"/>
      <c r="V797" s="11"/>
      <c r="W797" s="11"/>
      <c r="X797" s="11"/>
      <c r="Y797" s="4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  <c r="CD797" s="11"/>
      <c r="CE797" s="11"/>
      <c r="CF797" s="11"/>
      <c r="CG797" s="11"/>
      <c r="CH797" s="11"/>
      <c r="CI797" s="11"/>
      <c r="CJ797" s="11"/>
      <c r="CK797" s="11"/>
      <c r="CL797" s="11"/>
      <c r="CM797" s="11"/>
      <c r="CN797" s="11"/>
      <c r="CO797" s="11"/>
      <c r="CP797" s="40"/>
      <c r="CQ797" s="40"/>
      <c r="CR797" s="40"/>
      <c r="CS797" s="40"/>
      <c r="CT797" s="40"/>
      <c r="CU797" s="40"/>
      <c r="CV797" s="40"/>
      <c r="CW797" s="40"/>
      <c r="CX797" s="40"/>
      <c r="CY797" s="40"/>
      <c r="CZ797" s="40"/>
      <c r="DA797" s="11"/>
      <c r="DB797" s="11"/>
      <c r="DC797" s="11"/>
      <c r="DD797" s="11"/>
      <c r="DE797" s="11"/>
      <c r="DF797" s="11"/>
      <c r="DG797" s="11"/>
    </row>
    <row r="798" ht="15.75" customHeight="1">
      <c r="A798" s="41"/>
      <c r="B798" s="11"/>
      <c r="C798" s="11"/>
      <c r="D798" s="11"/>
      <c r="E798" s="11"/>
      <c r="F798" s="11"/>
      <c r="G798" s="11"/>
      <c r="H798" s="11"/>
      <c r="I798" s="41"/>
      <c r="J798" s="11"/>
      <c r="K798" s="11"/>
      <c r="L798" s="11"/>
      <c r="M798" s="11"/>
      <c r="N798" s="11"/>
      <c r="O798" s="11"/>
      <c r="P798" s="11"/>
      <c r="Q798" s="41"/>
      <c r="R798" s="11"/>
      <c r="S798" s="11"/>
      <c r="T798" s="11"/>
      <c r="U798" s="11"/>
      <c r="V798" s="11"/>
      <c r="W798" s="11"/>
      <c r="X798" s="11"/>
      <c r="Y798" s="4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  <c r="CC798" s="11"/>
      <c r="CD798" s="11"/>
      <c r="CE798" s="11"/>
      <c r="CF798" s="11"/>
      <c r="CG798" s="11"/>
      <c r="CH798" s="11"/>
      <c r="CI798" s="11"/>
      <c r="CJ798" s="11"/>
      <c r="CK798" s="11"/>
      <c r="CL798" s="11"/>
      <c r="CM798" s="11"/>
      <c r="CN798" s="11"/>
      <c r="CO798" s="11"/>
      <c r="CP798" s="40"/>
      <c r="CQ798" s="40"/>
      <c r="CR798" s="40"/>
      <c r="CS798" s="40"/>
      <c r="CT798" s="40"/>
      <c r="CU798" s="40"/>
      <c r="CV798" s="40"/>
      <c r="CW798" s="40"/>
      <c r="CX798" s="40"/>
      <c r="CY798" s="40"/>
      <c r="CZ798" s="40"/>
      <c r="DA798" s="11"/>
      <c r="DB798" s="11"/>
      <c r="DC798" s="11"/>
      <c r="DD798" s="11"/>
      <c r="DE798" s="11"/>
      <c r="DF798" s="11"/>
      <c r="DG798" s="11"/>
    </row>
    <row r="799" ht="15.75" customHeight="1">
      <c r="A799" s="41"/>
      <c r="B799" s="11"/>
      <c r="C799" s="11"/>
      <c r="D799" s="11"/>
      <c r="E799" s="11"/>
      <c r="F799" s="11"/>
      <c r="G799" s="11"/>
      <c r="H799" s="11"/>
      <c r="I799" s="41"/>
      <c r="J799" s="11"/>
      <c r="K799" s="11"/>
      <c r="L799" s="11"/>
      <c r="M799" s="11"/>
      <c r="N799" s="11"/>
      <c r="O799" s="11"/>
      <c r="P799" s="11"/>
      <c r="Q799" s="41"/>
      <c r="R799" s="11"/>
      <c r="S799" s="11"/>
      <c r="T799" s="11"/>
      <c r="U799" s="11"/>
      <c r="V799" s="11"/>
      <c r="W799" s="11"/>
      <c r="X799" s="11"/>
      <c r="Y799" s="4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  <c r="CC799" s="11"/>
      <c r="CD799" s="11"/>
      <c r="CE799" s="11"/>
      <c r="CF799" s="11"/>
      <c r="CG799" s="11"/>
      <c r="CH799" s="11"/>
      <c r="CI799" s="11"/>
      <c r="CJ799" s="11"/>
      <c r="CK799" s="11"/>
      <c r="CL799" s="11"/>
      <c r="CM799" s="11"/>
      <c r="CN799" s="11"/>
      <c r="CO799" s="11"/>
      <c r="CP799" s="40"/>
      <c r="CQ799" s="40"/>
      <c r="CR799" s="40"/>
      <c r="CS799" s="40"/>
      <c r="CT799" s="40"/>
      <c r="CU799" s="40"/>
      <c r="CV799" s="40"/>
      <c r="CW799" s="40"/>
      <c r="CX799" s="40"/>
      <c r="CY799" s="40"/>
      <c r="CZ799" s="40"/>
      <c r="DA799" s="11"/>
      <c r="DB799" s="11"/>
      <c r="DC799" s="11"/>
      <c r="DD799" s="11"/>
      <c r="DE799" s="11"/>
      <c r="DF799" s="11"/>
      <c r="DG799" s="11"/>
    </row>
    <row r="800" ht="15.75" customHeight="1">
      <c r="A800" s="41"/>
      <c r="B800" s="11"/>
      <c r="C800" s="11"/>
      <c r="D800" s="11"/>
      <c r="E800" s="11"/>
      <c r="F800" s="11"/>
      <c r="G800" s="11"/>
      <c r="H800" s="11"/>
      <c r="I800" s="41"/>
      <c r="J800" s="11"/>
      <c r="K800" s="11"/>
      <c r="L800" s="11"/>
      <c r="M800" s="11"/>
      <c r="N800" s="11"/>
      <c r="O800" s="11"/>
      <c r="P800" s="11"/>
      <c r="Q800" s="41"/>
      <c r="R800" s="11"/>
      <c r="S800" s="11"/>
      <c r="T800" s="11"/>
      <c r="U800" s="11"/>
      <c r="V800" s="11"/>
      <c r="W800" s="11"/>
      <c r="X800" s="11"/>
      <c r="Y800" s="4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  <c r="CD800" s="11"/>
      <c r="CE800" s="11"/>
      <c r="CF800" s="11"/>
      <c r="CG800" s="11"/>
      <c r="CH800" s="11"/>
      <c r="CI800" s="11"/>
      <c r="CJ800" s="11"/>
      <c r="CK800" s="11"/>
      <c r="CL800" s="11"/>
      <c r="CM800" s="11"/>
      <c r="CN800" s="11"/>
      <c r="CO800" s="11"/>
      <c r="CP800" s="40"/>
      <c r="CQ800" s="40"/>
      <c r="CR800" s="40"/>
      <c r="CS800" s="40"/>
      <c r="CT800" s="40"/>
      <c r="CU800" s="40"/>
      <c r="CV800" s="40"/>
      <c r="CW800" s="40"/>
      <c r="CX800" s="40"/>
      <c r="CY800" s="40"/>
      <c r="CZ800" s="40"/>
      <c r="DA800" s="11"/>
      <c r="DB800" s="11"/>
      <c r="DC800" s="11"/>
      <c r="DD800" s="11"/>
      <c r="DE800" s="11"/>
      <c r="DF800" s="11"/>
      <c r="DG800" s="11"/>
    </row>
    <row r="801" ht="15.75" customHeight="1">
      <c r="A801" s="41"/>
      <c r="B801" s="11"/>
      <c r="C801" s="11"/>
      <c r="D801" s="11"/>
      <c r="E801" s="11"/>
      <c r="F801" s="11"/>
      <c r="G801" s="11"/>
      <c r="H801" s="11"/>
      <c r="I801" s="41"/>
      <c r="J801" s="11"/>
      <c r="K801" s="11"/>
      <c r="L801" s="11"/>
      <c r="M801" s="11"/>
      <c r="N801" s="11"/>
      <c r="O801" s="11"/>
      <c r="P801" s="11"/>
      <c r="Q801" s="41"/>
      <c r="R801" s="11"/>
      <c r="S801" s="11"/>
      <c r="T801" s="11"/>
      <c r="U801" s="11"/>
      <c r="V801" s="11"/>
      <c r="W801" s="11"/>
      <c r="X801" s="11"/>
      <c r="Y801" s="4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11"/>
      <c r="CD801" s="11"/>
      <c r="CE801" s="11"/>
      <c r="CF801" s="11"/>
      <c r="CG801" s="11"/>
      <c r="CH801" s="11"/>
      <c r="CI801" s="11"/>
      <c r="CJ801" s="11"/>
      <c r="CK801" s="11"/>
      <c r="CL801" s="11"/>
      <c r="CM801" s="11"/>
      <c r="CN801" s="11"/>
      <c r="CO801" s="11"/>
      <c r="CP801" s="40"/>
      <c r="CQ801" s="40"/>
      <c r="CR801" s="40"/>
      <c r="CS801" s="40"/>
      <c r="CT801" s="40"/>
      <c r="CU801" s="40"/>
      <c r="CV801" s="40"/>
      <c r="CW801" s="40"/>
      <c r="CX801" s="40"/>
      <c r="CY801" s="40"/>
      <c r="CZ801" s="40"/>
      <c r="DA801" s="11"/>
      <c r="DB801" s="11"/>
      <c r="DC801" s="11"/>
      <c r="DD801" s="11"/>
      <c r="DE801" s="11"/>
      <c r="DF801" s="11"/>
      <c r="DG801" s="11"/>
    </row>
    <row r="802" ht="15.75" customHeight="1">
      <c r="A802" s="41"/>
      <c r="B802" s="11"/>
      <c r="C802" s="11"/>
      <c r="D802" s="11"/>
      <c r="E802" s="11"/>
      <c r="F802" s="11"/>
      <c r="G802" s="11"/>
      <c r="H802" s="11"/>
      <c r="I802" s="41"/>
      <c r="J802" s="11"/>
      <c r="K802" s="11"/>
      <c r="L802" s="11"/>
      <c r="M802" s="11"/>
      <c r="N802" s="11"/>
      <c r="O802" s="11"/>
      <c r="P802" s="11"/>
      <c r="Q802" s="41"/>
      <c r="R802" s="11"/>
      <c r="S802" s="11"/>
      <c r="T802" s="11"/>
      <c r="U802" s="11"/>
      <c r="V802" s="11"/>
      <c r="W802" s="11"/>
      <c r="X802" s="11"/>
      <c r="Y802" s="4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  <c r="CA802" s="11"/>
      <c r="CB802" s="11"/>
      <c r="CC802" s="11"/>
      <c r="CD802" s="11"/>
      <c r="CE802" s="11"/>
      <c r="CF802" s="11"/>
      <c r="CG802" s="11"/>
      <c r="CH802" s="11"/>
      <c r="CI802" s="11"/>
      <c r="CJ802" s="11"/>
      <c r="CK802" s="11"/>
      <c r="CL802" s="11"/>
      <c r="CM802" s="11"/>
      <c r="CN802" s="11"/>
      <c r="CO802" s="11"/>
      <c r="CP802" s="40"/>
      <c r="CQ802" s="40"/>
      <c r="CR802" s="40"/>
      <c r="CS802" s="40"/>
      <c r="CT802" s="40"/>
      <c r="CU802" s="40"/>
      <c r="CV802" s="40"/>
      <c r="CW802" s="40"/>
      <c r="CX802" s="40"/>
      <c r="CY802" s="40"/>
      <c r="CZ802" s="40"/>
      <c r="DA802" s="11"/>
      <c r="DB802" s="11"/>
      <c r="DC802" s="11"/>
      <c r="DD802" s="11"/>
      <c r="DE802" s="11"/>
      <c r="DF802" s="11"/>
      <c r="DG802" s="11"/>
    </row>
    <row r="803" ht="15.75" customHeight="1">
      <c r="A803" s="41"/>
      <c r="B803" s="11"/>
      <c r="C803" s="11"/>
      <c r="D803" s="11"/>
      <c r="E803" s="11"/>
      <c r="F803" s="11"/>
      <c r="G803" s="11"/>
      <c r="H803" s="11"/>
      <c r="I803" s="41"/>
      <c r="J803" s="11"/>
      <c r="K803" s="11"/>
      <c r="L803" s="11"/>
      <c r="M803" s="11"/>
      <c r="N803" s="11"/>
      <c r="O803" s="11"/>
      <c r="P803" s="11"/>
      <c r="Q803" s="41"/>
      <c r="R803" s="11"/>
      <c r="S803" s="11"/>
      <c r="T803" s="11"/>
      <c r="U803" s="11"/>
      <c r="V803" s="11"/>
      <c r="W803" s="11"/>
      <c r="X803" s="11"/>
      <c r="Y803" s="4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1"/>
      <c r="CD803" s="11"/>
      <c r="CE803" s="11"/>
      <c r="CF803" s="11"/>
      <c r="CG803" s="11"/>
      <c r="CH803" s="11"/>
      <c r="CI803" s="11"/>
      <c r="CJ803" s="11"/>
      <c r="CK803" s="11"/>
      <c r="CL803" s="11"/>
      <c r="CM803" s="11"/>
      <c r="CN803" s="11"/>
      <c r="CO803" s="11"/>
      <c r="CP803" s="40"/>
      <c r="CQ803" s="40"/>
      <c r="CR803" s="40"/>
      <c r="CS803" s="40"/>
      <c r="CT803" s="40"/>
      <c r="CU803" s="40"/>
      <c r="CV803" s="40"/>
      <c r="CW803" s="40"/>
      <c r="CX803" s="40"/>
      <c r="CY803" s="40"/>
      <c r="CZ803" s="40"/>
      <c r="DA803" s="11"/>
      <c r="DB803" s="11"/>
      <c r="DC803" s="11"/>
      <c r="DD803" s="11"/>
      <c r="DE803" s="11"/>
      <c r="DF803" s="11"/>
      <c r="DG803" s="11"/>
    </row>
    <row r="804" ht="15.75" customHeight="1">
      <c r="A804" s="41"/>
      <c r="B804" s="11"/>
      <c r="C804" s="11"/>
      <c r="D804" s="11"/>
      <c r="E804" s="11"/>
      <c r="F804" s="11"/>
      <c r="G804" s="11"/>
      <c r="H804" s="11"/>
      <c r="I804" s="41"/>
      <c r="J804" s="11"/>
      <c r="K804" s="11"/>
      <c r="L804" s="11"/>
      <c r="M804" s="11"/>
      <c r="N804" s="11"/>
      <c r="O804" s="11"/>
      <c r="P804" s="11"/>
      <c r="Q804" s="41"/>
      <c r="R804" s="11"/>
      <c r="S804" s="11"/>
      <c r="T804" s="11"/>
      <c r="U804" s="11"/>
      <c r="V804" s="11"/>
      <c r="W804" s="11"/>
      <c r="X804" s="11"/>
      <c r="Y804" s="4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11"/>
      <c r="CD804" s="11"/>
      <c r="CE804" s="11"/>
      <c r="CF804" s="11"/>
      <c r="CG804" s="11"/>
      <c r="CH804" s="11"/>
      <c r="CI804" s="11"/>
      <c r="CJ804" s="11"/>
      <c r="CK804" s="11"/>
      <c r="CL804" s="11"/>
      <c r="CM804" s="11"/>
      <c r="CN804" s="11"/>
      <c r="CO804" s="11"/>
      <c r="CP804" s="40"/>
      <c r="CQ804" s="40"/>
      <c r="CR804" s="40"/>
      <c r="CS804" s="40"/>
      <c r="CT804" s="40"/>
      <c r="CU804" s="40"/>
      <c r="CV804" s="40"/>
      <c r="CW804" s="40"/>
      <c r="CX804" s="40"/>
      <c r="CY804" s="40"/>
      <c r="CZ804" s="40"/>
      <c r="DA804" s="11"/>
      <c r="DB804" s="11"/>
      <c r="DC804" s="11"/>
      <c r="DD804" s="11"/>
      <c r="DE804" s="11"/>
      <c r="DF804" s="11"/>
      <c r="DG804" s="11"/>
    </row>
    <row r="805" ht="15.75" customHeight="1">
      <c r="A805" s="41"/>
      <c r="B805" s="11"/>
      <c r="C805" s="11"/>
      <c r="D805" s="11"/>
      <c r="E805" s="11"/>
      <c r="F805" s="11"/>
      <c r="G805" s="11"/>
      <c r="H805" s="11"/>
      <c r="I805" s="41"/>
      <c r="J805" s="11"/>
      <c r="K805" s="11"/>
      <c r="L805" s="11"/>
      <c r="M805" s="11"/>
      <c r="N805" s="11"/>
      <c r="O805" s="11"/>
      <c r="P805" s="11"/>
      <c r="Q805" s="41"/>
      <c r="R805" s="11"/>
      <c r="S805" s="11"/>
      <c r="T805" s="11"/>
      <c r="U805" s="11"/>
      <c r="V805" s="11"/>
      <c r="W805" s="11"/>
      <c r="X805" s="11"/>
      <c r="Y805" s="4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  <c r="CD805" s="11"/>
      <c r="CE805" s="11"/>
      <c r="CF805" s="11"/>
      <c r="CG805" s="11"/>
      <c r="CH805" s="11"/>
      <c r="CI805" s="11"/>
      <c r="CJ805" s="11"/>
      <c r="CK805" s="11"/>
      <c r="CL805" s="11"/>
      <c r="CM805" s="11"/>
      <c r="CN805" s="11"/>
      <c r="CO805" s="11"/>
      <c r="CP805" s="40"/>
      <c r="CQ805" s="40"/>
      <c r="CR805" s="40"/>
      <c r="CS805" s="40"/>
      <c r="CT805" s="40"/>
      <c r="CU805" s="40"/>
      <c r="CV805" s="40"/>
      <c r="CW805" s="40"/>
      <c r="CX805" s="40"/>
      <c r="CY805" s="40"/>
      <c r="CZ805" s="40"/>
      <c r="DA805" s="11"/>
      <c r="DB805" s="11"/>
      <c r="DC805" s="11"/>
      <c r="DD805" s="11"/>
      <c r="DE805" s="11"/>
      <c r="DF805" s="11"/>
      <c r="DG805" s="11"/>
    </row>
    <row r="806" ht="15.75" customHeight="1">
      <c r="A806" s="41"/>
      <c r="B806" s="11"/>
      <c r="C806" s="11"/>
      <c r="D806" s="11"/>
      <c r="E806" s="11"/>
      <c r="F806" s="11"/>
      <c r="G806" s="11"/>
      <c r="H806" s="11"/>
      <c r="I806" s="41"/>
      <c r="J806" s="11"/>
      <c r="K806" s="11"/>
      <c r="L806" s="11"/>
      <c r="M806" s="11"/>
      <c r="N806" s="11"/>
      <c r="O806" s="11"/>
      <c r="P806" s="11"/>
      <c r="Q806" s="41"/>
      <c r="R806" s="11"/>
      <c r="S806" s="11"/>
      <c r="T806" s="11"/>
      <c r="U806" s="11"/>
      <c r="V806" s="11"/>
      <c r="W806" s="11"/>
      <c r="X806" s="11"/>
      <c r="Y806" s="4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11"/>
      <c r="CD806" s="11"/>
      <c r="CE806" s="11"/>
      <c r="CF806" s="11"/>
      <c r="CG806" s="11"/>
      <c r="CH806" s="11"/>
      <c r="CI806" s="11"/>
      <c r="CJ806" s="11"/>
      <c r="CK806" s="11"/>
      <c r="CL806" s="11"/>
      <c r="CM806" s="11"/>
      <c r="CN806" s="11"/>
      <c r="CO806" s="11"/>
      <c r="CP806" s="40"/>
      <c r="CQ806" s="40"/>
      <c r="CR806" s="40"/>
      <c r="CS806" s="40"/>
      <c r="CT806" s="40"/>
      <c r="CU806" s="40"/>
      <c r="CV806" s="40"/>
      <c r="CW806" s="40"/>
      <c r="CX806" s="40"/>
      <c r="CY806" s="40"/>
      <c r="CZ806" s="40"/>
      <c r="DA806" s="11"/>
      <c r="DB806" s="11"/>
      <c r="DC806" s="11"/>
      <c r="DD806" s="11"/>
      <c r="DE806" s="11"/>
      <c r="DF806" s="11"/>
      <c r="DG806" s="11"/>
    </row>
    <row r="807" ht="15.75" customHeight="1">
      <c r="A807" s="41"/>
      <c r="B807" s="11"/>
      <c r="C807" s="11"/>
      <c r="D807" s="11"/>
      <c r="E807" s="11"/>
      <c r="F807" s="11"/>
      <c r="G807" s="11"/>
      <c r="H807" s="11"/>
      <c r="I807" s="41"/>
      <c r="J807" s="11"/>
      <c r="K807" s="11"/>
      <c r="L807" s="11"/>
      <c r="M807" s="11"/>
      <c r="N807" s="11"/>
      <c r="O807" s="11"/>
      <c r="P807" s="11"/>
      <c r="Q807" s="41"/>
      <c r="R807" s="11"/>
      <c r="S807" s="11"/>
      <c r="T807" s="11"/>
      <c r="U807" s="11"/>
      <c r="V807" s="11"/>
      <c r="W807" s="11"/>
      <c r="X807" s="11"/>
      <c r="Y807" s="4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  <c r="CA807" s="11"/>
      <c r="CB807" s="11"/>
      <c r="CC807" s="11"/>
      <c r="CD807" s="11"/>
      <c r="CE807" s="11"/>
      <c r="CF807" s="11"/>
      <c r="CG807" s="11"/>
      <c r="CH807" s="11"/>
      <c r="CI807" s="11"/>
      <c r="CJ807" s="11"/>
      <c r="CK807" s="11"/>
      <c r="CL807" s="11"/>
      <c r="CM807" s="11"/>
      <c r="CN807" s="11"/>
      <c r="CO807" s="11"/>
      <c r="CP807" s="40"/>
      <c r="CQ807" s="40"/>
      <c r="CR807" s="40"/>
      <c r="CS807" s="40"/>
      <c r="CT807" s="40"/>
      <c r="CU807" s="40"/>
      <c r="CV807" s="40"/>
      <c r="CW807" s="40"/>
      <c r="CX807" s="40"/>
      <c r="CY807" s="40"/>
      <c r="CZ807" s="40"/>
      <c r="DA807" s="11"/>
      <c r="DB807" s="11"/>
      <c r="DC807" s="11"/>
      <c r="DD807" s="11"/>
      <c r="DE807" s="11"/>
      <c r="DF807" s="11"/>
      <c r="DG807" s="11"/>
    </row>
    <row r="808" ht="15.75" customHeight="1">
      <c r="A808" s="41"/>
      <c r="B808" s="11"/>
      <c r="C808" s="11"/>
      <c r="D808" s="11"/>
      <c r="E808" s="11"/>
      <c r="F808" s="11"/>
      <c r="G808" s="11"/>
      <c r="H808" s="11"/>
      <c r="I808" s="41"/>
      <c r="J808" s="11"/>
      <c r="K808" s="11"/>
      <c r="L808" s="11"/>
      <c r="M808" s="11"/>
      <c r="N808" s="11"/>
      <c r="O808" s="11"/>
      <c r="P808" s="11"/>
      <c r="Q808" s="41"/>
      <c r="R808" s="11"/>
      <c r="S808" s="11"/>
      <c r="T808" s="11"/>
      <c r="U808" s="11"/>
      <c r="V808" s="11"/>
      <c r="W808" s="11"/>
      <c r="X808" s="11"/>
      <c r="Y808" s="4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11"/>
      <c r="CD808" s="11"/>
      <c r="CE808" s="11"/>
      <c r="CF808" s="11"/>
      <c r="CG808" s="11"/>
      <c r="CH808" s="11"/>
      <c r="CI808" s="11"/>
      <c r="CJ808" s="11"/>
      <c r="CK808" s="11"/>
      <c r="CL808" s="11"/>
      <c r="CM808" s="11"/>
      <c r="CN808" s="11"/>
      <c r="CO808" s="11"/>
      <c r="CP808" s="40"/>
      <c r="CQ808" s="40"/>
      <c r="CR808" s="40"/>
      <c r="CS808" s="40"/>
      <c r="CT808" s="40"/>
      <c r="CU808" s="40"/>
      <c r="CV808" s="40"/>
      <c r="CW808" s="40"/>
      <c r="CX808" s="40"/>
      <c r="CY808" s="40"/>
      <c r="CZ808" s="40"/>
      <c r="DA808" s="11"/>
      <c r="DB808" s="11"/>
      <c r="DC808" s="11"/>
      <c r="DD808" s="11"/>
      <c r="DE808" s="11"/>
      <c r="DF808" s="11"/>
      <c r="DG808" s="11"/>
    </row>
    <row r="809" ht="15.75" customHeight="1">
      <c r="A809" s="41"/>
      <c r="B809" s="11"/>
      <c r="C809" s="11"/>
      <c r="D809" s="11"/>
      <c r="E809" s="11"/>
      <c r="F809" s="11"/>
      <c r="G809" s="11"/>
      <c r="H809" s="11"/>
      <c r="I809" s="41"/>
      <c r="J809" s="11"/>
      <c r="K809" s="11"/>
      <c r="L809" s="11"/>
      <c r="M809" s="11"/>
      <c r="N809" s="11"/>
      <c r="O809" s="11"/>
      <c r="P809" s="11"/>
      <c r="Q809" s="41"/>
      <c r="R809" s="11"/>
      <c r="S809" s="11"/>
      <c r="T809" s="11"/>
      <c r="U809" s="11"/>
      <c r="V809" s="11"/>
      <c r="W809" s="11"/>
      <c r="X809" s="11"/>
      <c r="Y809" s="4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11"/>
      <c r="CD809" s="11"/>
      <c r="CE809" s="11"/>
      <c r="CF809" s="11"/>
      <c r="CG809" s="11"/>
      <c r="CH809" s="11"/>
      <c r="CI809" s="11"/>
      <c r="CJ809" s="11"/>
      <c r="CK809" s="11"/>
      <c r="CL809" s="11"/>
      <c r="CM809" s="11"/>
      <c r="CN809" s="11"/>
      <c r="CO809" s="11"/>
      <c r="CP809" s="40"/>
      <c r="CQ809" s="40"/>
      <c r="CR809" s="40"/>
      <c r="CS809" s="40"/>
      <c r="CT809" s="40"/>
      <c r="CU809" s="40"/>
      <c r="CV809" s="40"/>
      <c r="CW809" s="40"/>
      <c r="CX809" s="40"/>
      <c r="CY809" s="40"/>
      <c r="CZ809" s="40"/>
      <c r="DA809" s="11"/>
      <c r="DB809" s="11"/>
      <c r="DC809" s="11"/>
      <c r="DD809" s="11"/>
      <c r="DE809" s="11"/>
      <c r="DF809" s="11"/>
      <c r="DG809" s="11"/>
    </row>
    <row r="810" ht="15.75" customHeight="1">
      <c r="A810" s="41"/>
      <c r="B810" s="11"/>
      <c r="C810" s="11"/>
      <c r="D810" s="11"/>
      <c r="E810" s="11"/>
      <c r="F810" s="11"/>
      <c r="G810" s="11"/>
      <c r="H810" s="11"/>
      <c r="I810" s="41"/>
      <c r="J810" s="11"/>
      <c r="K810" s="11"/>
      <c r="L810" s="11"/>
      <c r="M810" s="11"/>
      <c r="N810" s="11"/>
      <c r="O810" s="11"/>
      <c r="P810" s="11"/>
      <c r="Q810" s="41"/>
      <c r="R810" s="11"/>
      <c r="S810" s="11"/>
      <c r="T810" s="11"/>
      <c r="U810" s="11"/>
      <c r="V810" s="11"/>
      <c r="W810" s="11"/>
      <c r="X810" s="11"/>
      <c r="Y810" s="4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  <c r="CC810" s="11"/>
      <c r="CD810" s="11"/>
      <c r="CE810" s="11"/>
      <c r="CF810" s="11"/>
      <c r="CG810" s="11"/>
      <c r="CH810" s="11"/>
      <c r="CI810" s="11"/>
      <c r="CJ810" s="11"/>
      <c r="CK810" s="11"/>
      <c r="CL810" s="11"/>
      <c r="CM810" s="11"/>
      <c r="CN810" s="11"/>
      <c r="CO810" s="11"/>
      <c r="CP810" s="40"/>
      <c r="CQ810" s="40"/>
      <c r="CR810" s="40"/>
      <c r="CS810" s="40"/>
      <c r="CT810" s="40"/>
      <c r="CU810" s="40"/>
      <c r="CV810" s="40"/>
      <c r="CW810" s="40"/>
      <c r="CX810" s="40"/>
      <c r="CY810" s="40"/>
      <c r="CZ810" s="40"/>
      <c r="DA810" s="11"/>
      <c r="DB810" s="11"/>
      <c r="DC810" s="11"/>
      <c r="DD810" s="11"/>
      <c r="DE810" s="11"/>
      <c r="DF810" s="11"/>
      <c r="DG810" s="11"/>
    </row>
    <row r="811" ht="15.75" customHeight="1">
      <c r="A811" s="41"/>
      <c r="B811" s="11"/>
      <c r="C811" s="11"/>
      <c r="D811" s="11"/>
      <c r="E811" s="11"/>
      <c r="F811" s="11"/>
      <c r="G811" s="11"/>
      <c r="H811" s="11"/>
      <c r="I811" s="41"/>
      <c r="J811" s="11"/>
      <c r="K811" s="11"/>
      <c r="L811" s="11"/>
      <c r="M811" s="11"/>
      <c r="N811" s="11"/>
      <c r="O811" s="11"/>
      <c r="P811" s="11"/>
      <c r="Q811" s="41"/>
      <c r="R811" s="11"/>
      <c r="S811" s="11"/>
      <c r="T811" s="11"/>
      <c r="U811" s="11"/>
      <c r="V811" s="11"/>
      <c r="W811" s="11"/>
      <c r="X811" s="11"/>
      <c r="Y811" s="4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  <c r="CD811" s="11"/>
      <c r="CE811" s="11"/>
      <c r="CF811" s="11"/>
      <c r="CG811" s="11"/>
      <c r="CH811" s="11"/>
      <c r="CI811" s="11"/>
      <c r="CJ811" s="11"/>
      <c r="CK811" s="11"/>
      <c r="CL811" s="11"/>
      <c r="CM811" s="11"/>
      <c r="CN811" s="11"/>
      <c r="CO811" s="11"/>
      <c r="CP811" s="40"/>
      <c r="CQ811" s="40"/>
      <c r="CR811" s="40"/>
      <c r="CS811" s="40"/>
      <c r="CT811" s="40"/>
      <c r="CU811" s="40"/>
      <c r="CV811" s="40"/>
      <c r="CW811" s="40"/>
      <c r="CX811" s="40"/>
      <c r="CY811" s="40"/>
      <c r="CZ811" s="40"/>
      <c r="DA811" s="11"/>
      <c r="DB811" s="11"/>
      <c r="DC811" s="11"/>
      <c r="DD811" s="11"/>
      <c r="DE811" s="11"/>
      <c r="DF811" s="11"/>
      <c r="DG811" s="11"/>
    </row>
    <row r="812" ht="15.75" customHeight="1">
      <c r="A812" s="41"/>
      <c r="B812" s="11"/>
      <c r="C812" s="11"/>
      <c r="D812" s="11"/>
      <c r="E812" s="11"/>
      <c r="F812" s="11"/>
      <c r="G812" s="11"/>
      <c r="H812" s="11"/>
      <c r="I812" s="41"/>
      <c r="J812" s="11"/>
      <c r="K812" s="11"/>
      <c r="L812" s="11"/>
      <c r="M812" s="11"/>
      <c r="N812" s="11"/>
      <c r="O812" s="11"/>
      <c r="P812" s="11"/>
      <c r="Q812" s="41"/>
      <c r="R812" s="11"/>
      <c r="S812" s="11"/>
      <c r="T812" s="11"/>
      <c r="U812" s="11"/>
      <c r="V812" s="11"/>
      <c r="W812" s="11"/>
      <c r="X812" s="11"/>
      <c r="Y812" s="4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  <c r="CD812" s="11"/>
      <c r="CE812" s="11"/>
      <c r="CF812" s="11"/>
      <c r="CG812" s="11"/>
      <c r="CH812" s="11"/>
      <c r="CI812" s="11"/>
      <c r="CJ812" s="11"/>
      <c r="CK812" s="11"/>
      <c r="CL812" s="11"/>
      <c r="CM812" s="11"/>
      <c r="CN812" s="11"/>
      <c r="CO812" s="11"/>
      <c r="CP812" s="40"/>
      <c r="CQ812" s="40"/>
      <c r="CR812" s="40"/>
      <c r="CS812" s="40"/>
      <c r="CT812" s="40"/>
      <c r="CU812" s="40"/>
      <c r="CV812" s="40"/>
      <c r="CW812" s="40"/>
      <c r="CX812" s="40"/>
      <c r="CY812" s="40"/>
      <c r="CZ812" s="40"/>
      <c r="DA812" s="11"/>
      <c r="DB812" s="11"/>
      <c r="DC812" s="11"/>
      <c r="DD812" s="11"/>
      <c r="DE812" s="11"/>
      <c r="DF812" s="11"/>
      <c r="DG812" s="11"/>
    </row>
    <row r="813" ht="15.75" customHeight="1">
      <c r="A813" s="41"/>
      <c r="B813" s="11"/>
      <c r="C813" s="11"/>
      <c r="D813" s="11"/>
      <c r="E813" s="11"/>
      <c r="F813" s="11"/>
      <c r="G813" s="11"/>
      <c r="H813" s="11"/>
      <c r="I813" s="41"/>
      <c r="J813" s="11"/>
      <c r="K813" s="11"/>
      <c r="L813" s="11"/>
      <c r="M813" s="11"/>
      <c r="N813" s="11"/>
      <c r="O813" s="11"/>
      <c r="P813" s="11"/>
      <c r="Q813" s="41"/>
      <c r="R813" s="11"/>
      <c r="S813" s="11"/>
      <c r="T813" s="11"/>
      <c r="U813" s="11"/>
      <c r="V813" s="11"/>
      <c r="W813" s="11"/>
      <c r="X813" s="11"/>
      <c r="Y813" s="4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11"/>
      <c r="CD813" s="11"/>
      <c r="CE813" s="11"/>
      <c r="CF813" s="11"/>
      <c r="CG813" s="11"/>
      <c r="CH813" s="11"/>
      <c r="CI813" s="11"/>
      <c r="CJ813" s="11"/>
      <c r="CK813" s="11"/>
      <c r="CL813" s="11"/>
      <c r="CM813" s="11"/>
      <c r="CN813" s="11"/>
      <c r="CO813" s="11"/>
      <c r="CP813" s="40"/>
      <c r="CQ813" s="40"/>
      <c r="CR813" s="40"/>
      <c r="CS813" s="40"/>
      <c r="CT813" s="40"/>
      <c r="CU813" s="40"/>
      <c r="CV813" s="40"/>
      <c r="CW813" s="40"/>
      <c r="CX813" s="40"/>
      <c r="CY813" s="40"/>
      <c r="CZ813" s="40"/>
      <c r="DA813" s="11"/>
      <c r="DB813" s="11"/>
      <c r="DC813" s="11"/>
      <c r="DD813" s="11"/>
      <c r="DE813" s="11"/>
      <c r="DF813" s="11"/>
      <c r="DG813" s="11"/>
    </row>
    <row r="814" ht="15.75" customHeight="1">
      <c r="A814" s="41"/>
      <c r="B814" s="11"/>
      <c r="C814" s="11"/>
      <c r="D814" s="11"/>
      <c r="E814" s="11"/>
      <c r="F814" s="11"/>
      <c r="G814" s="11"/>
      <c r="H814" s="11"/>
      <c r="I814" s="41"/>
      <c r="J814" s="11"/>
      <c r="K814" s="11"/>
      <c r="L814" s="11"/>
      <c r="M814" s="11"/>
      <c r="N814" s="11"/>
      <c r="O814" s="11"/>
      <c r="P814" s="11"/>
      <c r="Q814" s="41"/>
      <c r="R814" s="11"/>
      <c r="S814" s="11"/>
      <c r="T814" s="11"/>
      <c r="U814" s="11"/>
      <c r="V814" s="11"/>
      <c r="W814" s="11"/>
      <c r="X814" s="11"/>
      <c r="Y814" s="4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  <c r="CC814" s="11"/>
      <c r="CD814" s="11"/>
      <c r="CE814" s="11"/>
      <c r="CF814" s="11"/>
      <c r="CG814" s="11"/>
      <c r="CH814" s="11"/>
      <c r="CI814" s="11"/>
      <c r="CJ814" s="11"/>
      <c r="CK814" s="11"/>
      <c r="CL814" s="11"/>
      <c r="CM814" s="11"/>
      <c r="CN814" s="11"/>
      <c r="CO814" s="11"/>
      <c r="CP814" s="40"/>
      <c r="CQ814" s="40"/>
      <c r="CR814" s="40"/>
      <c r="CS814" s="40"/>
      <c r="CT814" s="40"/>
      <c r="CU814" s="40"/>
      <c r="CV814" s="40"/>
      <c r="CW814" s="40"/>
      <c r="CX814" s="40"/>
      <c r="CY814" s="40"/>
      <c r="CZ814" s="40"/>
      <c r="DA814" s="11"/>
      <c r="DB814" s="11"/>
      <c r="DC814" s="11"/>
      <c r="DD814" s="11"/>
      <c r="DE814" s="11"/>
      <c r="DF814" s="11"/>
      <c r="DG814" s="11"/>
    </row>
    <row r="815" ht="15.75" customHeight="1">
      <c r="A815" s="41"/>
      <c r="B815" s="11"/>
      <c r="C815" s="11"/>
      <c r="D815" s="11"/>
      <c r="E815" s="11"/>
      <c r="F815" s="11"/>
      <c r="G815" s="11"/>
      <c r="H815" s="11"/>
      <c r="I815" s="41"/>
      <c r="J815" s="11"/>
      <c r="K815" s="11"/>
      <c r="L815" s="11"/>
      <c r="M815" s="11"/>
      <c r="N815" s="11"/>
      <c r="O815" s="11"/>
      <c r="P815" s="11"/>
      <c r="Q815" s="41"/>
      <c r="R815" s="11"/>
      <c r="S815" s="11"/>
      <c r="T815" s="11"/>
      <c r="U815" s="11"/>
      <c r="V815" s="11"/>
      <c r="W815" s="11"/>
      <c r="X815" s="11"/>
      <c r="Y815" s="4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  <c r="CC815" s="11"/>
      <c r="CD815" s="11"/>
      <c r="CE815" s="11"/>
      <c r="CF815" s="11"/>
      <c r="CG815" s="11"/>
      <c r="CH815" s="11"/>
      <c r="CI815" s="11"/>
      <c r="CJ815" s="11"/>
      <c r="CK815" s="11"/>
      <c r="CL815" s="11"/>
      <c r="CM815" s="11"/>
      <c r="CN815" s="11"/>
      <c r="CO815" s="11"/>
      <c r="CP815" s="40"/>
      <c r="CQ815" s="40"/>
      <c r="CR815" s="40"/>
      <c r="CS815" s="40"/>
      <c r="CT815" s="40"/>
      <c r="CU815" s="40"/>
      <c r="CV815" s="40"/>
      <c r="CW815" s="40"/>
      <c r="CX815" s="40"/>
      <c r="CY815" s="40"/>
      <c r="CZ815" s="40"/>
      <c r="DA815" s="11"/>
      <c r="DB815" s="11"/>
      <c r="DC815" s="11"/>
      <c r="DD815" s="11"/>
      <c r="DE815" s="11"/>
      <c r="DF815" s="11"/>
      <c r="DG815" s="11"/>
    </row>
    <row r="816" ht="15.75" customHeight="1">
      <c r="A816" s="41"/>
      <c r="B816" s="11"/>
      <c r="C816" s="11"/>
      <c r="D816" s="11"/>
      <c r="E816" s="11"/>
      <c r="F816" s="11"/>
      <c r="G816" s="11"/>
      <c r="H816" s="11"/>
      <c r="I816" s="41"/>
      <c r="J816" s="11"/>
      <c r="K816" s="11"/>
      <c r="L816" s="11"/>
      <c r="M816" s="11"/>
      <c r="N816" s="11"/>
      <c r="O816" s="11"/>
      <c r="P816" s="11"/>
      <c r="Q816" s="41"/>
      <c r="R816" s="11"/>
      <c r="S816" s="11"/>
      <c r="T816" s="11"/>
      <c r="U816" s="11"/>
      <c r="V816" s="11"/>
      <c r="W816" s="11"/>
      <c r="X816" s="11"/>
      <c r="Y816" s="4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  <c r="CC816" s="11"/>
      <c r="CD816" s="11"/>
      <c r="CE816" s="11"/>
      <c r="CF816" s="11"/>
      <c r="CG816" s="11"/>
      <c r="CH816" s="11"/>
      <c r="CI816" s="11"/>
      <c r="CJ816" s="11"/>
      <c r="CK816" s="11"/>
      <c r="CL816" s="11"/>
      <c r="CM816" s="11"/>
      <c r="CN816" s="11"/>
      <c r="CO816" s="11"/>
      <c r="CP816" s="40"/>
      <c r="CQ816" s="40"/>
      <c r="CR816" s="40"/>
      <c r="CS816" s="40"/>
      <c r="CT816" s="40"/>
      <c r="CU816" s="40"/>
      <c r="CV816" s="40"/>
      <c r="CW816" s="40"/>
      <c r="CX816" s="40"/>
      <c r="CY816" s="40"/>
      <c r="CZ816" s="40"/>
      <c r="DA816" s="11"/>
      <c r="DB816" s="11"/>
      <c r="DC816" s="11"/>
      <c r="DD816" s="11"/>
      <c r="DE816" s="11"/>
      <c r="DF816" s="11"/>
      <c r="DG816" s="11"/>
    </row>
    <row r="817" ht="15.75" customHeight="1">
      <c r="A817" s="41"/>
      <c r="B817" s="11"/>
      <c r="C817" s="11"/>
      <c r="D817" s="11"/>
      <c r="E817" s="11"/>
      <c r="F817" s="11"/>
      <c r="G817" s="11"/>
      <c r="H817" s="11"/>
      <c r="I817" s="41"/>
      <c r="J817" s="11"/>
      <c r="K817" s="11"/>
      <c r="L817" s="11"/>
      <c r="M817" s="11"/>
      <c r="N817" s="11"/>
      <c r="O817" s="11"/>
      <c r="P817" s="11"/>
      <c r="Q817" s="41"/>
      <c r="R817" s="11"/>
      <c r="S817" s="11"/>
      <c r="T817" s="11"/>
      <c r="U817" s="11"/>
      <c r="V817" s="11"/>
      <c r="W817" s="11"/>
      <c r="X817" s="11"/>
      <c r="Y817" s="4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  <c r="CC817" s="11"/>
      <c r="CD817" s="11"/>
      <c r="CE817" s="11"/>
      <c r="CF817" s="11"/>
      <c r="CG817" s="11"/>
      <c r="CH817" s="11"/>
      <c r="CI817" s="11"/>
      <c r="CJ817" s="11"/>
      <c r="CK817" s="11"/>
      <c r="CL817" s="11"/>
      <c r="CM817" s="11"/>
      <c r="CN817" s="11"/>
      <c r="CO817" s="11"/>
      <c r="CP817" s="40"/>
      <c r="CQ817" s="40"/>
      <c r="CR817" s="40"/>
      <c r="CS817" s="40"/>
      <c r="CT817" s="40"/>
      <c r="CU817" s="40"/>
      <c r="CV817" s="40"/>
      <c r="CW817" s="40"/>
      <c r="CX817" s="40"/>
      <c r="CY817" s="40"/>
      <c r="CZ817" s="40"/>
      <c r="DA817" s="11"/>
      <c r="DB817" s="11"/>
      <c r="DC817" s="11"/>
      <c r="DD817" s="11"/>
      <c r="DE817" s="11"/>
      <c r="DF817" s="11"/>
      <c r="DG817" s="11"/>
    </row>
    <row r="818" ht="15.75" customHeight="1">
      <c r="A818" s="41"/>
      <c r="B818" s="11"/>
      <c r="C818" s="11"/>
      <c r="D818" s="11"/>
      <c r="E818" s="11"/>
      <c r="F818" s="11"/>
      <c r="G818" s="11"/>
      <c r="H818" s="11"/>
      <c r="I818" s="41"/>
      <c r="J818" s="11"/>
      <c r="K818" s="11"/>
      <c r="L818" s="11"/>
      <c r="M818" s="11"/>
      <c r="N818" s="11"/>
      <c r="O818" s="11"/>
      <c r="P818" s="11"/>
      <c r="Q818" s="41"/>
      <c r="R818" s="11"/>
      <c r="S818" s="11"/>
      <c r="T818" s="11"/>
      <c r="U818" s="11"/>
      <c r="V818" s="11"/>
      <c r="W818" s="11"/>
      <c r="X818" s="11"/>
      <c r="Y818" s="4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  <c r="CC818" s="11"/>
      <c r="CD818" s="11"/>
      <c r="CE818" s="11"/>
      <c r="CF818" s="11"/>
      <c r="CG818" s="11"/>
      <c r="CH818" s="11"/>
      <c r="CI818" s="11"/>
      <c r="CJ818" s="11"/>
      <c r="CK818" s="11"/>
      <c r="CL818" s="11"/>
      <c r="CM818" s="11"/>
      <c r="CN818" s="11"/>
      <c r="CO818" s="11"/>
      <c r="CP818" s="40"/>
      <c r="CQ818" s="40"/>
      <c r="CR818" s="40"/>
      <c r="CS818" s="40"/>
      <c r="CT818" s="40"/>
      <c r="CU818" s="40"/>
      <c r="CV818" s="40"/>
      <c r="CW818" s="40"/>
      <c r="CX818" s="40"/>
      <c r="CY818" s="40"/>
      <c r="CZ818" s="40"/>
      <c r="DA818" s="11"/>
      <c r="DB818" s="11"/>
      <c r="DC818" s="11"/>
      <c r="DD818" s="11"/>
      <c r="DE818" s="11"/>
      <c r="DF818" s="11"/>
      <c r="DG818" s="11"/>
    </row>
    <row r="819" ht="15.75" customHeight="1">
      <c r="A819" s="41"/>
      <c r="B819" s="11"/>
      <c r="C819" s="11"/>
      <c r="D819" s="11"/>
      <c r="E819" s="11"/>
      <c r="F819" s="11"/>
      <c r="G819" s="11"/>
      <c r="H819" s="11"/>
      <c r="I819" s="41"/>
      <c r="J819" s="11"/>
      <c r="K819" s="11"/>
      <c r="L819" s="11"/>
      <c r="M819" s="11"/>
      <c r="N819" s="11"/>
      <c r="O819" s="11"/>
      <c r="P819" s="11"/>
      <c r="Q819" s="41"/>
      <c r="R819" s="11"/>
      <c r="S819" s="11"/>
      <c r="T819" s="11"/>
      <c r="U819" s="11"/>
      <c r="V819" s="11"/>
      <c r="W819" s="11"/>
      <c r="X819" s="11"/>
      <c r="Y819" s="4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  <c r="CC819" s="11"/>
      <c r="CD819" s="11"/>
      <c r="CE819" s="11"/>
      <c r="CF819" s="11"/>
      <c r="CG819" s="11"/>
      <c r="CH819" s="11"/>
      <c r="CI819" s="11"/>
      <c r="CJ819" s="11"/>
      <c r="CK819" s="11"/>
      <c r="CL819" s="11"/>
      <c r="CM819" s="11"/>
      <c r="CN819" s="11"/>
      <c r="CO819" s="11"/>
      <c r="CP819" s="40"/>
      <c r="CQ819" s="40"/>
      <c r="CR819" s="40"/>
      <c r="CS819" s="40"/>
      <c r="CT819" s="40"/>
      <c r="CU819" s="40"/>
      <c r="CV819" s="40"/>
      <c r="CW819" s="40"/>
      <c r="CX819" s="40"/>
      <c r="CY819" s="40"/>
      <c r="CZ819" s="40"/>
      <c r="DA819" s="11"/>
      <c r="DB819" s="11"/>
      <c r="DC819" s="11"/>
      <c r="DD819" s="11"/>
      <c r="DE819" s="11"/>
      <c r="DF819" s="11"/>
      <c r="DG819" s="11"/>
    </row>
    <row r="820" ht="15.75" customHeight="1">
      <c r="A820" s="41"/>
      <c r="B820" s="11"/>
      <c r="C820" s="11"/>
      <c r="D820" s="11"/>
      <c r="E820" s="11"/>
      <c r="F820" s="11"/>
      <c r="G820" s="11"/>
      <c r="H820" s="11"/>
      <c r="I820" s="41"/>
      <c r="J820" s="11"/>
      <c r="K820" s="11"/>
      <c r="L820" s="11"/>
      <c r="M820" s="11"/>
      <c r="N820" s="11"/>
      <c r="O820" s="11"/>
      <c r="P820" s="11"/>
      <c r="Q820" s="41"/>
      <c r="R820" s="11"/>
      <c r="S820" s="11"/>
      <c r="T820" s="11"/>
      <c r="U820" s="11"/>
      <c r="V820" s="11"/>
      <c r="W820" s="11"/>
      <c r="X820" s="11"/>
      <c r="Y820" s="4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  <c r="CA820" s="11"/>
      <c r="CB820" s="11"/>
      <c r="CC820" s="11"/>
      <c r="CD820" s="11"/>
      <c r="CE820" s="11"/>
      <c r="CF820" s="11"/>
      <c r="CG820" s="11"/>
      <c r="CH820" s="11"/>
      <c r="CI820" s="11"/>
      <c r="CJ820" s="11"/>
      <c r="CK820" s="11"/>
      <c r="CL820" s="11"/>
      <c r="CM820" s="11"/>
      <c r="CN820" s="11"/>
      <c r="CO820" s="11"/>
      <c r="CP820" s="40"/>
      <c r="CQ820" s="40"/>
      <c r="CR820" s="40"/>
      <c r="CS820" s="40"/>
      <c r="CT820" s="40"/>
      <c r="CU820" s="40"/>
      <c r="CV820" s="40"/>
      <c r="CW820" s="40"/>
      <c r="CX820" s="40"/>
      <c r="CY820" s="40"/>
      <c r="CZ820" s="40"/>
      <c r="DA820" s="11"/>
      <c r="DB820" s="11"/>
      <c r="DC820" s="11"/>
      <c r="DD820" s="11"/>
      <c r="DE820" s="11"/>
      <c r="DF820" s="11"/>
      <c r="DG820" s="11"/>
    </row>
    <row r="821" ht="15.75" customHeight="1">
      <c r="A821" s="41"/>
      <c r="B821" s="11"/>
      <c r="C821" s="11"/>
      <c r="D821" s="11"/>
      <c r="E821" s="11"/>
      <c r="F821" s="11"/>
      <c r="G821" s="11"/>
      <c r="H821" s="11"/>
      <c r="I821" s="41"/>
      <c r="J821" s="11"/>
      <c r="K821" s="11"/>
      <c r="L821" s="11"/>
      <c r="M821" s="11"/>
      <c r="N821" s="11"/>
      <c r="O821" s="11"/>
      <c r="P821" s="11"/>
      <c r="Q821" s="41"/>
      <c r="R821" s="11"/>
      <c r="S821" s="11"/>
      <c r="T821" s="11"/>
      <c r="U821" s="11"/>
      <c r="V821" s="11"/>
      <c r="W821" s="11"/>
      <c r="X821" s="11"/>
      <c r="Y821" s="4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  <c r="CC821" s="11"/>
      <c r="CD821" s="11"/>
      <c r="CE821" s="11"/>
      <c r="CF821" s="11"/>
      <c r="CG821" s="11"/>
      <c r="CH821" s="11"/>
      <c r="CI821" s="11"/>
      <c r="CJ821" s="11"/>
      <c r="CK821" s="11"/>
      <c r="CL821" s="11"/>
      <c r="CM821" s="11"/>
      <c r="CN821" s="11"/>
      <c r="CO821" s="11"/>
      <c r="CP821" s="40"/>
      <c r="CQ821" s="40"/>
      <c r="CR821" s="40"/>
      <c r="CS821" s="40"/>
      <c r="CT821" s="40"/>
      <c r="CU821" s="40"/>
      <c r="CV821" s="40"/>
      <c r="CW821" s="40"/>
      <c r="CX821" s="40"/>
      <c r="CY821" s="40"/>
      <c r="CZ821" s="40"/>
      <c r="DA821" s="11"/>
      <c r="DB821" s="11"/>
      <c r="DC821" s="11"/>
      <c r="DD821" s="11"/>
      <c r="DE821" s="11"/>
      <c r="DF821" s="11"/>
      <c r="DG821" s="11"/>
    </row>
    <row r="822" ht="15.75" customHeight="1">
      <c r="A822" s="41"/>
      <c r="B822" s="11"/>
      <c r="C822" s="11"/>
      <c r="D822" s="11"/>
      <c r="E822" s="11"/>
      <c r="F822" s="11"/>
      <c r="G822" s="11"/>
      <c r="H822" s="11"/>
      <c r="I822" s="41"/>
      <c r="J822" s="11"/>
      <c r="K822" s="11"/>
      <c r="L822" s="11"/>
      <c r="M822" s="11"/>
      <c r="N822" s="11"/>
      <c r="O822" s="11"/>
      <c r="P822" s="11"/>
      <c r="Q822" s="41"/>
      <c r="R822" s="11"/>
      <c r="S822" s="11"/>
      <c r="T822" s="11"/>
      <c r="U822" s="11"/>
      <c r="V822" s="11"/>
      <c r="W822" s="11"/>
      <c r="X822" s="11"/>
      <c r="Y822" s="4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  <c r="CC822" s="11"/>
      <c r="CD822" s="11"/>
      <c r="CE822" s="11"/>
      <c r="CF822" s="11"/>
      <c r="CG822" s="11"/>
      <c r="CH822" s="11"/>
      <c r="CI822" s="11"/>
      <c r="CJ822" s="11"/>
      <c r="CK822" s="11"/>
      <c r="CL822" s="11"/>
      <c r="CM822" s="11"/>
      <c r="CN822" s="11"/>
      <c r="CO822" s="11"/>
      <c r="CP822" s="40"/>
      <c r="CQ822" s="40"/>
      <c r="CR822" s="40"/>
      <c r="CS822" s="40"/>
      <c r="CT822" s="40"/>
      <c r="CU822" s="40"/>
      <c r="CV822" s="40"/>
      <c r="CW822" s="40"/>
      <c r="CX822" s="40"/>
      <c r="CY822" s="40"/>
      <c r="CZ822" s="40"/>
      <c r="DA822" s="11"/>
      <c r="DB822" s="11"/>
      <c r="DC822" s="11"/>
      <c r="DD822" s="11"/>
      <c r="DE822" s="11"/>
      <c r="DF822" s="11"/>
      <c r="DG822" s="11"/>
    </row>
    <row r="823" ht="15.75" customHeight="1">
      <c r="A823" s="41"/>
      <c r="B823" s="11"/>
      <c r="C823" s="11"/>
      <c r="D823" s="11"/>
      <c r="E823" s="11"/>
      <c r="F823" s="11"/>
      <c r="G823" s="11"/>
      <c r="H823" s="11"/>
      <c r="I823" s="41"/>
      <c r="J823" s="11"/>
      <c r="K823" s="11"/>
      <c r="L823" s="11"/>
      <c r="M823" s="11"/>
      <c r="N823" s="11"/>
      <c r="O823" s="11"/>
      <c r="P823" s="11"/>
      <c r="Q823" s="41"/>
      <c r="R823" s="11"/>
      <c r="S823" s="11"/>
      <c r="T823" s="11"/>
      <c r="U823" s="11"/>
      <c r="V823" s="11"/>
      <c r="W823" s="11"/>
      <c r="X823" s="11"/>
      <c r="Y823" s="4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40"/>
      <c r="CQ823" s="40"/>
      <c r="CR823" s="40"/>
      <c r="CS823" s="40"/>
      <c r="CT823" s="40"/>
      <c r="CU823" s="40"/>
      <c r="CV823" s="40"/>
      <c r="CW823" s="40"/>
      <c r="CX823" s="40"/>
      <c r="CY823" s="40"/>
      <c r="CZ823" s="40"/>
      <c r="DA823" s="11"/>
      <c r="DB823" s="11"/>
      <c r="DC823" s="11"/>
      <c r="DD823" s="11"/>
      <c r="DE823" s="11"/>
      <c r="DF823" s="11"/>
      <c r="DG823" s="11"/>
    </row>
    <row r="824" ht="15.75" customHeight="1">
      <c r="A824" s="41"/>
      <c r="B824" s="11"/>
      <c r="C824" s="11"/>
      <c r="D824" s="11"/>
      <c r="E824" s="11"/>
      <c r="F824" s="11"/>
      <c r="G824" s="11"/>
      <c r="H824" s="11"/>
      <c r="I824" s="41"/>
      <c r="J824" s="11"/>
      <c r="K824" s="11"/>
      <c r="L824" s="11"/>
      <c r="M824" s="11"/>
      <c r="N824" s="11"/>
      <c r="O824" s="11"/>
      <c r="P824" s="11"/>
      <c r="Q824" s="41"/>
      <c r="R824" s="11"/>
      <c r="S824" s="11"/>
      <c r="T824" s="11"/>
      <c r="U824" s="11"/>
      <c r="V824" s="11"/>
      <c r="W824" s="11"/>
      <c r="X824" s="11"/>
      <c r="Y824" s="4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40"/>
      <c r="CQ824" s="40"/>
      <c r="CR824" s="40"/>
      <c r="CS824" s="40"/>
      <c r="CT824" s="40"/>
      <c r="CU824" s="40"/>
      <c r="CV824" s="40"/>
      <c r="CW824" s="40"/>
      <c r="CX824" s="40"/>
      <c r="CY824" s="40"/>
      <c r="CZ824" s="40"/>
      <c r="DA824" s="11"/>
      <c r="DB824" s="11"/>
      <c r="DC824" s="11"/>
      <c r="DD824" s="11"/>
      <c r="DE824" s="11"/>
      <c r="DF824" s="11"/>
      <c r="DG824" s="11"/>
    </row>
    <row r="825" ht="15.75" customHeight="1">
      <c r="A825" s="41"/>
      <c r="B825" s="11"/>
      <c r="C825" s="11"/>
      <c r="D825" s="11"/>
      <c r="E825" s="11"/>
      <c r="F825" s="11"/>
      <c r="G825" s="11"/>
      <c r="H825" s="11"/>
      <c r="I825" s="41"/>
      <c r="J825" s="11"/>
      <c r="K825" s="11"/>
      <c r="L825" s="11"/>
      <c r="M825" s="11"/>
      <c r="N825" s="11"/>
      <c r="O825" s="11"/>
      <c r="P825" s="11"/>
      <c r="Q825" s="41"/>
      <c r="R825" s="11"/>
      <c r="S825" s="11"/>
      <c r="T825" s="11"/>
      <c r="U825" s="11"/>
      <c r="V825" s="11"/>
      <c r="W825" s="11"/>
      <c r="X825" s="11"/>
      <c r="Y825" s="4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40"/>
      <c r="CQ825" s="40"/>
      <c r="CR825" s="40"/>
      <c r="CS825" s="40"/>
      <c r="CT825" s="40"/>
      <c r="CU825" s="40"/>
      <c r="CV825" s="40"/>
      <c r="CW825" s="40"/>
      <c r="CX825" s="40"/>
      <c r="CY825" s="40"/>
      <c r="CZ825" s="40"/>
      <c r="DA825" s="11"/>
      <c r="DB825" s="11"/>
      <c r="DC825" s="11"/>
      <c r="DD825" s="11"/>
      <c r="DE825" s="11"/>
      <c r="DF825" s="11"/>
      <c r="DG825" s="11"/>
    </row>
    <row r="826" ht="15.75" customHeight="1">
      <c r="A826" s="41"/>
      <c r="B826" s="11"/>
      <c r="C826" s="11"/>
      <c r="D826" s="11"/>
      <c r="E826" s="11"/>
      <c r="F826" s="11"/>
      <c r="G826" s="11"/>
      <c r="H826" s="11"/>
      <c r="I826" s="41"/>
      <c r="J826" s="11"/>
      <c r="K826" s="11"/>
      <c r="L826" s="11"/>
      <c r="M826" s="11"/>
      <c r="N826" s="11"/>
      <c r="O826" s="11"/>
      <c r="P826" s="11"/>
      <c r="Q826" s="41"/>
      <c r="R826" s="11"/>
      <c r="S826" s="11"/>
      <c r="T826" s="11"/>
      <c r="U826" s="11"/>
      <c r="V826" s="11"/>
      <c r="W826" s="11"/>
      <c r="X826" s="11"/>
      <c r="Y826" s="4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11"/>
      <c r="CD826" s="11"/>
      <c r="CE826" s="11"/>
      <c r="CF826" s="11"/>
      <c r="CG826" s="11"/>
      <c r="CH826" s="11"/>
      <c r="CI826" s="11"/>
      <c r="CJ826" s="11"/>
      <c r="CK826" s="11"/>
      <c r="CL826" s="11"/>
      <c r="CM826" s="11"/>
      <c r="CN826" s="11"/>
      <c r="CO826" s="11"/>
      <c r="CP826" s="40"/>
      <c r="CQ826" s="40"/>
      <c r="CR826" s="40"/>
      <c r="CS826" s="40"/>
      <c r="CT826" s="40"/>
      <c r="CU826" s="40"/>
      <c r="CV826" s="40"/>
      <c r="CW826" s="40"/>
      <c r="CX826" s="40"/>
      <c r="CY826" s="40"/>
      <c r="CZ826" s="40"/>
      <c r="DA826" s="11"/>
      <c r="DB826" s="11"/>
      <c r="DC826" s="11"/>
      <c r="DD826" s="11"/>
      <c r="DE826" s="11"/>
      <c r="DF826" s="11"/>
      <c r="DG826" s="11"/>
    </row>
    <row r="827" ht="15.75" customHeight="1">
      <c r="A827" s="41"/>
      <c r="B827" s="11"/>
      <c r="C827" s="11"/>
      <c r="D827" s="11"/>
      <c r="E827" s="11"/>
      <c r="F827" s="11"/>
      <c r="G827" s="11"/>
      <c r="H827" s="11"/>
      <c r="I827" s="41"/>
      <c r="J827" s="11"/>
      <c r="K827" s="11"/>
      <c r="L827" s="11"/>
      <c r="M827" s="11"/>
      <c r="N827" s="11"/>
      <c r="O827" s="11"/>
      <c r="P827" s="11"/>
      <c r="Q827" s="41"/>
      <c r="R827" s="11"/>
      <c r="S827" s="11"/>
      <c r="T827" s="11"/>
      <c r="U827" s="11"/>
      <c r="V827" s="11"/>
      <c r="W827" s="11"/>
      <c r="X827" s="11"/>
      <c r="Y827" s="4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  <c r="CC827" s="11"/>
      <c r="CD827" s="11"/>
      <c r="CE827" s="11"/>
      <c r="CF827" s="11"/>
      <c r="CG827" s="11"/>
      <c r="CH827" s="11"/>
      <c r="CI827" s="11"/>
      <c r="CJ827" s="11"/>
      <c r="CK827" s="11"/>
      <c r="CL827" s="11"/>
      <c r="CM827" s="11"/>
      <c r="CN827" s="11"/>
      <c r="CO827" s="11"/>
      <c r="CP827" s="40"/>
      <c r="CQ827" s="40"/>
      <c r="CR827" s="40"/>
      <c r="CS827" s="40"/>
      <c r="CT827" s="40"/>
      <c r="CU827" s="40"/>
      <c r="CV827" s="40"/>
      <c r="CW827" s="40"/>
      <c r="CX827" s="40"/>
      <c r="CY827" s="40"/>
      <c r="CZ827" s="40"/>
      <c r="DA827" s="11"/>
      <c r="DB827" s="11"/>
      <c r="DC827" s="11"/>
      <c r="DD827" s="11"/>
      <c r="DE827" s="11"/>
      <c r="DF827" s="11"/>
      <c r="DG827" s="11"/>
    </row>
    <row r="828" ht="15.75" customHeight="1">
      <c r="A828" s="41"/>
      <c r="B828" s="11"/>
      <c r="C828" s="11"/>
      <c r="D828" s="11"/>
      <c r="E828" s="11"/>
      <c r="F828" s="11"/>
      <c r="G828" s="11"/>
      <c r="H828" s="11"/>
      <c r="I828" s="41"/>
      <c r="J828" s="11"/>
      <c r="K828" s="11"/>
      <c r="L828" s="11"/>
      <c r="M828" s="11"/>
      <c r="N828" s="11"/>
      <c r="O828" s="11"/>
      <c r="P828" s="11"/>
      <c r="Q828" s="41"/>
      <c r="R828" s="11"/>
      <c r="S828" s="11"/>
      <c r="T828" s="11"/>
      <c r="U828" s="11"/>
      <c r="V828" s="11"/>
      <c r="W828" s="11"/>
      <c r="X828" s="11"/>
      <c r="Y828" s="4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11"/>
      <c r="CD828" s="11"/>
      <c r="CE828" s="11"/>
      <c r="CF828" s="11"/>
      <c r="CG828" s="11"/>
      <c r="CH828" s="11"/>
      <c r="CI828" s="11"/>
      <c r="CJ828" s="11"/>
      <c r="CK828" s="11"/>
      <c r="CL828" s="11"/>
      <c r="CM828" s="11"/>
      <c r="CN828" s="11"/>
      <c r="CO828" s="11"/>
      <c r="CP828" s="40"/>
      <c r="CQ828" s="40"/>
      <c r="CR828" s="40"/>
      <c r="CS828" s="40"/>
      <c r="CT828" s="40"/>
      <c r="CU828" s="40"/>
      <c r="CV828" s="40"/>
      <c r="CW828" s="40"/>
      <c r="CX828" s="40"/>
      <c r="CY828" s="40"/>
      <c r="CZ828" s="40"/>
      <c r="DA828" s="11"/>
      <c r="DB828" s="11"/>
      <c r="DC828" s="11"/>
      <c r="DD828" s="11"/>
      <c r="DE828" s="11"/>
      <c r="DF828" s="11"/>
      <c r="DG828" s="11"/>
    </row>
    <row r="829" ht="15.75" customHeight="1">
      <c r="A829" s="41"/>
      <c r="B829" s="11"/>
      <c r="C829" s="11"/>
      <c r="D829" s="11"/>
      <c r="E829" s="11"/>
      <c r="F829" s="11"/>
      <c r="G829" s="11"/>
      <c r="H829" s="11"/>
      <c r="I829" s="41"/>
      <c r="J829" s="11"/>
      <c r="K829" s="11"/>
      <c r="L829" s="11"/>
      <c r="M829" s="11"/>
      <c r="N829" s="11"/>
      <c r="O829" s="11"/>
      <c r="P829" s="11"/>
      <c r="Q829" s="41"/>
      <c r="R829" s="11"/>
      <c r="S829" s="11"/>
      <c r="T829" s="11"/>
      <c r="U829" s="11"/>
      <c r="V829" s="11"/>
      <c r="W829" s="11"/>
      <c r="X829" s="11"/>
      <c r="Y829" s="4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11"/>
      <c r="CD829" s="11"/>
      <c r="CE829" s="11"/>
      <c r="CF829" s="11"/>
      <c r="CG829" s="11"/>
      <c r="CH829" s="11"/>
      <c r="CI829" s="11"/>
      <c r="CJ829" s="11"/>
      <c r="CK829" s="11"/>
      <c r="CL829" s="11"/>
      <c r="CM829" s="11"/>
      <c r="CN829" s="11"/>
      <c r="CO829" s="11"/>
      <c r="CP829" s="40"/>
      <c r="CQ829" s="40"/>
      <c r="CR829" s="40"/>
      <c r="CS829" s="40"/>
      <c r="CT829" s="40"/>
      <c r="CU829" s="40"/>
      <c r="CV829" s="40"/>
      <c r="CW829" s="40"/>
      <c r="CX829" s="40"/>
      <c r="CY829" s="40"/>
      <c r="CZ829" s="40"/>
      <c r="DA829" s="11"/>
      <c r="DB829" s="11"/>
      <c r="DC829" s="11"/>
      <c r="DD829" s="11"/>
      <c r="DE829" s="11"/>
      <c r="DF829" s="11"/>
      <c r="DG829" s="11"/>
    </row>
    <row r="830" ht="15.75" customHeight="1">
      <c r="A830" s="41"/>
      <c r="B830" s="11"/>
      <c r="C830" s="11"/>
      <c r="D830" s="11"/>
      <c r="E830" s="11"/>
      <c r="F830" s="11"/>
      <c r="G830" s="11"/>
      <c r="H830" s="11"/>
      <c r="I830" s="41"/>
      <c r="J830" s="11"/>
      <c r="K830" s="11"/>
      <c r="L830" s="11"/>
      <c r="M830" s="11"/>
      <c r="N830" s="11"/>
      <c r="O830" s="11"/>
      <c r="P830" s="11"/>
      <c r="Q830" s="41"/>
      <c r="R830" s="11"/>
      <c r="S830" s="11"/>
      <c r="T830" s="11"/>
      <c r="U830" s="11"/>
      <c r="V830" s="11"/>
      <c r="W830" s="11"/>
      <c r="X830" s="11"/>
      <c r="Y830" s="4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40"/>
      <c r="CQ830" s="40"/>
      <c r="CR830" s="40"/>
      <c r="CS830" s="40"/>
      <c r="CT830" s="40"/>
      <c r="CU830" s="40"/>
      <c r="CV830" s="40"/>
      <c r="CW830" s="40"/>
      <c r="CX830" s="40"/>
      <c r="CY830" s="40"/>
      <c r="CZ830" s="40"/>
      <c r="DA830" s="11"/>
      <c r="DB830" s="11"/>
      <c r="DC830" s="11"/>
      <c r="DD830" s="11"/>
      <c r="DE830" s="11"/>
      <c r="DF830" s="11"/>
      <c r="DG830" s="11"/>
    </row>
    <row r="831" ht="15.75" customHeight="1">
      <c r="A831" s="41"/>
      <c r="B831" s="11"/>
      <c r="C831" s="11"/>
      <c r="D831" s="11"/>
      <c r="E831" s="11"/>
      <c r="F831" s="11"/>
      <c r="G831" s="11"/>
      <c r="H831" s="11"/>
      <c r="I831" s="41"/>
      <c r="J831" s="11"/>
      <c r="K831" s="11"/>
      <c r="L831" s="11"/>
      <c r="M831" s="11"/>
      <c r="N831" s="11"/>
      <c r="O831" s="11"/>
      <c r="P831" s="11"/>
      <c r="Q831" s="41"/>
      <c r="R831" s="11"/>
      <c r="S831" s="11"/>
      <c r="T831" s="11"/>
      <c r="U831" s="11"/>
      <c r="V831" s="11"/>
      <c r="W831" s="11"/>
      <c r="X831" s="11"/>
      <c r="Y831" s="4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  <c r="CD831" s="11"/>
      <c r="CE831" s="11"/>
      <c r="CF831" s="11"/>
      <c r="CG831" s="11"/>
      <c r="CH831" s="11"/>
      <c r="CI831" s="11"/>
      <c r="CJ831" s="11"/>
      <c r="CK831" s="11"/>
      <c r="CL831" s="11"/>
      <c r="CM831" s="11"/>
      <c r="CN831" s="11"/>
      <c r="CO831" s="11"/>
      <c r="CP831" s="40"/>
      <c r="CQ831" s="40"/>
      <c r="CR831" s="40"/>
      <c r="CS831" s="40"/>
      <c r="CT831" s="40"/>
      <c r="CU831" s="40"/>
      <c r="CV831" s="40"/>
      <c r="CW831" s="40"/>
      <c r="CX831" s="40"/>
      <c r="CY831" s="40"/>
      <c r="CZ831" s="40"/>
      <c r="DA831" s="11"/>
      <c r="DB831" s="11"/>
      <c r="DC831" s="11"/>
      <c r="DD831" s="11"/>
      <c r="DE831" s="11"/>
      <c r="DF831" s="11"/>
      <c r="DG831" s="11"/>
    </row>
    <row r="832" ht="15.75" customHeight="1">
      <c r="A832" s="41"/>
      <c r="B832" s="11"/>
      <c r="C832" s="11"/>
      <c r="D832" s="11"/>
      <c r="E832" s="11"/>
      <c r="F832" s="11"/>
      <c r="G832" s="11"/>
      <c r="H832" s="11"/>
      <c r="I832" s="41"/>
      <c r="J832" s="11"/>
      <c r="K832" s="11"/>
      <c r="L832" s="11"/>
      <c r="M832" s="11"/>
      <c r="N832" s="11"/>
      <c r="O832" s="11"/>
      <c r="P832" s="11"/>
      <c r="Q832" s="41"/>
      <c r="R832" s="11"/>
      <c r="S832" s="11"/>
      <c r="T832" s="11"/>
      <c r="U832" s="11"/>
      <c r="V832" s="11"/>
      <c r="W832" s="11"/>
      <c r="X832" s="11"/>
      <c r="Y832" s="4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  <c r="CD832" s="11"/>
      <c r="CE832" s="11"/>
      <c r="CF832" s="11"/>
      <c r="CG832" s="11"/>
      <c r="CH832" s="11"/>
      <c r="CI832" s="11"/>
      <c r="CJ832" s="11"/>
      <c r="CK832" s="11"/>
      <c r="CL832" s="11"/>
      <c r="CM832" s="11"/>
      <c r="CN832" s="11"/>
      <c r="CO832" s="11"/>
      <c r="CP832" s="40"/>
      <c r="CQ832" s="40"/>
      <c r="CR832" s="40"/>
      <c r="CS832" s="40"/>
      <c r="CT832" s="40"/>
      <c r="CU832" s="40"/>
      <c r="CV832" s="40"/>
      <c r="CW832" s="40"/>
      <c r="CX832" s="40"/>
      <c r="CY832" s="40"/>
      <c r="CZ832" s="40"/>
      <c r="DA832" s="11"/>
      <c r="DB832" s="11"/>
      <c r="DC832" s="11"/>
      <c r="DD832" s="11"/>
      <c r="DE832" s="11"/>
      <c r="DF832" s="11"/>
      <c r="DG832" s="11"/>
    </row>
    <row r="833" ht="15.75" customHeight="1">
      <c r="A833" s="41"/>
      <c r="B833" s="11"/>
      <c r="C833" s="11"/>
      <c r="D833" s="11"/>
      <c r="E833" s="11"/>
      <c r="F833" s="11"/>
      <c r="G833" s="11"/>
      <c r="H833" s="11"/>
      <c r="I833" s="41"/>
      <c r="J833" s="11"/>
      <c r="K833" s="11"/>
      <c r="L833" s="11"/>
      <c r="M833" s="11"/>
      <c r="N833" s="11"/>
      <c r="O833" s="11"/>
      <c r="P833" s="11"/>
      <c r="Q833" s="41"/>
      <c r="R833" s="11"/>
      <c r="S833" s="11"/>
      <c r="T833" s="11"/>
      <c r="U833" s="11"/>
      <c r="V833" s="11"/>
      <c r="W833" s="11"/>
      <c r="X833" s="11"/>
      <c r="Y833" s="4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  <c r="CD833" s="11"/>
      <c r="CE833" s="11"/>
      <c r="CF833" s="11"/>
      <c r="CG833" s="11"/>
      <c r="CH833" s="11"/>
      <c r="CI833" s="11"/>
      <c r="CJ833" s="11"/>
      <c r="CK833" s="11"/>
      <c r="CL833" s="11"/>
      <c r="CM833" s="11"/>
      <c r="CN833" s="11"/>
      <c r="CO833" s="11"/>
      <c r="CP833" s="40"/>
      <c r="CQ833" s="40"/>
      <c r="CR833" s="40"/>
      <c r="CS833" s="40"/>
      <c r="CT833" s="40"/>
      <c r="CU833" s="40"/>
      <c r="CV833" s="40"/>
      <c r="CW833" s="40"/>
      <c r="CX833" s="40"/>
      <c r="CY833" s="40"/>
      <c r="CZ833" s="40"/>
      <c r="DA833" s="11"/>
      <c r="DB833" s="11"/>
      <c r="DC833" s="11"/>
      <c r="DD833" s="11"/>
      <c r="DE833" s="11"/>
      <c r="DF833" s="11"/>
      <c r="DG833" s="11"/>
    </row>
    <row r="834" ht="15.75" customHeight="1">
      <c r="A834" s="41"/>
      <c r="B834" s="11"/>
      <c r="C834" s="11"/>
      <c r="D834" s="11"/>
      <c r="E834" s="11"/>
      <c r="F834" s="11"/>
      <c r="G834" s="11"/>
      <c r="H834" s="11"/>
      <c r="I834" s="41"/>
      <c r="J834" s="11"/>
      <c r="K834" s="11"/>
      <c r="L834" s="11"/>
      <c r="M834" s="11"/>
      <c r="N834" s="11"/>
      <c r="O834" s="11"/>
      <c r="P834" s="11"/>
      <c r="Q834" s="41"/>
      <c r="R834" s="11"/>
      <c r="S834" s="11"/>
      <c r="T834" s="11"/>
      <c r="U834" s="11"/>
      <c r="V834" s="11"/>
      <c r="W834" s="11"/>
      <c r="X834" s="11"/>
      <c r="Y834" s="4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  <c r="CD834" s="11"/>
      <c r="CE834" s="11"/>
      <c r="CF834" s="11"/>
      <c r="CG834" s="11"/>
      <c r="CH834" s="11"/>
      <c r="CI834" s="11"/>
      <c r="CJ834" s="11"/>
      <c r="CK834" s="11"/>
      <c r="CL834" s="11"/>
      <c r="CM834" s="11"/>
      <c r="CN834" s="11"/>
      <c r="CO834" s="11"/>
      <c r="CP834" s="40"/>
      <c r="CQ834" s="40"/>
      <c r="CR834" s="40"/>
      <c r="CS834" s="40"/>
      <c r="CT834" s="40"/>
      <c r="CU834" s="40"/>
      <c r="CV834" s="40"/>
      <c r="CW834" s="40"/>
      <c r="CX834" s="40"/>
      <c r="CY834" s="40"/>
      <c r="CZ834" s="40"/>
      <c r="DA834" s="11"/>
      <c r="DB834" s="11"/>
      <c r="DC834" s="11"/>
      <c r="DD834" s="11"/>
      <c r="DE834" s="11"/>
      <c r="DF834" s="11"/>
      <c r="DG834" s="11"/>
    </row>
    <row r="835" ht="15.75" customHeight="1">
      <c r="A835" s="41"/>
      <c r="B835" s="11"/>
      <c r="C835" s="11"/>
      <c r="D835" s="11"/>
      <c r="E835" s="11"/>
      <c r="F835" s="11"/>
      <c r="G835" s="11"/>
      <c r="H835" s="11"/>
      <c r="I835" s="41"/>
      <c r="J835" s="11"/>
      <c r="K835" s="11"/>
      <c r="L835" s="11"/>
      <c r="M835" s="11"/>
      <c r="N835" s="11"/>
      <c r="O835" s="11"/>
      <c r="P835" s="11"/>
      <c r="Q835" s="41"/>
      <c r="R835" s="11"/>
      <c r="S835" s="11"/>
      <c r="T835" s="11"/>
      <c r="U835" s="11"/>
      <c r="V835" s="11"/>
      <c r="W835" s="11"/>
      <c r="X835" s="11"/>
      <c r="Y835" s="4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  <c r="CD835" s="11"/>
      <c r="CE835" s="11"/>
      <c r="CF835" s="11"/>
      <c r="CG835" s="11"/>
      <c r="CH835" s="11"/>
      <c r="CI835" s="11"/>
      <c r="CJ835" s="11"/>
      <c r="CK835" s="11"/>
      <c r="CL835" s="11"/>
      <c r="CM835" s="11"/>
      <c r="CN835" s="11"/>
      <c r="CO835" s="11"/>
      <c r="CP835" s="40"/>
      <c r="CQ835" s="40"/>
      <c r="CR835" s="40"/>
      <c r="CS835" s="40"/>
      <c r="CT835" s="40"/>
      <c r="CU835" s="40"/>
      <c r="CV835" s="40"/>
      <c r="CW835" s="40"/>
      <c r="CX835" s="40"/>
      <c r="CY835" s="40"/>
      <c r="CZ835" s="40"/>
      <c r="DA835" s="11"/>
      <c r="DB835" s="11"/>
      <c r="DC835" s="11"/>
      <c r="DD835" s="11"/>
      <c r="DE835" s="11"/>
      <c r="DF835" s="11"/>
      <c r="DG835" s="11"/>
    </row>
    <row r="836" ht="15.75" customHeight="1">
      <c r="A836" s="41"/>
      <c r="B836" s="11"/>
      <c r="C836" s="11"/>
      <c r="D836" s="11"/>
      <c r="E836" s="11"/>
      <c r="F836" s="11"/>
      <c r="G836" s="11"/>
      <c r="H836" s="11"/>
      <c r="I836" s="41"/>
      <c r="J836" s="11"/>
      <c r="K836" s="11"/>
      <c r="L836" s="11"/>
      <c r="M836" s="11"/>
      <c r="N836" s="11"/>
      <c r="O836" s="11"/>
      <c r="P836" s="11"/>
      <c r="Q836" s="41"/>
      <c r="R836" s="11"/>
      <c r="S836" s="11"/>
      <c r="T836" s="11"/>
      <c r="U836" s="11"/>
      <c r="V836" s="11"/>
      <c r="W836" s="11"/>
      <c r="X836" s="11"/>
      <c r="Y836" s="4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  <c r="CC836" s="11"/>
      <c r="CD836" s="11"/>
      <c r="CE836" s="11"/>
      <c r="CF836" s="11"/>
      <c r="CG836" s="11"/>
      <c r="CH836" s="11"/>
      <c r="CI836" s="11"/>
      <c r="CJ836" s="11"/>
      <c r="CK836" s="11"/>
      <c r="CL836" s="11"/>
      <c r="CM836" s="11"/>
      <c r="CN836" s="11"/>
      <c r="CO836" s="11"/>
      <c r="CP836" s="40"/>
      <c r="CQ836" s="40"/>
      <c r="CR836" s="40"/>
      <c r="CS836" s="40"/>
      <c r="CT836" s="40"/>
      <c r="CU836" s="40"/>
      <c r="CV836" s="40"/>
      <c r="CW836" s="40"/>
      <c r="CX836" s="40"/>
      <c r="CY836" s="40"/>
      <c r="CZ836" s="40"/>
      <c r="DA836" s="11"/>
      <c r="DB836" s="11"/>
      <c r="DC836" s="11"/>
      <c r="DD836" s="11"/>
      <c r="DE836" s="11"/>
      <c r="DF836" s="11"/>
      <c r="DG836" s="11"/>
    </row>
    <row r="837" ht="15.75" customHeight="1">
      <c r="A837" s="41"/>
      <c r="B837" s="11"/>
      <c r="C837" s="11"/>
      <c r="D837" s="11"/>
      <c r="E837" s="11"/>
      <c r="F837" s="11"/>
      <c r="G837" s="11"/>
      <c r="H837" s="11"/>
      <c r="I837" s="41"/>
      <c r="J837" s="11"/>
      <c r="K837" s="11"/>
      <c r="L837" s="11"/>
      <c r="M837" s="11"/>
      <c r="N837" s="11"/>
      <c r="O837" s="11"/>
      <c r="P837" s="11"/>
      <c r="Q837" s="41"/>
      <c r="R837" s="11"/>
      <c r="S837" s="11"/>
      <c r="T837" s="11"/>
      <c r="U837" s="11"/>
      <c r="V837" s="11"/>
      <c r="W837" s="11"/>
      <c r="X837" s="11"/>
      <c r="Y837" s="4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11"/>
      <c r="CD837" s="11"/>
      <c r="CE837" s="11"/>
      <c r="CF837" s="11"/>
      <c r="CG837" s="11"/>
      <c r="CH837" s="11"/>
      <c r="CI837" s="11"/>
      <c r="CJ837" s="11"/>
      <c r="CK837" s="11"/>
      <c r="CL837" s="11"/>
      <c r="CM837" s="11"/>
      <c r="CN837" s="11"/>
      <c r="CO837" s="11"/>
      <c r="CP837" s="40"/>
      <c r="CQ837" s="40"/>
      <c r="CR837" s="40"/>
      <c r="CS837" s="40"/>
      <c r="CT837" s="40"/>
      <c r="CU837" s="40"/>
      <c r="CV837" s="40"/>
      <c r="CW837" s="40"/>
      <c r="CX837" s="40"/>
      <c r="CY837" s="40"/>
      <c r="CZ837" s="40"/>
      <c r="DA837" s="11"/>
      <c r="DB837" s="11"/>
      <c r="DC837" s="11"/>
      <c r="DD837" s="11"/>
      <c r="DE837" s="11"/>
      <c r="DF837" s="11"/>
      <c r="DG837" s="11"/>
    </row>
    <row r="838" ht="15.75" customHeight="1">
      <c r="A838" s="41"/>
      <c r="B838" s="11"/>
      <c r="C838" s="11"/>
      <c r="D838" s="11"/>
      <c r="E838" s="11"/>
      <c r="F838" s="11"/>
      <c r="G838" s="11"/>
      <c r="H838" s="11"/>
      <c r="I838" s="41"/>
      <c r="J838" s="11"/>
      <c r="K838" s="11"/>
      <c r="L838" s="11"/>
      <c r="M838" s="11"/>
      <c r="N838" s="11"/>
      <c r="O838" s="11"/>
      <c r="P838" s="11"/>
      <c r="Q838" s="41"/>
      <c r="R838" s="11"/>
      <c r="S838" s="11"/>
      <c r="T838" s="11"/>
      <c r="U838" s="11"/>
      <c r="V838" s="11"/>
      <c r="W838" s="11"/>
      <c r="X838" s="11"/>
      <c r="Y838" s="4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  <c r="CD838" s="11"/>
      <c r="CE838" s="11"/>
      <c r="CF838" s="11"/>
      <c r="CG838" s="11"/>
      <c r="CH838" s="11"/>
      <c r="CI838" s="11"/>
      <c r="CJ838" s="11"/>
      <c r="CK838" s="11"/>
      <c r="CL838" s="11"/>
      <c r="CM838" s="11"/>
      <c r="CN838" s="11"/>
      <c r="CO838" s="11"/>
      <c r="CP838" s="40"/>
      <c r="CQ838" s="40"/>
      <c r="CR838" s="40"/>
      <c r="CS838" s="40"/>
      <c r="CT838" s="40"/>
      <c r="CU838" s="40"/>
      <c r="CV838" s="40"/>
      <c r="CW838" s="40"/>
      <c r="CX838" s="40"/>
      <c r="CY838" s="40"/>
      <c r="CZ838" s="40"/>
      <c r="DA838" s="11"/>
      <c r="DB838" s="11"/>
      <c r="DC838" s="11"/>
      <c r="DD838" s="11"/>
      <c r="DE838" s="11"/>
      <c r="DF838" s="11"/>
      <c r="DG838" s="11"/>
    </row>
    <row r="839" ht="15.75" customHeight="1">
      <c r="A839" s="41"/>
      <c r="B839" s="11"/>
      <c r="C839" s="11"/>
      <c r="D839" s="11"/>
      <c r="E839" s="11"/>
      <c r="F839" s="11"/>
      <c r="G839" s="11"/>
      <c r="H839" s="11"/>
      <c r="I839" s="41"/>
      <c r="J839" s="11"/>
      <c r="K839" s="11"/>
      <c r="L839" s="11"/>
      <c r="M839" s="11"/>
      <c r="N839" s="11"/>
      <c r="O839" s="11"/>
      <c r="P839" s="11"/>
      <c r="Q839" s="41"/>
      <c r="R839" s="11"/>
      <c r="S839" s="11"/>
      <c r="T839" s="11"/>
      <c r="U839" s="11"/>
      <c r="V839" s="11"/>
      <c r="W839" s="11"/>
      <c r="X839" s="11"/>
      <c r="Y839" s="4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  <c r="CC839" s="11"/>
      <c r="CD839" s="11"/>
      <c r="CE839" s="11"/>
      <c r="CF839" s="11"/>
      <c r="CG839" s="11"/>
      <c r="CH839" s="11"/>
      <c r="CI839" s="11"/>
      <c r="CJ839" s="11"/>
      <c r="CK839" s="11"/>
      <c r="CL839" s="11"/>
      <c r="CM839" s="11"/>
      <c r="CN839" s="11"/>
      <c r="CO839" s="11"/>
      <c r="CP839" s="40"/>
      <c r="CQ839" s="40"/>
      <c r="CR839" s="40"/>
      <c r="CS839" s="40"/>
      <c r="CT839" s="40"/>
      <c r="CU839" s="40"/>
      <c r="CV839" s="40"/>
      <c r="CW839" s="40"/>
      <c r="CX839" s="40"/>
      <c r="CY839" s="40"/>
      <c r="CZ839" s="40"/>
      <c r="DA839" s="11"/>
      <c r="DB839" s="11"/>
      <c r="DC839" s="11"/>
      <c r="DD839" s="11"/>
      <c r="DE839" s="11"/>
      <c r="DF839" s="11"/>
      <c r="DG839" s="11"/>
    </row>
    <row r="840" ht="15.75" customHeight="1">
      <c r="A840" s="41"/>
      <c r="B840" s="11"/>
      <c r="C840" s="11"/>
      <c r="D840" s="11"/>
      <c r="E840" s="11"/>
      <c r="F840" s="11"/>
      <c r="G840" s="11"/>
      <c r="H840" s="11"/>
      <c r="I840" s="41"/>
      <c r="J840" s="11"/>
      <c r="K840" s="11"/>
      <c r="L840" s="11"/>
      <c r="M840" s="11"/>
      <c r="N840" s="11"/>
      <c r="O840" s="11"/>
      <c r="P840" s="11"/>
      <c r="Q840" s="41"/>
      <c r="R840" s="11"/>
      <c r="S840" s="11"/>
      <c r="T840" s="11"/>
      <c r="U840" s="11"/>
      <c r="V840" s="11"/>
      <c r="W840" s="11"/>
      <c r="X840" s="11"/>
      <c r="Y840" s="4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11"/>
      <c r="CD840" s="11"/>
      <c r="CE840" s="11"/>
      <c r="CF840" s="11"/>
      <c r="CG840" s="11"/>
      <c r="CH840" s="11"/>
      <c r="CI840" s="11"/>
      <c r="CJ840" s="11"/>
      <c r="CK840" s="11"/>
      <c r="CL840" s="11"/>
      <c r="CM840" s="11"/>
      <c r="CN840" s="11"/>
      <c r="CO840" s="11"/>
      <c r="CP840" s="40"/>
      <c r="CQ840" s="40"/>
      <c r="CR840" s="40"/>
      <c r="CS840" s="40"/>
      <c r="CT840" s="40"/>
      <c r="CU840" s="40"/>
      <c r="CV840" s="40"/>
      <c r="CW840" s="40"/>
      <c r="CX840" s="40"/>
      <c r="CY840" s="40"/>
      <c r="CZ840" s="40"/>
      <c r="DA840" s="11"/>
      <c r="DB840" s="11"/>
      <c r="DC840" s="11"/>
      <c r="DD840" s="11"/>
      <c r="DE840" s="11"/>
      <c r="DF840" s="11"/>
      <c r="DG840" s="11"/>
    </row>
    <row r="841" ht="15.75" customHeight="1">
      <c r="A841" s="41"/>
      <c r="B841" s="11"/>
      <c r="C841" s="11"/>
      <c r="D841" s="11"/>
      <c r="E841" s="11"/>
      <c r="F841" s="11"/>
      <c r="G841" s="11"/>
      <c r="H841" s="11"/>
      <c r="I841" s="41"/>
      <c r="J841" s="11"/>
      <c r="K841" s="11"/>
      <c r="L841" s="11"/>
      <c r="M841" s="11"/>
      <c r="N841" s="11"/>
      <c r="O841" s="11"/>
      <c r="P841" s="11"/>
      <c r="Q841" s="41"/>
      <c r="R841" s="11"/>
      <c r="S841" s="11"/>
      <c r="T841" s="11"/>
      <c r="U841" s="11"/>
      <c r="V841" s="11"/>
      <c r="W841" s="11"/>
      <c r="X841" s="11"/>
      <c r="Y841" s="4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11"/>
      <c r="CD841" s="11"/>
      <c r="CE841" s="11"/>
      <c r="CF841" s="11"/>
      <c r="CG841" s="11"/>
      <c r="CH841" s="11"/>
      <c r="CI841" s="11"/>
      <c r="CJ841" s="11"/>
      <c r="CK841" s="11"/>
      <c r="CL841" s="11"/>
      <c r="CM841" s="11"/>
      <c r="CN841" s="11"/>
      <c r="CO841" s="11"/>
      <c r="CP841" s="40"/>
      <c r="CQ841" s="40"/>
      <c r="CR841" s="40"/>
      <c r="CS841" s="40"/>
      <c r="CT841" s="40"/>
      <c r="CU841" s="40"/>
      <c r="CV841" s="40"/>
      <c r="CW841" s="40"/>
      <c r="CX841" s="40"/>
      <c r="CY841" s="40"/>
      <c r="CZ841" s="40"/>
      <c r="DA841" s="11"/>
      <c r="DB841" s="11"/>
      <c r="DC841" s="11"/>
      <c r="DD841" s="11"/>
      <c r="DE841" s="11"/>
      <c r="DF841" s="11"/>
      <c r="DG841" s="11"/>
    </row>
    <row r="842" ht="15.75" customHeight="1">
      <c r="A842" s="41"/>
      <c r="B842" s="11"/>
      <c r="C842" s="11"/>
      <c r="D842" s="11"/>
      <c r="E842" s="11"/>
      <c r="F842" s="11"/>
      <c r="G842" s="11"/>
      <c r="H842" s="11"/>
      <c r="I842" s="41"/>
      <c r="J842" s="11"/>
      <c r="K842" s="11"/>
      <c r="L842" s="11"/>
      <c r="M842" s="11"/>
      <c r="N842" s="11"/>
      <c r="O842" s="11"/>
      <c r="P842" s="11"/>
      <c r="Q842" s="41"/>
      <c r="R842" s="11"/>
      <c r="S842" s="11"/>
      <c r="T842" s="11"/>
      <c r="U842" s="11"/>
      <c r="V842" s="11"/>
      <c r="W842" s="11"/>
      <c r="X842" s="11"/>
      <c r="Y842" s="4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11"/>
      <c r="CD842" s="11"/>
      <c r="CE842" s="11"/>
      <c r="CF842" s="11"/>
      <c r="CG842" s="11"/>
      <c r="CH842" s="11"/>
      <c r="CI842" s="11"/>
      <c r="CJ842" s="11"/>
      <c r="CK842" s="11"/>
      <c r="CL842" s="11"/>
      <c r="CM842" s="11"/>
      <c r="CN842" s="11"/>
      <c r="CO842" s="11"/>
      <c r="CP842" s="40"/>
      <c r="CQ842" s="40"/>
      <c r="CR842" s="40"/>
      <c r="CS842" s="40"/>
      <c r="CT842" s="40"/>
      <c r="CU842" s="40"/>
      <c r="CV842" s="40"/>
      <c r="CW842" s="40"/>
      <c r="CX842" s="40"/>
      <c r="CY842" s="40"/>
      <c r="CZ842" s="40"/>
      <c r="DA842" s="11"/>
      <c r="DB842" s="11"/>
      <c r="DC842" s="11"/>
      <c r="DD842" s="11"/>
      <c r="DE842" s="11"/>
      <c r="DF842" s="11"/>
      <c r="DG842" s="11"/>
    </row>
    <row r="843" ht="15.75" customHeight="1">
      <c r="A843" s="41"/>
      <c r="B843" s="11"/>
      <c r="C843" s="11"/>
      <c r="D843" s="11"/>
      <c r="E843" s="11"/>
      <c r="F843" s="11"/>
      <c r="G843" s="11"/>
      <c r="H843" s="11"/>
      <c r="I843" s="41"/>
      <c r="J843" s="11"/>
      <c r="K843" s="11"/>
      <c r="L843" s="11"/>
      <c r="M843" s="11"/>
      <c r="N843" s="11"/>
      <c r="O843" s="11"/>
      <c r="P843" s="11"/>
      <c r="Q843" s="41"/>
      <c r="R843" s="11"/>
      <c r="S843" s="11"/>
      <c r="T843" s="11"/>
      <c r="U843" s="11"/>
      <c r="V843" s="11"/>
      <c r="W843" s="11"/>
      <c r="X843" s="11"/>
      <c r="Y843" s="4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11"/>
      <c r="CD843" s="11"/>
      <c r="CE843" s="11"/>
      <c r="CF843" s="11"/>
      <c r="CG843" s="11"/>
      <c r="CH843" s="11"/>
      <c r="CI843" s="11"/>
      <c r="CJ843" s="11"/>
      <c r="CK843" s="11"/>
      <c r="CL843" s="11"/>
      <c r="CM843" s="11"/>
      <c r="CN843" s="11"/>
      <c r="CO843" s="11"/>
      <c r="CP843" s="40"/>
      <c r="CQ843" s="40"/>
      <c r="CR843" s="40"/>
      <c r="CS843" s="40"/>
      <c r="CT843" s="40"/>
      <c r="CU843" s="40"/>
      <c r="CV843" s="40"/>
      <c r="CW843" s="40"/>
      <c r="CX843" s="40"/>
      <c r="CY843" s="40"/>
      <c r="CZ843" s="40"/>
      <c r="DA843" s="11"/>
      <c r="DB843" s="11"/>
      <c r="DC843" s="11"/>
      <c r="DD843" s="11"/>
      <c r="DE843" s="11"/>
      <c r="DF843" s="11"/>
      <c r="DG843" s="11"/>
    </row>
    <row r="844" ht="15.75" customHeight="1">
      <c r="A844" s="41"/>
      <c r="B844" s="11"/>
      <c r="C844" s="11"/>
      <c r="D844" s="11"/>
      <c r="E844" s="11"/>
      <c r="F844" s="11"/>
      <c r="G844" s="11"/>
      <c r="H844" s="11"/>
      <c r="I844" s="41"/>
      <c r="J844" s="11"/>
      <c r="K844" s="11"/>
      <c r="L844" s="11"/>
      <c r="M844" s="11"/>
      <c r="N844" s="11"/>
      <c r="O844" s="11"/>
      <c r="P844" s="11"/>
      <c r="Q844" s="41"/>
      <c r="R844" s="11"/>
      <c r="S844" s="11"/>
      <c r="T844" s="11"/>
      <c r="U844" s="11"/>
      <c r="V844" s="11"/>
      <c r="W844" s="11"/>
      <c r="X844" s="11"/>
      <c r="Y844" s="4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11"/>
      <c r="CD844" s="11"/>
      <c r="CE844" s="11"/>
      <c r="CF844" s="11"/>
      <c r="CG844" s="11"/>
      <c r="CH844" s="11"/>
      <c r="CI844" s="11"/>
      <c r="CJ844" s="11"/>
      <c r="CK844" s="11"/>
      <c r="CL844" s="11"/>
      <c r="CM844" s="11"/>
      <c r="CN844" s="11"/>
      <c r="CO844" s="11"/>
      <c r="CP844" s="40"/>
      <c r="CQ844" s="40"/>
      <c r="CR844" s="40"/>
      <c r="CS844" s="40"/>
      <c r="CT844" s="40"/>
      <c r="CU844" s="40"/>
      <c r="CV844" s="40"/>
      <c r="CW844" s="40"/>
      <c r="CX844" s="40"/>
      <c r="CY844" s="40"/>
      <c r="CZ844" s="40"/>
      <c r="DA844" s="11"/>
      <c r="DB844" s="11"/>
      <c r="DC844" s="11"/>
      <c r="DD844" s="11"/>
      <c r="DE844" s="11"/>
      <c r="DF844" s="11"/>
      <c r="DG844" s="11"/>
    </row>
    <row r="845" ht="15.75" customHeight="1">
      <c r="A845" s="41"/>
      <c r="B845" s="11"/>
      <c r="C845" s="11"/>
      <c r="D845" s="11"/>
      <c r="E845" s="11"/>
      <c r="F845" s="11"/>
      <c r="G845" s="11"/>
      <c r="H845" s="11"/>
      <c r="I845" s="41"/>
      <c r="J845" s="11"/>
      <c r="K845" s="11"/>
      <c r="L845" s="11"/>
      <c r="M845" s="11"/>
      <c r="N845" s="11"/>
      <c r="O845" s="11"/>
      <c r="P845" s="11"/>
      <c r="Q845" s="41"/>
      <c r="R845" s="11"/>
      <c r="S845" s="11"/>
      <c r="T845" s="11"/>
      <c r="U845" s="11"/>
      <c r="V845" s="11"/>
      <c r="W845" s="11"/>
      <c r="X845" s="11"/>
      <c r="Y845" s="4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  <c r="CC845" s="11"/>
      <c r="CD845" s="11"/>
      <c r="CE845" s="11"/>
      <c r="CF845" s="11"/>
      <c r="CG845" s="11"/>
      <c r="CH845" s="11"/>
      <c r="CI845" s="11"/>
      <c r="CJ845" s="11"/>
      <c r="CK845" s="11"/>
      <c r="CL845" s="11"/>
      <c r="CM845" s="11"/>
      <c r="CN845" s="11"/>
      <c r="CO845" s="11"/>
      <c r="CP845" s="40"/>
      <c r="CQ845" s="40"/>
      <c r="CR845" s="40"/>
      <c r="CS845" s="40"/>
      <c r="CT845" s="40"/>
      <c r="CU845" s="40"/>
      <c r="CV845" s="40"/>
      <c r="CW845" s="40"/>
      <c r="CX845" s="40"/>
      <c r="CY845" s="40"/>
      <c r="CZ845" s="40"/>
      <c r="DA845" s="11"/>
      <c r="DB845" s="11"/>
      <c r="DC845" s="11"/>
      <c r="DD845" s="11"/>
      <c r="DE845" s="11"/>
      <c r="DF845" s="11"/>
      <c r="DG845" s="11"/>
    </row>
    <row r="846" ht="15.75" customHeight="1">
      <c r="A846" s="41"/>
      <c r="B846" s="11"/>
      <c r="C846" s="11"/>
      <c r="D846" s="11"/>
      <c r="E846" s="11"/>
      <c r="F846" s="11"/>
      <c r="G846" s="11"/>
      <c r="H846" s="11"/>
      <c r="I846" s="41"/>
      <c r="J846" s="11"/>
      <c r="K846" s="11"/>
      <c r="L846" s="11"/>
      <c r="M846" s="11"/>
      <c r="N846" s="11"/>
      <c r="O846" s="11"/>
      <c r="P846" s="11"/>
      <c r="Q846" s="41"/>
      <c r="R846" s="11"/>
      <c r="S846" s="11"/>
      <c r="T846" s="11"/>
      <c r="U846" s="11"/>
      <c r="V846" s="11"/>
      <c r="W846" s="11"/>
      <c r="X846" s="11"/>
      <c r="Y846" s="4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11"/>
      <c r="CD846" s="11"/>
      <c r="CE846" s="11"/>
      <c r="CF846" s="11"/>
      <c r="CG846" s="11"/>
      <c r="CH846" s="11"/>
      <c r="CI846" s="11"/>
      <c r="CJ846" s="11"/>
      <c r="CK846" s="11"/>
      <c r="CL846" s="11"/>
      <c r="CM846" s="11"/>
      <c r="CN846" s="11"/>
      <c r="CO846" s="11"/>
      <c r="CP846" s="40"/>
      <c r="CQ846" s="40"/>
      <c r="CR846" s="40"/>
      <c r="CS846" s="40"/>
      <c r="CT846" s="40"/>
      <c r="CU846" s="40"/>
      <c r="CV846" s="40"/>
      <c r="CW846" s="40"/>
      <c r="CX846" s="40"/>
      <c r="CY846" s="40"/>
      <c r="CZ846" s="40"/>
      <c r="DA846" s="11"/>
      <c r="DB846" s="11"/>
      <c r="DC846" s="11"/>
      <c r="DD846" s="11"/>
      <c r="DE846" s="11"/>
      <c r="DF846" s="11"/>
      <c r="DG846" s="11"/>
    </row>
    <row r="847" ht="15.75" customHeight="1">
      <c r="A847" s="41"/>
      <c r="B847" s="11"/>
      <c r="C847" s="11"/>
      <c r="D847" s="11"/>
      <c r="E847" s="11"/>
      <c r="F847" s="11"/>
      <c r="G847" s="11"/>
      <c r="H847" s="11"/>
      <c r="I847" s="41"/>
      <c r="J847" s="11"/>
      <c r="K847" s="11"/>
      <c r="L847" s="11"/>
      <c r="M847" s="11"/>
      <c r="N847" s="11"/>
      <c r="O847" s="11"/>
      <c r="P847" s="11"/>
      <c r="Q847" s="41"/>
      <c r="R847" s="11"/>
      <c r="S847" s="11"/>
      <c r="T847" s="11"/>
      <c r="U847" s="11"/>
      <c r="V847" s="11"/>
      <c r="W847" s="11"/>
      <c r="X847" s="11"/>
      <c r="Y847" s="4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11"/>
      <c r="CD847" s="11"/>
      <c r="CE847" s="11"/>
      <c r="CF847" s="11"/>
      <c r="CG847" s="11"/>
      <c r="CH847" s="11"/>
      <c r="CI847" s="11"/>
      <c r="CJ847" s="11"/>
      <c r="CK847" s="11"/>
      <c r="CL847" s="11"/>
      <c r="CM847" s="11"/>
      <c r="CN847" s="11"/>
      <c r="CO847" s="11"/>
      <c r="CP847" s="40"/>
      <c r="CQ847" s="40"/>
      <c r="CR847" s="40"/>
      <c r="CS847" s="40"/>
      <c r="CT847" s="40"/>
      <c r="CU847" s="40"/>
      <c r="CV847" s="40"/>
      <c r="CW847" s="40"/>
      <c r="CX847" s="40"/>
      <c r="CY847" s="40"/>
      <c r="CZ847" s="40"/>
      <c r="DA847" s="11"/>
      <c r="DB847" s="11"/>
      <c r="DC847" s="11"/>
      <c r="DD847" s="11"/>
      <c r="DE847" s="11"/>
      <c r="DF847" s="11"/>
      <c r="DG847" s="11"/>
    </row>
    <row r="848" ht="15.75" customHeight="1">
      <c r="A848" s="41"/>
      <c r="B848" s="11"/>
      <c r="C848" s="11"/>
      <c r="D848" s="11"/>
      <c r="E848" s="11"/>
      <c r="F848" s="11"/>
      <c r="G848" s="11"/>
      <c r="H848" s="11"/>
      <c r="I848" s="41"/>
      <c r="J848" s="11"/>
      <c r="K848" s="11"/>
      <c r="L848" s="11"/>
      <c r="M848" s="11"/>
      <c r="N848" s="11"/>
      <c r="O848" s="11"/>
      <c r="P848" s="11"/>
      <c r="Q848" s="41"/>
      <c r="R848" s="11"/>
      <c r="S848" s="11"/>
      <c r="T848" s="11"/>
      <c r="U848" s="11"/>
      <c r="V848" s="11"/>
      <c r="W848" s="11"/>
      <c r="X848" s="11"/>
      <c r="Y848" s="4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11"/>
      <c r="CD848" s="11"/>
      <c r="CE848" s="11"/>
      <c r="CF848" s="11"/>
      <c r="CG848" s="11"/>
      <c r="CH848" s="11"/>
      <c r="CI848" s="11"/>
      <c r="CJ848" s="11"/>
      <c r="CK848" s="11"/>
      <c r="CL848" s="11"/>
      <c r="CM848" s="11"/>
      <c r="CN848" s="11"/>
      <c r="CO848" s="11"/>
      <c r="CP848" s="40"/>
      <c r="CQ848" s="40"/>
      <c r="CR848" s="40"/>
      <c r="CS848" s="40"/>
      <c r="CT848" s="40"/>
      <c r="CU848" s="40"/>
      <c r="CV848" s="40"/>
      <c r="CW848" s="40"/>
      <c r="CX848" s="40"/>
      <c r="CY848" s="40"/>
      <c r="CZ848" s="40"/>
      <c r="DA848" s="11"/>
      <c r="DB848" s="11"/>
      <c r="DC848" s="11"/>
      <c r="DD848" s="11"/>
      <c r="DE848" s="11"/>
      <c r="DF848" s="11"/>
      <c r="DG848" s="11"/>
    </row>
    <row r="849" ht="15.75" customHeight="1">
      <c r="A849" s="41"/>
      <c r="B849" s="11"/>
      <c r="C849" s="11"/>
      <c r="D849" s="11"/>
      <c r="E849" s="11"/>
      <c r="F849" s="11"/>
      <c r="G849" s="11"/>
      <c r="H849" s="11"/>
      <c r="I849" s="41"/>
      <c r="J849" s="11"/>
      <c r="K849" s="11"/>
      <c r="L849" s="11"/>
      <c r="M849" s="11"/>
      <c r="N849" s="11"/>
      <c r="O849" s="11"/>
      <c r="P849" s="11"/>
      <c r="Q849" s="41"/>
      <c r="R849" s="11"/>
      <c r="S849" s="11"/>
      <c r="T849" s="11"/>
      <c r="U849" s="11"/>
      <c r="V849" s="11"/>
      <c r="W849" s="11"/>
      <c r="X849" s="11"/>
      <c r="Y849" s="4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  <c r="CC849" s="11"/>
      <c r="CD849" s="11"/>
      <c r="CE849" s="11"/>
      <c r="CF849" s="11"/>
      <c r="CG849" s="11"/>
      <c r="CH849" s="11"/>
      <c r="CI849" s="11"/>
      <c r="CJ849" s="11"/>
      <c r="CK849" s="11"/>
      <c r="CL849" s="11"/>
      <c r="CM849" s="11"/>
      <c r="CN849" s="11"/>
      <c r="CO849" s="11"/>
      <c r="CP849" s="40"/>
      <c r="CQ849" s="40"/>
      <c r="CR849" s="40"/>
      <c r="CS849" s="40"/>
      <c r="CT849" s="40"/>
      <c r="CU849" s="40"/>
      <c r="CV849" s="40"/>
      <c r="CW849" s="40"/>
      <c r="CX849" s="40"/>
      <c r="CY849" s="40"/>
      <c r="CZ849" s="40"/>
      <c r="DA849" s="11"/>
      <c r="DB849" s="11"/>
      <c r="DC849" s="11"/>
      <c r="DD849" s="11"/>
      <c r="DE849" s="11"/>
      <c r="DF849" s="11"/>
      <c r="DG849" s="11"/>
    </row>
    <row r="850" ht="15.75" customHeight="1">
      <c r="A850" s="41"/>
      <c r="B850" s="11"/>
      <c r="C850" s="11"/>
      <c r="D850" s="11"/>
      <c r="E850" s="11"/>
      <c r="F850" s="11"/>
      <c r="G850" s="11"/>
      <c r="H850" s="11"/>
      <c r="I850" s="41"/>
      <c r="J850" s="11"/>
      <c r="K850" s="11"/>
      <c r="L850" s="11"/>
      <c r="M850" s="11"/>
      <c r="N850" s="11"/>
      <c r="O850" s="11"/>
      <c r="P850" s="11"/>
      <c r="Q850" s="41"/>
      <c r="R850" s="11"/>
      <c r="S850" s="11"/>
      <c r="T850" s="11"/>
      <c r="U850" s="11"/>
      <c r="V850" s="11"/>
      <c r="W850" s="11"/>
      <c r="X850" s="11"/>
      <c r="Y850" s="4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  <c r="CC850" s="11"/>
      <c r="CD850" s="11"/>
      <c r="CE850" s="11"/>
      <c r="CF850" s="11"/>
      <c r="CG850" s="11"/>
      <c r="CH850" s="11"/>
      <c r="CI850" s="11"/>
      <c r="CJ850" s="11"/>
      <c r="CK850" s="11"/>
      <c r="CL850" s="11"/>
      <c r="CM850" s="11"/>
      <c r="CN850" s="11"/>
      <c r="CO850" s="11"/>
      <c r="CP850" s="40"/>
      <c r="CQ850" s="40"/>
      <c r="CR850" s="40"/>
      <c r="CS850" s="40"/>
      <c r="CT850" s="40"/>
      <c r="CU850" s="40"/>
      <c r="CV850" s="40"/>
      <c r="CW850" s="40"/>
      <c r="CX850" s="40"/>
      <c r="CY850" s="40"/>
      <c r="CZ850" s="40"/>
      <c r="DA850" s="11"/>
      <c r="DB850" s="11"/>
      <c r="DC850" s="11"/>
      <c r="DD850" s="11"/>
      <c r="DE850" s="11"/>
      <c r="DF850" s="11"/>
      <c r="DG850" s="11"/>
    </row>
    <row r="851" ht="15.75" customHeight="1">
      <c r="A851" s="41"/>
      <c r="B851" s="11"/>
      <c r="C851" s="11"/>
      <c r="D851" s="11"/>
      <c r="E851" s="11"/>
      <c r="F851" s="11"/>
      <c r="G851" s="11"/>
      <c r="H851" s="11"/>
      <c r="I851" s="41"/>
      <c r="J851" s="11"/>
      <c r="K851" s="11"/>
      <c r="L851" s="11"/>
      <c r="M851" s="11"/>
      <c r="N851" s="11"/>
      <c r="O851" s="11"/>
      <c r="P851" s="11"/>
      <c r="Q851" s="41"/>
      <c r="R851" s="11"/>
      <c r="S851" s="11"/>
      <c r="T851" s="11"/>
      <c r="U851" s="11"/>
      <c r="V851" s="11"/>
      <c r="W851" s="11"/>
      <c r="X851" s="11"/>
      <c r="Y851" s="4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  <c r="CC851" s="11"/>
      <c r="CD851" s="11"/>
      <c r="CE851" s="11"/>
      <c r="CF851" s="11"/>
      <c r="CG851" s="11"/>
      <c r="CH851" s="11"/>
      <c r="CI851" s="11"/>
      <c r="CJ851" s="11"/>
      <c r="CK851" s="11"/>
      <c r="CL851" s="11"/>
      <c r="CM851" s="11"/>
      <c r="CN851" s="11"/>
      <c r="CO851" s="11"/>
      <c r="CP851" s="40"/>
      <c r="CQ851" s="40"/>
      <c r="CR851" s="40"/>
      <c r="CS851" s="40"/>
      <c r="CT851" s="40"/>
      <c r="CU851" s="40"/>
      <c r="CV851" s="40"/>
      <c r="CW851" s="40"/>
      <c r="CX851" s="40"/>
      <c r="CY851" s="40"/>
      <c r="CZ851" s="40"/>
      <c r="DA851" s="11"/>
      <c r="DB851" s="11"/>
      <c r="DC851" s="11"/>
      <c r="DD851" s="11"/>
      <c r="DE851" s="11"/>
      <c r="DF851" s="11"/>
      <c r="DG851" s="11"/>
    </row>
    <row r="852" ht="15.75" customHeight="1">
      <c r="A852" s="41"/>
      <c r="B852" s="11"/>
      <c r="C852" s="11"/>
      <c r="D852" s="11"/>
      <c r="E852" s="11"/>
      <c r="F852" s="11"/>
      <c r="G852" s="11"/>
      <c r="H852" s="11"/>
      <c r="I852" s="41"/>
      <c r="J852" s="11"/>
      <c r="K852" s="11"/>
      <c r="L852" s="11"/>
      <c r="M852" s="11"/>
      <c r="N852" s="11"/>
      <c r="O852" s="11"/>
      <c r="P852" s="11"/>
      <c r="Q852" s="41"/>
      <c r="R852" s="11"/>
      <c r="S852" s="11"/>
      <c r="T852" s="11"/>
      <c r="U852" s="11"/>
      <c r="V852" s="11"/>
      <c r="W852" s="11"/>
      <c r="X852" s="11"/>
      <c r="Y852" s="4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  <c r="CD852" s="11"/>
      <c r="CE852" s="11"/>
      <c r="CF852" s="11"/>
      <c r="CG852" s="11"/>
      <c r="CH852" s="11"/>
      <c r="CI852" s="11"/>
      <c r="CJ852" s="11"/>
      <c r="CK852" s="11"/>
      <c r="CL852" s="11"/>
      <c r="CM852" s="11"/>
      <c r="CN852" s="11"/>
      <c r="CO852" s="11"/>
      <c r="CP852" s="40"/>
      <c r="CQ852" s="40"/>
      <c r="CR852" s="40"/>
      <c r="CS852" s="40"/>
      <c r="CT852" s="40"/>
      <c r="CU852" s="40"/>
      <c r="CV852" s="40"/>
      <c r="CW852" s="40"/>
      <c r="CX852" s="40"/>
      <c r="CY852" s="40"/>
      <c r="CZ852" s="40"/>
      <c r="DA852" s="11"/>
      <c r="DB852" s="11"/>
      <c r="DC852" s="11"/>
      <c r="DD852" s="11"/>
      <c r="DE852" s="11"/>
      <c r="DF852" s="11"/>
      <c r="DG852" s="11"/>
    </row>
    <row r="853" ht="15.75" customHeight="1">
      <c r="A853" s="41"/>
      <c r="B853" s="11"/>
      <c r="C853" s="11"/>
      <c r="D853" s="11"/>
      <c r="E853" s="11"/>
      <c r="F853" s="11"/>
      <c r="G853" s="11"/>
      <c r="H853" s="11"/>
      <c r="I853" s="41"/>
      <c r="J853" s="11"/>
      <c r="K853" s="11"/>
      <c r="L853" s="11"/>
      <c r="M853" s="11"/>
      <c r="N853" s="11"/>
      <c r="O853" s="11"/>
      <c r="P853" s="11"/>
      <c r="Q853" s="41"/>
      <c r="R853" s="11"/>
      <c r="S853" s="11"/>
      <c r="T853" s="11"/>
      <c r="U853" s="11"/>
      <c r="V853" s="11"/>
      <c r="W853" s="11"/>
      <c r="X853" s="11"/>
      <c r="Y853" s="4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11"/>
      <c r="CD853" s="11"/>
      <c r="CE853" s="11"/>
      <c r="CF853" s="11"/>
      <c r="CG853" s="11"/>
      <c r="CH853" s="11"/>
      <c r="CI853" s="11"/>
      <c r="CJ853" s="11"/>
      <c r="CK853" s="11"/>
      <c r="CL853" s="11"/>
      <c r="CM853" s="11"/>
      <c r="CN853" s="11"/>
      <c r="CO853" s="11"/>
      <c r="CP853" s="40"/>
      <c r="CQ853" s="40"/>
      <c r="CR853" s="40"/>
      <c r="CS853" s="40"/>
      <c r="CT853" s="40"/>
      <c r="CU853" s="40"/>
      <c r="CV853" s="40"/>
      <c r="CW853" s="40"/>
      <c r="CX853" s="40"/>
      <c r="CY853" s="40"/>
      <c r="CZ853" s="40"/>
      <c r="DA853" s="11"/>
      <c r="DB853" s="11"/>
      <c r="DC853" s="11"/>
      <c r="DD853" s="11"/>
      <c r="DE853" s="11"/>
      <c r="DF853" s="11"/>
      <c r="DG853" s="11"/>
    </row>
    <row r="854" ht="15.75" customHeight="1">
      <c r="A854" s="41"/>
      <c r="B854" s="11"/>
      <c r="C854" s="11"/>
      <c r="D854" s="11"/>
      <c r="E854" s="11"/>
      <c r="F854" s="11"/>
      <c r="G854" s="11"/>
      <c r="H854" s="11"/>
      <c r="I854" s="41"/>
      <c r="J854" s="11"/>
      <c r="K854" s="11"/>
      <c r="L854" s="11"/>
      <c r="M854" s="11"/>
      <c r="N854" s="11"/>
      <c r="O854" s="11"/>
      <c r="P854" s="11"/>
      <c r="Q854" s="41"/>
      <c r="R854" s="11"/>
      <c r="S854" s="11"/>
      <c r="T854" s="11"/>
      <c r="U854" s="11"/>
      <c r="V854" s="11"/>
      <c r="W854" s="11"/>
      <c r="X854" s="11"/>
      <c r="Y854" s="4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  <c r="CC854" s="11"/>
      <c r="CD854" s="11"/>
      <c r="CE854" s="11"/>
      <c r="CF854" s="11"/>
      <c r="CG854" s="11"/>
      <c r="CH854" s="11"/>
      <c r="CI854" s="11"/>
      <c r="CJ854" s="11"/>
      <c r="CK854" s="11"/>
      <c r="CL854" s="11"/>
      <c r="CM854" s="11"/>
      <c r="CN854" s="11"/>
      <c r="CO854" s="11"/>
      <c r="CP854" s="40"/>
      <c r="CQ854" s="40"/>
      <c r="CR854" s="40"/>
      <c r="CS854" s="40"/>
      <c r="CT854" s="40"/>
      <c r="CU854" s="40"/>
      <c r="CV854" s="40"/>
      <c r="CW854" s="40"/>
      <c r="CX854" s="40"/>
      <c r="CY854" s="40"/>
      <c r="CZ854" s="40"/>
      <c r="DA854" s="11"/>
      <c r="DB854" s="11"/>
      <c r="DC854" s="11"/>
      <c r="DD854" s="11"/>
      <c r="DE854" s="11"/>
      <c r="DF854" s="11"/>
      <c r="DG854" s="11"/>
    </row>
    <row r="855" ht="15.75" customHeight="1">
      <c r="A855" s="41"/>
      <c r="B855" s="11"/>
      <c r="C855" s="11"/>
      <c r="D855" s="11"/>
      <c r="E855" s="11"/>
      <c r="F855" s="11"/>
      <c r="G855" s="11"/>
      <c r="H855" s="11"/>
      <c r="I855" s="41"/>
      <c r="J855" s="11"/>
      <c r="K855" s="11"/>
      <c r="L855" s="11"/>
      <c r="M855" s="11"/>
      <c r="N855" s="11"/>
      <c r="O855" s="11"/>
      <c r="P855" s="11"/>
      <c r="Q855" s="41"/>
      <c r="R855" s="11"/>
      <c r="S855" s="11"/>
      <c r="T855" s="11"/>
      <c r="U855" s="11"/>
      <c r="V855" s="11"/>
      <c r="W855" s="11"/>
      <c r="X855" s="11"/>
      <c r="Y855" s="4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  <c r="CC855" s="11"/>
      <c r="CD855" s="11"/>
      <c r="CE855" s="11"/>
      <c r="CF855" s="11"/>
      <c r="CG855" s="11"/>
      <c r="CH855" s="11"/>
      <c r="CI855" s="11"/>
      <c r="CJ855" s="11"/>
      <c r="CK855" s="11"/>
      <c r="CL855" s="11"/>
      <c r="CM855" s="11"/>
      <c r="CN855" s="11"/>
      <c r="CO855" s="11"/>
      <c r="CP855" s="40"/>
      <c r="CQ855" s="40"/>
      <c r="CR855" s="40"/>
      <c r="CS855" s="40"/>
      <c r="CT855" s="40"/>
      <c r="CU855" s="40"/>
      <c r="CV855" s="40"/>
      <c r="CW855" s="40"/>
      <c r="CX855" s="40"/>
      <c r="CY855" s="40"/>
      <c r="CZ855" s="40"/>
      <c r="DA855" s="11"/>
      <c r="DB855" s="11"/>
      <c r="DC855" s="11"/>
      <c r="DD855" s="11"/>
      <c r="DE855" s="11"/>
      <c r="DF855" s="11"/>
      <c r="DG855" s="11"/>
    </row>
    <row r="856" ht="15.75" customHeight="1">
      <c r="A856" s="41"/>
      <c r="B856" s="11"/>
      <c r="C856" s="11"/>
      <c r="D856" s="11"/>
      <c r="E856" s="11"/>
      <c r="F856" s="11"/>
      <c r="G856" s="11"/>
      <c r="H856" s="11"/>
      <c r="I856" s="41"/>
      <c r="J856" s="11"/>
      <c r="K856" s="11"/>
      <c r="L856" s="11"/>
      <c r="M856" s="11"/>
      <c r="N856" s="11"/>
      <c r="O856" s="11"/>
      <c r="P856" s="11"/>
      <c r="Q856" s="41"/>
      <c r="R856" s="11"/>
      <c r="S856" s="11"/>
      <c r="T856" s="11"/>
      <c r="U856" s="11"/>
      <c r="V856" s="11"/>
      <c r="W856" s="11"/>
      <c r="X856" s="11"/>
      <c r="Y856" s="4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  <c r="CD856" s="11"/>
      <c r="CE856" s="11"/>
      <c r="CF856" s="11"/>
      <c r="CG856" s="11"/>
      <c r="CH856" s="11"/>
      <c r="CI856" s="11"/>
      <c r="CJ856" s="11"/>
      <c r="CK856" s="11"/>
      <c r="CL856" s="11"/>
      <c r="CM856" s="11"/>
      <c r="CN856" s="11"/>
      <c r="CO856" s="11"/>
      <c r="CP856" s="40"/>
      <c r="CQ856" s="40"/>
      <c r="CR856" s="40"/>
      <c r="CS856" s="40"/>
      <c r="CT856" s="40"/>
      <c r="CU856" s="40"/>
      <c r="CV856" s="40"/>
      <c r="CW856" s="40"/>
      <c r="CX856" s="40"/>
      <c r="CY856" s="40"/>
      <c r="CZ856" s="40"/>
      <c r="DA856" s="11"/>
      <c r="DB856" s="11"/>
      <c r="DC856" s="11"/>
      <c r="DD856" s="11"/>
      <c r="DE856" s="11"/>
      <c r="DF856" s="11"/>
      <c r="DG856" s="11"/>
    </row>
    <row r="857" ht="15.75" customHeight="1">
      <c r="A857" s="41"/>
      <c r="B857" s="11"/>
      <c r="C857" s="11"/>
      <c r="D857" s="11"/>
      <c r="E857" s="11"/>
      <c r="F857" s="11"/>
      <c r="G857" s="11"/>
      <c r="H857" s="11"/>
      <c r="I857" s="41"/>
      <c r="J857" s="11"/>
      <c r="K857" s="11"/>
      <c r="L857" s="11"/>
      <c r="M857" s="11"/>
      <c r="N857" s="11"/>
      <c r="O857" s="11"/>
      <c r="P857" s="11"/>
      <c r="Q857" s="41"/>
      <c r="R857" s="11"/>
      <c r="S857" s="11"/>
      <c r="T857" s="11"/>
      <c r="U857" s="11"/>
      <c r="V857" s="11"/>
      <c r="W857" s="11"/>
      <c r="X857" s="11"/>
      <c r="Y857" s="4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11"/>
      <c r="CD857" s="11"/>
      <c r="CE857" s="11"/>
      <c r="CF857" s="11"/>
      <c r="CG857" s="11"/>
      <c r="CH857" s="11"/>
      <c r="CI857" s="11"/>
      <c r="CJ857" s="11"/>
      <c r="CK857" s="11"/>
      <c r="CL857" s="11"/>
      <c r="CM857" s="11"/>
      <c r="CN857" s="11"/>
      <c r="CO857" s="11"/>
      <c r="CP857" s="40"/>
      <c r="CQ857" s="40"/>
      <c r="CR857" s="40"/>
      <c r="CS857" s="40"/>
      <c r="CT857" s="40"/>
      <c r="CU857" s="40"/>
      <c r="CV857" s="40"/>
      <c r="CW857" s="40"/>
      <c r="CX857" s="40"/>
      <c r="CY857" s="40"/>
      <c r="CZ857" s="40"/>
      <c r="DA857" s="11"/>
      <c r="DB857" s="11"/>
      <c r="DC857" s="11"/>
      <c r="DD857" s="11"/>
      <c r="DE857" s="11"/>
      <c r="DF857" s="11"/>
      <c r="DG857" s="11"/>
    </row>
    <row r="858" ht="15.75" customHeight="1">
      <c r="A858" s="41"/>
      <c r="B858" s="11"/>
      <c r="C858" s="11"/>
      <c r="D858" s="11"/>
      <c r="E858" s="11"/>
      <c r="F858" s="11"/>
      <c r="G858" s="11"/>
      <c r="H858" s="11"/>
      <c r="I858" s="41"/>
      <c r="J858" s="11"/>
      <c r="K858" s="11"/>
      <c r="L858" s="11"/>
      <c r="M858" s="11"/>
      <c r="N858" s="11"/>
      <c r="O858" s="11"/>
      <c r="P858" s="11"/>
      <c r="Q858" s="41"/>
      <c r="R858" s="11"/>
      <c r="S858" s="11"/>
      <c r="T858" s="11"/>
      <c r="U858" s="11"/>
      <c r="V858" s="11"/>
      <c r="W858" s="11"/>
      <c r="X858" s="11"/>
      <c r="Y858" s="4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  <c r="CD858" s="11"/>
      <c r="CE858" s="11"/>
      <c r="CF858" s="11"/>
      <c r="CG858" s="11"/>
      <c r="CH858" s="11"/>
      <c r="CI858" s="11"/>
      <c r="CJ858" s="11"/>
      <c r="CK858" s="11"/>
      <c r="CL858" s="11"/>
      <c r="CM858" s="11"/>
      <c r="CN858" s="11"/>
      <c r="CO858" s="11"/>
      <c r="CP858" s="40"/>
      <c r="CQ858" s="40"/>
      <c r="CR858" s="40"/>
      <c r="CS858" s="40"/>
      <c r="CT858" s="40"/>
      <c r="CU858" s="40"/>
      <c r="CV858" s="40"/>
      <c r="CW858" s="40"/>
      <c r="CX858" s="40"/>
      <c r="CY858" s="40"/>
      <c r="CZ858" s="40"/>
      <c r="DA858" s="11"/>
      <c r="DB858" s="11"/>
      <c r="DC858" s="11"/>
      <c r="DD858" s="11"/>
      <c r="DE858" s="11"/>
      <c r="DF858" s="11"/>
      <c r="DG858" s="11"/>
    </row>
    <row r="859" ht="15.75" customHeight="1">
      <c r="A859" s="41"/>
      <c r="B859" s="11"/>
      <c r="C859" s="11"/>
      <c r="D859" s="11"/>
      <c r="E859" s="11"/>
      <c r="F859" s="11"/>
      <c r="G859" s="11"/>
      <c r="H859" s="11"/>
      <c r="I859" s="41"/>
      <c r="J859" s="11"/>
      <c r="K859" s="11"/>
      <c r="L859" s="11"/>
      <c r="M859" s="11"/>
      <c r="N859" s="11"/>
      <c r="O859" s="11"/>
      <c r="P859" s="11"/>
      <c r="Q859" s="41"/>
      <c r="R859" s="11"/>
      <c r="S859" s="11"/>
      <c r="T859" s="11"/>
      <c r="U859" s="11"/>
      <c r="V859" s="11"/>
      <c r="W859" s="11"/>
      <c r="X859" s="11"/>
      <c r="Y859" s="4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  <c r="CA859" s="11"/>
      <c r="CB859" s="11"/>
      <c r="CC859" s="11"/>
      <c r="CD859" s="11"/>
      <c r="CE859" s="11"/>
      <c r="CF859" s="11"/>
      <c r="CG859" s="11"/>
      <c r="CH859" s="11"/>
      <c r="CI859" s="11"/>
      <c r="CJ859" s="11"/>
      <c r="CK859" s="11"/>
      <c r="CL859" s="11"/>
      <c r="CM859" s="11"/>
      <c r="CN859" s="11"/>
      <c r="CO859" s="11"/>
      <c r="CP859" s="40"/>
      <c r="CQ859" s="40"/>
      <c r="CR859" s="40"/>
      <c r="CS859" s="40"/>
      <c r="CT859" s="40"/>
      <c r="CU859" s="40"/>
      <c r="CV859" s="40"/>
      <c r="CW859" s="40"/>
      <c r="CX859" s="40"/>
      <c r="CY859" s="40"/>
      <c r="CZ859" s="40"/>
      <c r="DA859" s="11"/>
      <c r="DB859" s="11"/>
      <c r="DC859" s="11"/>
      <c r="DD859" s="11"/>
      <c r="DE859" s="11"/>
      <c r="DF859" s="11"/>
      <c r="DG859" s="11"/>
    </row>
    <row r="860" ht="15.75" customHeight="1">
      <c r="A860" s="41"/>
      <c r="B860" s="11"/>
      <c r="C860" s="11"/>
      <c r="D860" s="11"/>
      <c r="E860" s="11"/>
      <c r="F860" s="11"/>
      <c r="G860" s="11"/>
      <c r="H860" s="11"/>
      <c r="I860" s="41"/>
      <c r="J860" s="11"/>
      <c r="K860" s="11"/>
      <c r="L860" s="11"/>
      <c r="M860" s="11"/>
      <c r="N860" s="11"/>
      <c r="O860" s="11"/>
      <c r="P860" s="11"/>
      <c r="Q860" s="41"/>
      <c r="R860" s="11"/>
      <c r="S860" s="11"/>
      <c r="T860" s="11"/>
      <c r="U860" s="11"/>
      <c r="V860" s="11"/>
      <c r="W860" s="11"/>
      <c r="X860" s="11"/>
      <c r="Y860" s="4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  <c r="BZ860" s="11"/>
      <c r="CA860" s="11"/>
      <c r="CB860" s="11"/>
      <c r="CC860" s="11"/>
      <c r="CD860" s="11"/>
      <c r="CE860" s="11"/>
      <c r="CF860" s="11"/>
      <c r="CG860" s="11"/>
      <c r="CH860" s="11"/>
      <c r="CI860" s="11"/>
      <c r="CJ860" s="11"/>
      <c r="CK860" s="11"/>
      <c r="CL860" s="11"/>
      <c r="CM860" s="11"/>
      <c r="CN860" s="11"/>
      <c r="CO860" s="11"/>
      <c r="CP860" s="40"/>
      <c r="CQ860" s="40"/>
      <c r="CR860" s="40"/>
      <c r="CS860" s="40"/>
      <c r="CT860" s="40"/>
      <c r="CU860" s="40"/>
      <c r="CV860" s="40"/>
      <c r="CW860" s="40"/>
      <c r="CX860" s="40"/>
      <c r="CY860" s="40"/>
      <c r="CZ860" s="40"/>
      <c r="DA860" s="11"/>
      <c r="DB860" s="11"/>
      <c r="DC860" s="11"/>
      <c r="DD860" s="11"/>
      <c r="DE860" s="11"/>
      <c r="DF860" s="11"/>
      <c r="DG860" s="11"/>
    </row>
    <row r="861" ht="15.75" customHeight="1">
      <c r="A861" s="41"/>
      <c r="B861" s="11"/>
      <c r="C861" s="11"/>
      <c r="D861" s="11"/>
      <c r="E861" s="11"/>
      <c r="F861" s="11"/>
      <c r="G861" s="11"/>
      <c r="H861" s="11"/>
      <c r="I861" s="41"/>
      <c r="J861" s="11"/>
      <c r="K861" s="11"/>
      <c r="L861" s="11"/>
      <c r="M861" s="11"/>
      <c r="N861" s="11"/>
      <c r="O861" s="11"/>
      <c r="P861" s="11"/>
      <c r="Q861" s="41"/>
      <c r="R861" s="11"/>
      <c r="S861" s="11"/>
      <c r="T861" s="11"/>
      <c r="U861" s="11"/>
      <c r="V861" s="11"/>
      <c r="W861" s="11"/>
      <c r="X861" s="11"/>
      <c r="Y861" s="4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40"/>
      <c r="CQ861" s="40"/>
      <c r="CR861" s="40"/>
      <c r="CS861" s="40"/>
      <c r="CT861" s="40"/>
      <c r="CU861" s="40"/>
      <c r="CV861" s="40"/>
      <c r="CW861" s="40"/>
      <c r="CX861" s="40"/>
      <c r="CY861" s="40"/>
      <c r="CZ861" s="40"/>
      <c r="DA861" s="11"/>
      <c r="DB861" s="11"/>
      <c r="DC861" s="11"/>
      <c r="DD861" s="11"/>
      <c r="DE861" s="11"/>
      <c r="DF861" s="11"/>
      <c r="DG861" s="11"/>
    </row>
    <row r="862" ht="15.75" customHeight="1">
      <c r="A862" s="41"/>
      <c r="B862" s="11"/>
      <c r="C862" s="11"/>
      <c r="D862" s="11"/>
      <c r="E862" s="11"/>
      <c r="F862" s="11"/>
      <c r="G862" s="11"/>
      <c r="H862" s="11"/>
      <c r="I862" s="41"/>
      <c r="J862" s="11"/>
      <c r="K862" s="11"/>
      <c r="L862" s="11"/>
      <c r="M862" s="11"/>
      <c r="N862" s="11"/>
      <c r="O862" s="11"/>
      <c r="P862" s="11"/>
      <c r="Q862" s="41"/>
      <c r="R862" s="11"/>
      <c r="S862" s="11"/>
      <c r="T862" s="11"/>
      <c r="U862" s="11"/>
      <c r="V862" s="11"/>
      <c r="W862" s="11"/>
      <c r="X862" s="11"/>
      <c r="Y862" s="4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  <c r="BZ862" s="11"/>
      <c r="CA862" s="11"/>
      <c r="CB862" s="11"/>
      <c r="CC862" s="11"/>
      <c r="CD862" s="11"/>
      <c r="CE862" s="11"/>
      <c r="CF862" s="11"/>
      <c r="CG862" s="11"/>
      <c r="CH862" s="11"/>
      <c r="CI862" s="11"/>
      <c r="CJ862" s="11"/>
      <c r="CK862" s="11"/>
      <c r="CL862" s="11"/>
      <c r="CM862" s="11"/>
      <c r="CN862" s="11"/>
      <c r="CO862" s="11"/>
      <c r="CP862" s="40"/>
      <c r="CQ862" s="40"/>
      <c r="CR862" s="40"/>
      <c r="CS862" s="40"/>
      <c r="CT862" s="40"/>
      <c r="CU862" s="40"/>
      <c r="CV862" s="40"/>
      <c r="CW862" s="40"/>
      <c r="CX862" s="40"/>
      <c r="CY862" s="40"/>
      <c r="CZ862" s="40"/>
      <c r="DA862" s="11"/>
      <c r="DB862" s="11"/>
      <c r="DC862" s="11"/>
      <c r="DD862" s="11"/>
      <c r="DE862" s="11"/>
      <c r="DF862" s="11"/>
      <c r="DG862" s="11"/>
    </row>
    <row r="863" ht="15.75" customHeight="1">
      <c r="A863" s="41"/>
      <c r="B863" s="11"/>
      <c r="C863" s="11"/>
      <c r="D863" s="11"/>
      <c r="E863" s="11"/>
      <c r="F863" s="11"/>
      <c r="G863" s="11"/>
      <c r="H863" s="11"/>
      <c r="I863" s="41"/>
      <c r="J863" s="11"/>
      <c r="K863" s="11"/>
      <c r="L863" s="11"/>
      <c r="M863" s="11"/>
      <c r="N863" s="11"/>
      <c r="O863" s="11"/>
      <c r="P863" s="11"/>
      <c r="Q863" s="41"/>
      <c r="R863" s="11"/>
      <c r="S863" s="11"/>
      <c r="T863" s="11"/>
      <c r="U863" s="11"/>
      <c r="V863" s="11"/>
      <c r="W863" s="11"/>
      <c r="X863" s="11"/>
      <c r="Y863" s="4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  <c r="BZ863" s="11"/>
      <c r="CA863" s="11"/>
      <c r="CB863" s="11"/>
      <c r="CC863" s="11"/>
      <c r="CD863" s="11"/>
      <c r="CE863" s="11"/>
      <c r="CF863" s="11"/>
      <c r="CG863" s="11"/>
      <c r="CH863" s="11"/>
      <c r="CI863" s="11"/>
      <c r="CJ863" s="11"/>
      <c r="CK863" s="11"/>
      <c r="CL863" s="11"/>
      <c r="CM863" s="11"/>
      <c r="CN863" s="11"/>
      <c r="CO863" s="11"/>
      <c r="CP863" s="40"/>
      <c r="CQ863" s="40"/>
      <c r="CR863" s="40"/>
      <c r="CS863" s="40"/>
      <c r="CT863" s="40"/>
      <c r="CU863" s="40"/>
      <c r="CV863" s="40"/>
      <c r="CW863" s="40"/>
      <c r="CX863" s="40"/>
      <c r="CY863" s="40"/>
      <c r="CZ863" s="40"/>
      <c r="DA863" s="11"/>
      <c r="DB863" s="11"/>
      <c r="DC863" s="11"/>
      <c r="DD863" s="11"/>
      <c r="DE863" s="11"/>
      <c r="DF863" s="11"/>
      <c r="DG863" s="11"/>
    </row>
    <row r="864" ht="15.75" customHeight="1">
      <c r="A864" s="41"/>
      <c r="B864" s="11"/>
      <c r="C864" s="11"/>
      <c r="D864" s="11"/>
      <c r="E864" s="11"/>
      <c r="F864" s="11"/>
      <c r="G864" s="11"/>
      <c r="H864" s="11"/>
      <c r="I864" s="41"/>
      <c r="J864" s="11"/>
      <c r="K864" s="11"/>
      <c r="L864" s="11"/>
      <c r="M864" s="11"/>
      <c r="N864" s="11"/>
      <c r="O864" s="11"/>
      <c r="P864" s="11"/>
      <c r="Q864" s="41"/>
      <c r="R864" s="11"/>
      <c r="S864" s="11"/>
      <c r="T864" s="11"/>
      <c r="U864" s="11"/>
      <c r="V864" s="11"/>
      <c r="W864" s="11"/>
      <c r="X864" s="11"/>
      <c r="Y864" s="4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  <c r="BZ864" s="11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40"/>
      <c r="CQ864" s="40"/>
      <c r="CR864" s="40"/>
      <c r="CS864" s="40"/>
      <c r="CT864" s="40"/>
      <c r="CU864" s="40"/>
      <c r="CV864" s="40"/>
      <c r="CW864" s="40"/>
      <c r="CX864" s="40"/>
      <c r="CY864" s="40"/>
      <c r="CZ864" s="40"/>
      <c r="DA864" s="11"/>
      <c r="DB864" s="11"/>
      <c r="DC864" s="11"/>
      <c r="DD864" s="11"/>
      <c r="DE864" s="11"/>
      <c r="DF864" s="11"/>
      <c r="DG864" s="11"/>
    </row>
    <row r="865" ht="15.75" customHeight="1">
      <c r="A865" s="41"/>
      <c r="B865" s="11"/>
      <c r="C865" s="11"/>
      <c r="D865" s="11"/>
      <c r="E865" s="11"/>
      <c r="F865" s="11"/>
      <c r="G865" s="11"/>
      <c r="H865" s="11"/>
      <c r="I865" s="41"/>
      <c r="J865" s="11"/>
      <c r="K865" s="11"/>
      <c r="L865" s="11"/>
      <c r="M865" s="11"/>
      <c r="N865" s="11"/>
      <c r="O865" s="11"/>
      <c r="P865" s="11"/>
      <c r="Q865" s="41"/>
      <c r="R865" s="11"/>
      <c r="S865" s="11"/>
      <c r="T865" s="11"/>
      <c r="U865" s="11"/>
      <c r="V865" s="11"/>
      <c r="W865" s="11"/>
      <c r="X865" s="11"/>
      <c r="Y865" s="4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40"/>
      <c r="CQ865" s="40"/>
      <c r="CR865" s="40"/>
      <c r="CS865" s="40"/>
      <c r="CT865" s="40"/>
      <c r="CU865" s="40"/>
      <c r="CV865" s="40"/>
      <c r="CW865" s="40"/>
      <c r="CX865" s="40"/>
      <c r="CY865" s="40"/>
      <c r="CZ865" s="40"/>
      <c r="DA865" s="11"/>
      <c r="DB865" s="11"/>
      <c r="DC865" s="11"/>
      <c r="DD865" s="11"/>
      <c r="DE865" s="11"/>
      <c r="DF865" s="11"/>
      <c r="DG865" s="11"/>
    </row>
    <row r="866" ht="15.75" customHeight="1">
      <c r="A866" s="41"/>
      <c r="B866" s="11"/>
      <c r="C866" s="11"/>
      <c r="D866" s="11"/>
      <c r="E866" s="11"/>
      <c r="F866" s="11"/>
      <c r="G866" s="11"/>
      <c r="H866" s="11"/>
      <c r="I866" s="41"/>
      <c r="J866" s="11"/>
      <c r="K866" s="11"/>
      <c r="L866" s="11"/>
      <c r="M866" s="11"/>
      <c r="N866" s="11"/>
      <c r="O866" s="11"/>
      <c r="P866" s="11"/>
      <c r="Q866" s="41"/>
      <c r="R866" s="11"/>
      <c r="S866" s="11"/>
      <c r="T866" s="11"/>
      <c r="U866" s="11"/>
      <c r="V866" s="11"/>
      <c r="W866" s="11"/>
      <c r="X866" s="11"/>
      <c r="Y866" s="4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  <c r="BZ866" s="11"/>
      <c r="CA866" s="11"/>
      <c r="CB866" s="11"/>
      <c r="CC866" s="11"/>
      <c r="CD866" s="11"/>
      <c r="CE866" s="11"/>
      <c r="CF866" s="11"/>
      <c r="CG866" s="11"/>
      <c r="CH866" s="11"/>
      <c r="CI866" s="11"/>
      <c r="CJ866" s="11"/>
      <c r="CK866" s="11"/>
      <c r="CL866" s="11"/>
      <c r="CM866" s="11"/>
      <c r="CN866" s="11"/>
      <c r="CO866" s="11"/>
      <c r="CP866" s="40"/>
      <c r="CQ866" s="40"/>
      <c r="CR866" s="40"/>
      <c r="CS866" s="40"/>
      <c r="CT866" s="40"/>
      <c r="CU866" s="40"/>
      <c r="CV866" s="40"/>
      <c r="CW866" s="40"/>
      <c r="CX866" s="40"/>
      <c r="CY866" s="40"/>
      <c r="CZ866" s="40"/>
      <c r="DA866" s="11"/>
      <c r="DB866" s="11"/>
      <c r="DC866" s="11"/>
      <c r="DD866" s="11"/>
      <c r="DE866" s="11"/>
      <c r="DF866" s="11"/>
      <c r="DG866" s="11"/>
    </row>
    <row r="867" ht="15.75" customHeight="1">
      <c r="A867" s="41"/>
      <c r="B867" s="11"/>
      <c r="C867" s="11"/>
      <c r="D867" s="11"/>
      <c r="E867" s="11"/>
      <c r="F867" s="11"/>
      <c r="G867" s="11"/>
      <c r="H867" s="11"/>
      <c r="I867" s="41"/>
      <c r="J867" s="11"/>
      <c r="K867" s="11"/>
      <c r="L867" s="11"/>
      <c r="M867" s="11"/>
      <c r="N867" s="11"/>
      <c r="O867" s="11"/>
      <c r="P867" s="11"/>
      <c r="Q867" s="41"/>
      <c r="R867" s="11"/>
      <c r="S867" s="11"/>
      <c r="T867" s="11"/>
      <c r="U867" s="11"/>
      <c r="V867" s="11"/>
      <c r="W867" s="11"/>
      <c r="X867" s="11"/>
      <c r="Y867" s="4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  <c r="BZ867" s="11"/>
      <c r="CA867" s="11"/>
      <c r="CB867" s="11"/>
      <c r="CC867" s="11"/>
      <c r="CD867" s="11"/>
      <c r="CE867" s="11"/>
      <c r="CF867" s="11"/>
      <c r="CG867" s="11"/>
      <c r="CH867" s="11"/>
      <c r="CI867" s="11"/>
      <c r="CJ867" s="11"/>
      <c r="CK867" s="11"/>
      <c r="CL867" s="11"/>
      <c r="CM867" s="11"/>
      <c r="CN867" s="11"/>
      <c r="CO867" s="11"/>
      <c r="CP867" s="40"/>
      <c r="CQ867" s="40"/>
      <c r="CR867" s="40"/>
      <c r="CS867" s="40"/>
      <c r="CT867" s="40"/>
      <c r="CU867" s="40"/>
      <c r="CV867" s="40"/>
      <c r="CW867" s="40"/>
      <c r="CX867" s="40"/>
      <c r="CY867" s="40"/>
      <c r="CZ867" s="40"/>
      <c r="DA867" s="11"/>
      <c r="DB867" s="11"/>
      <c r="DC867" s="11"/>
      <c r="DD867" s="11"/>
      <c r="DE867" s="11"/>
      <c r="DF867" s="11"/>
      <c r="DG867" s="11"/>
    </row>
    <row r="868" ht="15.75" customHeight="1">
      <c r="A868" s="41"/>
      <c r="B868" s="11"/>
      <c r="C868" s="11"/>
      <c r="D868" s="11"/>
      <c r="E868" s="11"/>
      <c r="F868" s="11"/>
      <c r="G868" s="11"/>
      <c r="H868" s="11"/>
      <c r="I868" s="41"/>
      <c r="J868" s="11"/>
      <c r="K868" s="11"/>
      <c r="L868" s="11"/>
      <c r="M868" s="11"/>
      <c r="N868" s="11"/>
      <c r="O868" s="11"/>
      <c r="P868" s="11"/>
      <c r="Q868" s="41"/>
      <c r="R868" s="11"/>
      <c r="S868" s="11"/>
      <c r="T868" s="11"/>
      <c r="U868" s="11"/>
      <c r="V868" s="11"/>
      <c r="W868" s="11"/>
      <c r="X868" s="11"/>
      <c r="Y868" s="4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  <c r="BZ868" s="11"/>
      <c r="CA868" s="11"/>
      <c r="CB868" s="11"/>
      <c r="CC868" s="11"/>
      <c r="CD868" s="11"/>
      <c r="CE868" s="11"/>
      <c r="CF868" s="11"/>
      <c r="CG868" s="11"/>
      <c r="CH868" s="11"/>
      <c r="CI868" s="11"/>
      <c r="CJ868" s="11"/>
      <c r="CK868" s="11"/>
      <c r="CL868" s="11"/>
      <c r="CM868" s="11"/>
      <c r="CN868" s="11"/>
      <c r="CO868" s="11"/>
      <c r="CP868" s="40"/>
      <c r="CQ868" s="40"/>
      <c r="CR868" s="40"/>
      <c r="CS868" s="40"/>
      <c r="CT868" s="40"/>
      <c r="CU868" s="40"/>
      <c r="CV868" s="40"/>
      <c r="CW868" s="40"/>
      <c r="CX868" s="40"/>
      <c r="CY868" s="40"/>
      <c r="CZ868" s="40"/>
      <c r="DA868" s="11"/>
      <c r="DB868" s="11"/>
      <c r="DC868" s="11"/>
      <c r="DD868" s="11"/>
      <c r="DE868" s="11"/>
      <c r="DF868" s="11"/>
      <c r="DG868" s="11"/>
    </row>
    <row r="869" ht="15.75" customHeight="1">
      <c r="A869" s="41"/>
      <c r="B869" s="11"/>
      <c r="C869" s="11"/>
      <c r="D869" s="11"/>
      <c r="E869" s="11"/>
      <c r="F869" s="11"/>
      <c r="G869" s="11"/>
      <c r="H869" s="11"/>
      <c r="I869" s="41"/>
      <c r="J869" s="11"/>
      <c r="K869" s="11"/>
      <c r="L869" s="11"/>
      <c r="M869" s="11"/>
      <c r="N869" s="11"/>
      <c r="O869" s="11"/>
      <c r="P869" s="11"/>
      <c r="Q869" s="41"/>
      <c r="R869" s="11"/>
      <c r="S869" s="11"/>
      <c r="T869" s="11"/>
      <c r="U869" s="11"/>
      <c r="V869" s="11"/>
      <c r="W869" s="11"/>
      <c r="X869" s="11"/>
      <c r="Y869" s="4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  <c r="BZ869" s="11"/>
      <c r="CA869" s="11"/>
      <c r="CB869" s="11"/>
      <c r="CC869" s="11"/>
      <c r="CD869" s="11"/>
      <c r="CE869" s="11"/>
      <c r="CF869" s="11"/>
      <c r="CG869" s="11"/>
      <c r="CH869" s="11"/>
      <c r="CI869" s="11"/>
      <c r="CJ869" s="11"/>
      <c r="CK869" s="11"/>
      <c r="CL869" s="11"/>
      <c r="CM869" s="11"/>
      <c r="CN869" s="11"/>
      <c r="CO869" s="11"/>
      <c r="CP869" s="40"/>
      <c r="CQ869" s="40"/>
      <c r="CR869" s="40"/>
      <c r="CS869" s="40"/>
      <c r="CT869" s="40"/>
      <c r="CU869" s="40"/>
      <c r="CV869" s="40"/>
      <c r="CW869" s="40"/>
      <c r="CX869" s="40"/>
      <c r="CY869" s="40"/>
      <c r="CZ869" s="40"/>
      <c r="DA869" s="11"/>
      <c r="DB869" s="11"/>
      <c r="DC869" s="11"/>
      <c r="DD869" s="11"/>
      <c r="DE869" s="11"/>
      <c r="DF869" s="11"/>
      <c r="DG869" s="11"/>
    </row>
    <row r="870" ht="15.75" customHeight="1">
      <c r="A870" s="41"/>
      <c r="B870" s="11"/>
      <c r="C870" s="11"/>
      <c r="D870" s="11"/>
      <c r="E870" s="11"/>
      <c r="F870" s="11"/>
      <c r="G870" s="11"/>
      <c r="H870" s="11"/>
      <c r="I870" s="41"/>
      <c r="J870" s="11"/>
      <c r="K870" s="11"/>
      <c r="L870" s="11"/>
      <c r="M870" s="11"/>
      <c r="N870" s="11"/>
      <c r="O870" s="11"/>
      <c r="P870" s="11"/>
      <c r="Q870" s="41"/>
      <c r="R870" s="11"/>
      <c r="S870" s="11"/>
      <c r="T870" s="11"/>
      <c r="U870" s="11"/>
      <c r="V870" s="11"/>
      <c r="W870" s="11"/>
      <c r="X870" s="11"/>
      <c r="Y870" s="4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  <c r="BZ870" s="11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40"/>
      <c r="CQ870" s="40"/>
      <c r="CR870" s="40"/>
      <c r="CS870" s="40"/>
      <c r="CT870" s="40"/>
      <c r="CU870" s="40"/>
      <c r="CV870" s="40"/>
      <c r="CW870" s="40"/>
      <c r="CX870" s="40"/>
      <c r="CY870" s="40"/>
      <c r="CZ870" s="40"/>
      <c r="DA870" s="11"/>
      <c r="DB870" s="11"/>
      <c r="DC870" s="11"/>
      <c r="DD870" s="11"/>
      <c r="DE870" s="11"/>
      <c r="DF870" s="11"/>
      <c r="DG870" s="11"/>
    </row>
    <row r="871" ht="15.75" customHeight="1">
      <c r="A871" s="41"/>
      <c r="B871" s="11"/>
      <c r="C871" s="11"/>
      <c r="D871" s="11"/>
      <c r="E871" s="11"/>
      <c r="F871" s="11"/>
      <c r="G871" s="11"/>
      <c r="H871" s="11"/>
      <c r="I871" s="41"/>
      <c r="J871" s="11"/>
      <c r="K871" s="11"/>
      <c r="L871" s="11"/>
      <c r="M871" s="11"/>
      <c r="N871" s="11"/>
      <c r="O871" s="11"/>
      <c r="P871" s="11"/>
      <c r="Q871" s="41"/>
      <c r="R871" s="11"/>
      <c r="S871" s="11"/>
      <c r="T871" s="11"/>
      <c r="U871" s="11"/>
      <c r="V871" s="11"/>
      <c r="W871" s="11"/>
      <c r="X871" s="11"/>
      <c r="Y871" s="4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  <c r="BZ871" s="11"/>
      <c r="CA871" s="11"/>
      <c r="CB871" s="11"/>
      <c r="CC871" s="11"/>
      <c r="CD871" s="11"/>
      <c r="CE871" s="11"/>
      <c r="CF871" s="11"/>
      <c r="CG871" s="11"/>
      <c r="CH871" s="11"/>
      <c r="CI871" s="11"/>
      <c r="CJ871" s="11"/>
      <c r="CK871" s="11"/>
      <c r="CL871" s="11"/>
      <c r="CM871" s="11"/>
      <c r="CN871" s="11"/>
      <c r="CO871" s="11"/>
      <c r="CP871" s="40"/>
      <c r="CQ871" s="40"/>
      <c r="CR871" s="40"/>
      <c r="CS871" s="40"/>
      <c r="CT871" s="40"/>
      <c r="CU871" s="40"/>
      <c r="CV871" s="40"/>
      <c r="CW871" s="40"/>
      <c r="CX871" s="40"/>
      <c r="CY871" s="40"/>
      <c r="CZ871" s="40"/>
      <c r="DA871" s="11"/>
      <c r="DB871" s="11"/>
      <c r="DC871" s="11"/>
      <c r="DD871" s="11"/>
      <c r="DE871" s="11"/>
      <c r="DF871" s="11"/>
      <c r="DG871" s="11"/>
    </row>
    <row r="872" ht="15.75" customHeight="1">
      <c r="A872" s="41"/>
      <c r="B872" s="11"/>
      <c r="C872" s="11"/>
      <c r="D872" s="11"/>
      <c r="E872" s="11"/>
      <c r="F872" s="11"/>
      <c r="G872" s="11"/>
      <c r="H872" s="11"/>
      <c r="I872" s="41"/>
      <c r="J872" s="11"/>
      <c r="K872" s="11"/>
      <c r="L872" s="11"/>
      <c r="M872" s="11"/>
      <c r="N872" s="11"/>
      <c r="O872" s="11"/>
      <c r="P872" s="11"/>
      <c r="Q872" s="41"/>
      <c r="R872" s="11"/>
      <c r="S872" s="11"/>
      <c r="T872" s="11"/>
      <c r="U872" s="11"/>
      <c r="V872" s="11"/>
      <c r="W872" s="11"/>
      <c r="X872" s="11"/>
      <c r="Y872" s="4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  <c r="BZ872" s="11"/>
      <c r="CA872" s="11"/>
      <c r="CB872" s="11"/>
      <c r="CC872" s="11"/>
      <c r="CD872" s="11"/>
      <c r="CE872" s="11"/>
      <c r="CF872" s="11"/>
      <c r="CG872" s="11"/>
      <c r="CH872" s="11"/>
      <c r="CI872" s="11"/>
      <c r="CJ872" s="11"/>
      <c r="CK872" s="11"/>
      <c r="CL872" s="11"/>
      <c r="CM872" s="11"/>
      <c r="CN872" s="11"/>
      <c r="CO872" s="11"/>
      <c r="CP872" s="40"/>
      <c r="CQ872" s="40"/>
      <c r="CR872" s="40"/>
      <c r="CS872" s="40"/>
      <c r="CT872" s="40"/>
      <c r="CU872" s="40"/>
      <c r="CV872" s="40"/>
      <c r="CW872" s="40"/>
      <c r="CX872" s="40"/>
      <c r="CY872" s="40"/>
      <c r="CZ872" s="40"/>
      <c r="DA872" s="11"/>
      <c r="DB872" s="11"/>
      <c r="DC872" s="11"/>
      <c r="DD872" s="11"/>
      <c r="DE872" s="11"/>
      <c r="DF872" s="11"/>
      <c r="DG872" s="11"/>
    </row>
    <row r="873" ht="15.75" customHeight="1">
      <c r="A873" s="41"/>
      <c r="B873" s="11"/>
      <c r="C873" s="11"/>
      <c r="D873" s="11"/>
      <c r="E873" s="11"/>
      <c r="F873" s="11"/>
      <c r="G873" s="11"/>
      <c r="H873" s="11"/>
      <c r="I873" s="41"/>
      <c r="J873" s="11"/>
      <c r="K873" s="11"/>
      <c r="L873" s="11"/>
      <c r="M873" s="11"/>
      <c r="N873" s="11"/>
      <c r="O873" s="11"/>
      <c r="P873" s="11"/>
      <c r="Q873" s="41"/>
      <c r="R873" s="11"/>
      <c r="S873" s="11"/>
      <c r="T873" s="11"/>
      <c r="U873" s="11"/>
      <c r="V873" s="11"/>
      <c r="W873" s="11"/>
      <c r="X873" s="11"/>
      <c r="Y873" s="4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  <c r="BZ873" s="11"/>
      <c r="CA873" s="11"/>
      <c r="CB873" s="11"/>
      <c r="CC873" s="11"/>
      <c r="CD873" s="11"/>
      <c r="CE873" s="11"/>
      <c r="CF873" s="11"/>
      <c r="CG873" s="11"/>
      <c r="CH873" s="11"/>
      <c r="CI873" s="11"/>
      <c r="CJ873" s="11"/>
      <c r="CK873" s="11"/>
      <c r="CL873" s="11"/>
      <c r="CM873" s="11"/>
      <c r="CN873" s="11"/>
      <c r="CO873" s="11"/>
      <c r="CP873" s="40"/>
      <c r="CQ873" s="40"/>
      <c r="CR873" s="40"/>
      <c r="CS873" s="40"/>
      <c r="CT873" s="40"/>
      <c r="CU873" s="40"/>
      <c r="CV873" s="40"/>
      <c r="CW873" s="40"/>
      <c r="CX873" s="40"/>
      <c r="CY873" s="40"/>
      <c r="CZ873" s="40"/>
      <c r="DA873" s="11"/>
      <c r="DB873" s="11"/>
      <c r="DC873" s="11"/>
      <c r="DD873" s="11"/>
      <c r="DE873" s="11"/>
      <c r="DF873" s="11"/>
      <c r="DG873" s="11"/>
    </row>
    <row r="874" ht="15.75" customHeight="1">
      <c r="A874" s="41"/>
      <c r="B874" s="11"/>
      <c r="C874" s="11"/>
      <c r="D874" s="11"/>
      <c r="E874" s="11"/>
      <c r="F874" s="11"/>
      <c r="G874" s="11"/>
      <c r="H874" s="11"/>
      <c r="I874" s="41"/>
      <c r="J874" s="11"/>
      <c r="K874" s="11"/>
      <c r="L874" s="11"/>
      <c r="M874" s="11"/>
      <c r="N874" s="11"/>
      <c r="O874" s="11"/>
      <c r="P874" s="11"/>
      <c r="Q874" s="41"/>
      <c r="R874" s="11"/>
      <c r="S874" s="11"/>
      <c r="T874" s="11"/>
      <c r="U874" s="11"/>
      <c r="V874" s="11"/>
      <c r="W874" s="11"/>
      <c r="X874" s="11"/>
      <c r="Y874" s="4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  <c r="CA874" s="11"/>
      <c r="CB874" s="11"/>
      <c r="CC874" s="11"/>
      <c r="CD874" s="11"/>
      <c r="CE874" s="11"/>
      <c r="CF874" s="11"/>
      <c r="CG874" s="11"/>
      <c r="CH874" s="11"/>
      <c r="CI874" s="11"/>
      <c r="CJ874" s="11"/>
      <c r="CK874" s="11"/>
      <c r="CL874" s="11"/>
      <c r="CM874" s="11"/>
      <c r="CN874" s="11"/>
      <c r="CO874" s="11"/>
      <c r="CP874" s="40"/>
      <c r="CQ874" s="40"/>
      <c r="CR874" s="40"/>
      <c r="CS874" s="40"/>
      <c r="CT874" s="40"/>
      <c r="CU874" s="40"/>
      <c r="CV874" s="40"/>
      <c r="CW874" s="40"/>
      <c r="CX874" s="40"/>
      <c r="CY874" s="40"/>
      <c r="CZ874" s="40"/>
      <c r="DA874" s="11"/>
      <c r="DB874" s="11"/>
      <c r="DC874" s="11"/>
      <c r="DD874" s="11"/>
      <c r="DE874" s="11"/>
      <c r="DF874" s="11"/>
      <c r="DG874" s="11"/>
    </row>
    <row r="875" ht="15.75" customHeight="1">
      <c r="A875" s="41"/>
      <c r="B875" s="11"/>
      <c r="C875" s="11"/>
      <c r="D875" s="11"/>
      <c r="E875" s="11"/>
      <c r="F875" s="11"/>
      <c r="G875" s="11"/>
      <c r="H875" s="11"/>
      <c r="I875" s="41"/>
      <c r="J875" s="11"/>
      <c r="K875" s="11"/>
      <c r="L875" s="11"/>
      <c r="M875" s="11"/>
      <c r="N875" s="11"/>
      <c r="O875" s="11"/>
      <c r="P875" s="11"/>
      <c r="Q875" s="41"/>
      <c r="R875" s="11"/>
      <c r="S875" s="11"/>
      <c r="T875" s="11"/>
      <c r="U875" s="11"/>
      <c r="V875" s="11"/>
      <c r="W875" s="11"/>
      <c r="X875" s="11"/>
      <c r="Y875" s="4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  <c r="BZ875" s="11"/>
      <c r="CA875" s="11"/>
      <c r="CB875" s="11"/>
      <c r="CC875" s="11"/>
      <c r="CD875" s="11"/>
      <c r="CE875" s="11"/>
      <c r="CF875" s="11"/>
      <c r="CG875" s="11"/>
      <c r="CH875" s="11"/>
      <c r="CI875" s="11"/>
      <c r="CJ875" s="11"/>
      <c r="CK875" s="11"/>
      <c r="CL875" s="11"/>
      <c r="CM875" s="11"/>
      <c r="CN875" s="11"/>
      <c r="CO875" s="11"/>
      <c r="CP875" s="40"/>
      <c r="CQ875" s="40"/>
      <c r="CR875" s="40"/>
      <c r="CS875" s="40"/>
      <c r="CT875" s="40"/>
      <c r="CU875" s="40"/>
      <c r="CV875" s="40"/>
      <c r="CW875" s="40"/>
      <c r="CX875" s="40"/>
      <c r="CY875" s="40"/>
      <c r="CZ875" s="40"/>
      <c r="DA875" s="11"/>
      <c r="DB875" s="11"/>
      <c r="DC875" s="11"/>
      <c r="DD875" s="11"/>
      <c r="DE875" s="11"/>
      <c r="DF875" s="11"/>
      <c r="DG875" s="11"/>
    </row>
    <row r="876" ht="15.75" customHeight="1">
      <c r="A876" s="41"/>
      <c r="B876" s="11"/>
      <c r="C876" s="11"/>
      <c r="D876" s="11"/>
      <c r="E876" s="11"/>
      <c r="F876" s="11"/>
      <c r="G876" s="11"/>
      <c r="H876" s="11"/>
      <c r="I876" s="41"/>
      <c r="J876" s="11"/>
      <c r="K876" s="11"/>
      <c r="L876" s="11"/>
      <c r="M876" s="11"/>
      <c r="N876" s="11"/>
      <c r="O876" s="11"/>
      <c r="P876" s="11"/>
      <c r="Q876" s="41"/>
      <c r="R876" s="11"/>
      <c r="S876" s="11"/>
      <c r="T876" s="11"/>
      <c r="U876" s="11"/>
      <c r="V876" s="11"/>
      <c r="W876" s="11"/>
      <c r="X876" s="11"/>
      <c r="Y876" s="4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  <c r="CA876" s="11"/>
      <c r="CB876" s="11"/>
      <c r="CC876" s="11"/>
      <c r="CD876" s="11"/>
      <c r="CE876" s="11"/>
      <c r="CF876" s="11"/>
      <c r="CG876" s="11"/>
      <c r="CH876" s="11"/>
      <c r="CI876" s="11"/>
      <c r="CJ876" s="11"/>
      <c r="CK876" s="11"/>
      <c r="CL876" s="11"/>
      <c r="CM876" s="11"/>
      <c r="CN876" s="11"/>
      <c r="CO876" s="11"/>
      <c r="CP876" s="40"/>
      <c r="CQ876" s="40"/>
      <c r="CR876" s="40"/>
      <c r="CS876" s="40"/>
      <c r="CT876" s="40"/>
      <c r="CU876" s="40"/>
      <c r="CV876" s="40"/>
      <c r="CW876" s="40"/>
      <c r="CX876" s="40"/>
      <c r="CY876" s="40"/>
      <c r="CZ876" s="40"/>
      <c r="DA876" s="11"/>
      <c r="DB876" s="11"/>
      <c r="DC876" s="11"/>
      <c r="DD876" s="11"/>
      <c r="DE876" s="11"/>
      <c r="DF876" s="11"/>
      <c r="DG876" s="11"/>
    </row>
    <row r="877" ht="15.75" customHeight="1">
      <c r="A877" s="41"/>
      <c r="B877" s="11"/>
      <c r="C877" s="11"/>
      <c r="D877" s="11"/>
      <c r="E877" s="11"/>
      <c r="F877" s="11"/>
      <c r="G877" s="11"/>
      <c r="H877" s="11"/>
      <c r="I877" s="41"/>
      <c r="J877" s="11"/>
      <c r="K877" s="11"/>
      <c r="L877" s="11"/>
      <c r="M877" s="11"/>
      <c r="N877" s="11"/>
      <c r="O877" s="11"/>
      <c r="P877" s="11"/>
      <c r="Q877" s="41"/>
      <c r="R877" s="11"/>
      <c r="S877" s="11"/>
      <c r="T877" s="11"/>
      <c r="U877" s="11"/>
      <c r="V877" s="11"/>
      <c r="W877" s="11"/>
      <c r="X877" s="11"/>
      <c r="Y877" s="4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  <c r="BZ877" s="11"/>
      <c r="CA877" s="11"/>
      <c r="CB877" s="11"/>
      <c r="CC877" s="11"/>
      <c r="CD877" s="11"/>
      <c r="CE877" s="11"/>
      <c r="CF877" s="11"/>
      <c r="CG877" s="11"/>
      <c r="CH877" s="11"/>
      <c r="CI877" s="11"/>
      <c r="CJ877" s="11"/>
      <c r="CK877" s="11"/>
      <c r="CL877" s="11"/>
      <c r="CM877" s="11"/>
      <c r="CN877" s="11"/>
      <c r="CO877" s="11"/>
      <c r="CP877" s="40"/>
      <c r="CQ877" s="40"/>
      <c r="CR877" s="40"/>
      <c r="CS877" s="40"/>
      <c r="CT877" s="40"/>
      <c r="CU877" s="40"/>
      <c r="CV877" s="40"/>
      <c r="CW877" s="40"/>
      <c r="CX877" s="40"/>
      <c r="CY877" s="40"/>
      <c r="CZ877" s="40"/>
      <c r="DA877" s="11"/>
      <c r="DB877" s="11"/>
      <c r="DC877" s="11"/>
      <c r="DD877" s="11"/>
      <c r="DE877" s="11"/>
      <c r="DF877" s="11"/>
      <c r="DG877" s="11"/>
    </row>
    <row r="878" ht="15.75" customHeight="1">
      <c r="A878" s="41"/>
      <c r="B878" s="11"/>
      <c r="C878" s="11"/>
      <c r="D878" s="11"/>
      <c r="E878" s="11"/>
      <c r="F878" s="11"/>
      <c r="G878" s="11"/>
      <c r="H878" s="11"/>
      <c r="I878" s="41"/>
      <c r="J878" s="11"/>
      <c r="K878" s="11"/>
      <c r="L878" s="11"/>
      <c r="M878" s="11"/>
      <c r="N878" s="11"/>
      <c r="O878" s="11"/>
      <c r="P878" s="11"/>
      <c r="Q878" s="41"/>
      <c r="R878" s="11"/>
      <c r="S878" s="11"/>
      <c r="T878" s="11"/>
      <c r="U878" s="11"/>
      <c r="V878" s="11"/>
      <c r="W878" s="11"/>
      <c r="X878" s="11"/>
      <c r="Y878" s="4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  <c r="CA878" s="11"/>
      <c r="CB878" s="11"/>
      <c r="CC878" s="11"/>
      <c r="CD878" s="11"/>
      <c r="CE878" s="11"/>
      <c r="CF878" s="11"/>
      <c r="CG878" s="11"/>
      <c r="CH878" s="11"/>
      <c r="CI878" s="11"/>
      <c r="CJ878" s="11"/>
      <c r="CK878" s="11"/>
      <c r="CL878" s="11"/>
      <c r="CM878" s="11"/>
      <c r="CN878" s="11"/>
      <c r="CO878" s="11"/>
      <c r="CP878" s="40"/>
      <c r="CQ878" s="40"/>
      <c r="CR878" s="40"/>
      <c r="CS878" s="40"/>
      <c r="CT878" s="40"/>
      <c r="CU878" s="40"/>
      <c r="CV878" s="40"/>
      <c r="CW878" s="40"/>
      <c r="CX878" s="40"/>
      <c r="CY878" s="40"/>
      <c r="CZ878" s="40"/>
      <c r="DA878" s="11"/>
      <c r="DB878" s="11"/>
      <c r="DC878" s="11"/>
      <c r="DD878" s="11"/>
      <c r="DE878" s="11"/>
      <c r="DF878" s="11"/>
      <c r="DG878" s="11"/>
    </row>
    <row r="879" ht="15.75" customHeight="1">
      <c r="A879" s="41"/>
      <c r="B879" s="11"/>
      <c r="C879" s="11"/>
      <c r="D879" s="11"/>
      <c r="E879" s="11"/>
      <c r="F879" s="11"/>
      <c r="G879" s="11"/>
      <c r="H879" s="11"/>
      <c r="I879" s="41"/>
      <c r="J879" s="11"/>
      <c r="K879" s="11"/>
      <c r="L879" s="11"/>
      <c r="M879" s="11"/>
      <c r="N879" s="11"/>
      <c r="O879" s="11"/>
      <c r="P879" s="11"/>
      <c r="Q879" s="41"/>
      <c r="R879" s="11"/>
      <c r="S879" s="11"/>
      <c r="T879" s="11"/>
      <c r="U879" s="11"/>
      <c r="V879" s="11"/>
      <c r="W879" s="11"/>
      <c r="X879" s="11"/>
      <c r="Y879" s="4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  <c r="BZ879" s="11"/>
      <c r="CA879" s="11"/>
      <c r="CB879" s="11"/>
      <c r="CC879" s="11"/>
      <c r="CD879" s="11"/>
      <c r="CE879" s="11"/>
      <c r="CF879" s="11"/>
      <c r="CG879" s="11"/>
      <c r="CH879" s="11"/>
      <c r="CI879" s="11"/>
      <c r="CJ879" s="11"/>
      <c r="CK879" s="11"/>
      <c r="CL879" s="11"/>
      <c r="CM879" s="11"/>
      <c r="CN879" s="11"/>
      <c r="CO879" s="11"/>
      <c r="CP879" s="40"/>
      <c r="CQ879" s="40"/>
      <c r="CR879" s="40"/>
      <c r="CS879" s="40"/>
      <c r="CT879" s="40"/>
      <c r="CU879" s="40"/>
      <c r="CV879" s="40"/>
      <c r="CW879" s="40"/>
      <c r="CX879" s="40"/>
      <c r="CY879" s="40"/>
      <c r="CZ879" s="40"/>
      <c r="DA879" s="11"/>
      <c r="DB879" s="11"/>
      <c r="DC879" s="11"/>
      <c r="DD879" s="11"/>
      <c r="DE879" s="11"/>
      <c r="DF879" s="11"/>
      <c r="DG879" s="11"/>
    </row>
    <row r="880" ht="15.75" customHeight="1">
      <c r="A880" s="41"/>
      <c r="B880" s="11"/>
      <c r="C880" s="11"/>
      <c r="D880" s="11"/>
      <c r="E880" s="11"/>
      <c r="F880" s="11"/>
      <c r="G880" s="11"/>
      <c r="H880" s="11"/>
      <c r="I880" s="41"/>
      <c r="J880" s="11"/>
      <c r="K880" s="11"/>
      <c r="L880" s="11"/>
      <c r="M880" s="11"/>
      <c r="N880" s="11"/>
      <c r="O880" s="11"/>
      <c r="P880" s="11"/>
      <c r="Q880" s="41"/>
      <c r="R880" s="11"/>
      <c r="S880" s="11"/>
      <c r="T880" s="11"/>
      <c r="U880" s="11"/>
      <c r="V880" s="11"/>
      <c r="W880" s="11"/>
      <c r="X880" s="11"/>
      <c r="Y880" s="4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  <c r="BZ880" s="11"/>
      <c r="CA880" s="11"/>
      <c r="CB880" s="11"/>
      <c r="CC880" s="11"/>
      <c r="CD880" s="11"/>
      <c r="CE880" s="11"/>
      <c r="CF880" s="11"/>
      <c r="CG880" s="11"/>
      <c r="CH880" s="11"/>
      <c r="CI880" s="11"/>
      <c r="CJ880" s="11"/>
      <c r="CK880" s="11"/>
      <c r="CL880" s="11"/>
      <c r="CM880" s="11"/>
      <c r="CN880" s="11"/>
      <c r="CO880" s="11"/>
      <c r="CP880" s="40"/>
      <c r="CQ880" s="40"/>
      <c r="CR880" s="40"/>
      <c r="CS880" s="40"/>
      <c r="CT880" s="40"/>
      <c r="CU880" s="40"/>
      <c r="CV880" s="40"/>
      <c r="CW880" s="40"/>
      <c r="CX880" s="40"/>
      <c r="CY880" s="40"/>
      <c r="CZ880" s="40"/>
      <c r="DA880" s="11"/>
      <c r="DB880" s="11"/>
      <c r="DC880" s="11"/>
      <c r="DD880" s="11"/>
      <c r="DE880" s="11"/>
      <c r="DF880" s="11"/>
      <c r="DG880" s="11"/>
    </row>
    <row r="881" ht="15.75" customHeight="1">
      <c r="A881" s="41"/>
      <c r="B881" s="11"/>
      <c r="C881" s="11"/>
      <c r="D881" s="11"/>
      <c r="E881" s="11"/>
      <c r="F881" s="11"/>
      <c r="G881" s="11"/>
      <c r="H881" s="11"/>
      <c r="I881" s="41"/>
      <c r="J881" s="11"/>
      <c r="K881" s="11"/>
      <c r="L881" s="11"/>
      <c r="M881" s="11"/>
      <c r="N881" s="11"/>
      <c r="O881" s="11"/>
      <c r="P881" s="11"/>
      <c r="Q881" s="41"/>
      <c r="R881" s="11"/>
      <c r="S881" s="11"/>
      <c r="T881" s="11"/>
      <c r="U881" s="11"/>
      <c r="V881" s="11"/>
      <c r="W881" s="11"/>
      <c r="X881" s="11"/>
      <c r="Y881" s="4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  <c r="BZ881" s="11"/>
      <c r="CA881" s="11"/>
      <c r="CB881" s="11"/>
      <c r="CC881" s="11"/>
      <c r="CD881" s="11"/>
      <c r="CE881" s="11"/>
      <c r="CF881" s="11"/>
      <c r="CG881" s="11"/>
      <c r="CH881" s="11"/>
      <c r="CI881" s="11"/>
      <c r="CJ881" s="11"/>
      <c r="CK881" s="11"/>
      <c r="CL881" s="11"/>
      <c r="CM881" s="11"/>
      <c r="CN881" s="11"/>
      <c r="CO881" s="11"/>
      <c r="CP881" s="40"/>
      <c r="CQ881" s="40"/>
      <c r="CR881" s="40"/>
      <c r="CS881" s="40"/>
      <c r="CT881" s="40"/>
      <c r="CU881" s="40"/>
      <c r="CV881" s="40"/>
      <c r="CW881" s="40"/>
      <c r="CX881" s="40"/>
      <c r="CY881" s="40"/>
      <c r="CZ881" s="40"/>
      <c r="DA881" s="11"/>
      <c r="DB881" s="11"/>
      <c r="DC881" s="11"/>
      <c r="DD881" s="11"/>
      <c r="DE881" s="11"/>
      <c r="DF881" s="11"/>
      <c r="DG881" s="11"/>
    </row>
    <row r="882" ht="15.75" customHeight="1">
      <c r="A882" s="41"/>
      <c r="B882" s="11"/>
      <c r="C882" s="11"/>
      <c r="D882" s="11"/>
      <c r="E882" s="11"/>
      <c r="F882" s="11"/>
      <c r="G882" s="11"/>
      <c r="H882" s="11"/>
      <c r="I882" s="41"/>
      <c r="J882" s="11"/>
      <c r="K882" s="11"/>
      <c r="L882" s="11"/>
      <c r="M882" s="11"/>
      <c r="N882" s="11"/>
      <c r="O882" s="11"/>
      <c r="P882" s="11"/>
      <c r="Q882" s="41"/>
      <c r="R882" s="11"/>
      <c r="S882" s="11"/>
      <c r="T882" s="11"/>
      <c r="U882" s="11"/>
      <c r="V882" s="11"/>
      <c r="W882" s="11"/>
      <c r="X882" s="11"/>
      <c r="Y882" s="4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  <c r="BZ882" s="11"/>
      <c r="CA882" s="11"/>
      <c r="CB882" s="11"/>
      <c r="CC882" s="11"/>
      <c r="CD882" s="11"/>
      <c r="CE882" s="11"/>
      <c r="CF882" s="11"/>
      <c r="CG882" s="11"/>
      <c r="CH882" s="11"/>
      <c r="CI882" s="11"/>
      <c r="CJ882" s="11"/>
      <c r="CK882" s="11"/>
      <c r="CL882" s="11"/>
      <c r="CM882" s="11"/>
      <c r="CN882" s="11"/>
      <c r="CO882" s="11"/>
      <c r="CP882" s="40"/>
      <c r="CQ882" s="40"/>
      <c r="CR882" s="40"/>
      <c r="CS882" s="40"/>
      <c r="CT882" s="40"/>
      <c r="CU882" s="40"/>
      <c r="CV882" s="40"/>
      <c r="CW882" s="40"/>
      <c r="CX882" s="40"/>
      <c r="CY882" s="40"/>
      <c r="CZ882" s="40"/>
      <c r="DA882" s="11"/>
      <c r="DB882" s="11"/>
      <c r="DC882" s="11"/>
      <c r="DD882" s="11"/>
      <c r="DE882" s="11"/>
      <c r="DF882" s="11"/>
      <c r="DG882" s="11"/>
    </row>
    <row r="883" ht="15.75" customHeight="1">
      <c r="A883" s="41"/>
      <c r="B883" s="11"/>
      <c r="C883" s="11"/>
      <c r="D883" s="11"/>
      <c r="E883" s="11"/>
      <c r="F883" s="11"/>
      <c r="G883" s="11"/>
      <c r="H883" s="11"/>
      <c r="I883" s="41"/>
      <c r="J883" s="11"/>
      <c r="K883" s="11"/>
      <c r="L883" s="11"/>
      <c r="M883" s="11"/>
      <c r="N883" s="11"/>
      <c r="O883" s="11"/>
      <c r="P883" s="11"/>
      <c r="Q883" s="41"/>
      <c r="R883" s="11"/>
      <c r="S883" s="11"/>
      <c r="T883" s="11"/>
      <c r="U883" s="11"/>
      <c r="V883" s="11"/>
      <c r="W883" s="11"/>
      <c r="X883" s="11"/>
      <c r="Y883" s="4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  <c r="BZ883" s="11"/>
      <c r="CA883" s="11"/>
      <c r="CB883" s="11"/>
      <c r="CC883" s="11"/>
      <c r="CD883" s="11"/>
      <c r="CE883" s="11"/>
      <c r="CF883" s="11"/>
      <c r="CG883" s="11"/>
      <c r="CH883" s="11"/>
      <c r="CI883" s="11"/>
      <c r="CJ883" s="11"/>
      <c r="CK883" s="11"/>
      <c r="CL883" s="11"/>
      <c r="CM883" s="11"/>
      <c r="CN883" s="11"/>
      <c r="CO883" s="11"/>
      <c r="CP883" s="40"/>
      <c r="CQ883" s="40"/>
      <c r="CR883" s="40"/>
      <c r="CS883" s="40"/>
      <c r="CT883" s="40"/>
      <c r="CU883" s="40"/>
      <c r="CV883" s="40"/>
      <c r="CW883" s="40"/>
      <c r="CX883" s="40"/>
      <c r="CY883" s="40"/>
      <c r="CZ883" s="40"/>
      <c r="DA883" s="11"/>
      <c r="DB883" s="11"/>
      <c r="DC883" s="11"/>
      <c r="DD883" s="11"/>
      <c r="DE883" s="11"/>
      <c r="DF883" s="11"/>
      <c r="DG883" s="11"/>
    </row>
    <row r="884" ht="15.75" customHeight="1">
      <c r="A884" s="41"/>
      <c r="B884" s="11"/>
      <c r="C884" s="11"/>
      <c r="D884" s="11"/>
      <c r="E884" s="11"/>
      <c r="F884" s="11"/>
      <c r="G884" s="11"/>
      <c r="H884" s="11"/>
      <c r="I884" s="41"/>
      <c r="J884" s="11"/>
      <c r="K884" s="11"/>
      <c r="L884" s="11"/>
      <c r="M884" s="11"/>
      <c r="N884" s="11"/>
      <c r="O884" s="11"/>
      <c r="P884" s="11"/>
      <c r="Q884" s="41"/>
      <c r="R884" s="11"/>
      <c r="S884" s="11"/>
      <c r="T884" s="11"/>
      <c r="U884" s="11"/>
      <c r="V884" s="11"/>
      <c r="W884" s="11"/>
      <c r="X884" s="11"/>
      <c r="Y884" s="4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  <c r="BZ884" s="11"/>
      <c r="CA884" s="11"/>
      <c r="CB884" s="11"/>
      <c r="CC884" s="11"/>
      <c r="CD884" s="11"/>
      <c r="CE884" s="11"/>
      <c r="CF884" s="11"/>
      <c r="CG884" s="11"/>
      <c r="CH884" s="11"/>
      <c r="CI884" s="11"/>
      <c r="CJ884" s="11"/>
      <c r="CK884" s="11"/>
      <c r="CL884" s="11"/>
      <c r="CM884" s="11"/>
      <c r="CN884" s="11"/>
      <c r="CO884" s="11"/>
      <c r="CP884" s="40"/>
      <c r="CQ884" s="40"/>
      <c r="CR884" s="40"/>
      <c r="CS884" s="40"/>
      <c r="CT884" s="40"/>
      <c r="CU884" s="40"/>
      <c r="CV884" s="40"/>
      <c r="CW884" s="40"/>
      <c r="CX884" s="40"/>
      <c r="CY884" s="40"/>
      <c r="CZ884" s="40"/>
      <c r="DA884" s="11"/>
      <c r="DB884" s="11"/>
      <c r="DC884" s="11"/>
      <c r="DD884" s="11"/>
      <c r="DE884" s="11"/>
      <c r="DF884" s="11"/>
      <c r="DG884" s="11"/>
    </row>
    <row r="885" ht="15.75" customHeight="1">
      <c r="A885" s="41"/>
      <c r="B885" s="11"/>
      <c r="C885" s="11"/>
      <c r="D885" s="11"/>
      <c r="E885" s="11"/>
      <c r="F885" s="11"/>
      <c r="G885" s="11"/>
      <c r="H885" s="11"/>
      <c r="I885" s="41"/>
      <c r="J885" s="11"/>
      <c r="K885" s="11"/>
      <c r="L885" s="11"/>
      <c r="M885" s="11"/>
      <c r="N885" s="11"/>
      <c r="O885" s="11"/>
      <c r="P885" s="11"/>
      <c r="Q885" s="41"/>
      <c r="R885" s="11"/>
      <c r="S885" s="11"/>
      <c r="T885" s="11"/>
      <c r="U885" s="11"/>
      <c r="V885" s="11"/>
      <c r="W885" s="11"/>
      <c r="X885" s="11"/>
      <c r="Y885" s="4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  <c r="BZ885" s="11"/>
      <c r="CA885" s="11"/>
      <c r="CB885" s="11"/>
      <c r="CC885" s="11"/>
      <c r="CD885" s="11"/>
      <c r="CE885" s="11"/>
      <c r="CF885" s="11"/>
      <c r="CG885" s="11"/>
      <c r="CH885" s="11"/>
      <c r="CI885" s="11"/>
      <c r="CJ885" s="11"/>
      <c r="CK885" s="11"/>
      <c r="CL885" s="11"/>
      <c r="CM885" s="11"/>
      <c r="CN885" s="11"/>
      <c r="CO885" s="11"/>
      <c r="CP885" s="40"/>
      <c r="CQ885" s="40"/>
      <c r="CR885" s="40"/>
      <c r="CS885" s="40"/>
      <c r="CT885" s="40"/>
      <c r="CU885" s="40"/>
      <c r="CV885" s="40"/>
      <c r="CW885" s="40"/>
      <c r="CX885" s="40"/>
      <c r="CY885" s="40"/>
      <c r="CZ885" s="40"/>
      <c r="DA885" s="11"/>
      <c r="DB885" s="11"/>
      <c r="DC885" s="11"/>
      <c r="DD885" s="11"/>
      <c r="DE885" s="11"/>
      <c r="DF885" s="11"/>
      <c r="DG885" s="11"/>
    </row>
    <row r="886" ht="15.75" customHeight="1">
      <c r="A886" s="41"/>
      <c r="B886" s="11"/>
      <c r="C886" s="11"/>
      <c r="D886" s="11"/>
      <c r="E886" s="11"/>
      <c r="F886" s="11"/>
      <c r="G886" s="11"/>
      <c r="H886" s="11"/>
      <c r="I886" s="41"/>
      <c r="J886" s="11"/>
      <c r="K886" s="11"/>
      <c r="L886" s="11"/>
      <c r="M886" s="11"/>
      <c r="N886" s="11"/>
      <c r="O886" s="11"/>
      <c r="P886" s="11"/>
      <c r="Q886" s="41"/>
      <c r="R886" s="11"/>
      <c r="S886" s="11"/>
      <c r="T886" s="11"/>
      <c r="U886" s="11"/>
      <c r="V886" s="11"/>
      <c r="W886" s="11"/>
      <c r="X886" s="11"/>
      <c r="Y886" s="4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  <c r="CA886" s="11"/>
      <c r="CB886" s="11"/>
      <c r="CC886" s="11"/>
      <c r="CD886" s="11"/>
      <c r="CE886" s="11"/>
      <c r="CF886" s="11"/>
      <c r="CG886" s="11"/>
      <c r="CH886" s="11"/>
      <c r="CI886" s="11"/>
      <c r="CJ886" s="11"/>
      <c r="CK886" s="11"/>
      <c r="CL886" s="11"/>
      <c r="CM886" s="11"/>
      <c r="CN886" s="11"/>
      <c r="CO886" s="11"/>
      <c r="CP886" s="40"/>
      <c r="CQ886" s="40"/>
      <c r="CR886" s="40"/>
      <c r="CS886" s="40"/>
      <c r="CT886" s="40"/>
      <c r="CU886" s="40"/>
      <c r="CV886" s="40"/>
      <c r="CW886" s="40"/>
      <c r="CX886" s="40"/>
      <c r="CY886" s="40"/>
      <c r="CZ886" s="40"/>
      <c r="DA886" s="11"/>
      <c r="DB886" s="11"/>
      <c r="DC886" s="11"/>
      <c r="DD886" s="11"/>
      <c r="DE886" s="11"/>
      <c r="DF886" s="11"/>
      <c r="DG886" s="11"/>
    </row>
    <row r="887" ht="15.75" customHeight="1">
      <c r="A887" s="41"/>
      <c r="B887" s="11"/>
      <c r="C887" s="11"/>
      <c r="D887" s="11"/>
      <c r="E887" s="11"/>
      <c r="F887" s="11"/>
      <c r="G887" s="11"/>
      <c r="H887" s="11"/>
      <c r="I887" s="41"/>
      <c r="J887" s="11"/>
      <c r="K887" s="11"/>
      <c r="L887" s="11"/>
      <c r="M887" s="11"/>
      <c r="N887" s="11"/>
      <c r="O887" s="11"/>
      <c r="P887" s="11"/>
      <c r="Q887" s="41"/>
      <c r="R887" s="11"/>
      <c r="S887" s="11"/>
      <c r="T887" s="11"/>
      <c r="U887" s="11"/>
      <c r="V887" s="11"/>
      <c r="W887" s="11"/>
      <c r="X887" s="11"/>
      <c r="Y887" s="4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  <c r="BZ887" s="11"/>
      <c r="CA887" s="11"/>
      <c r="CB887" s="11"/>
      <c r="CC887" s="11"/>
      <c r="CD887" s="11"/>
      <c r="CE887" s="11"/>
      <c r="CF887" s="11"/>
      <c r="CG887" s="11"/>
      <c r="CH887" s="11"/>
      <c r="CI887" s="11"/>
      <c r="CJ887" s="11"/>
      <c r="CK887" s="11"/>
      <c r="CL887" s="11"/>
      <c r="CM887" s="11"/>
      <c r="CN887" s="11"/>
      <c r="CO887" s="11"/>
      <c r="CP887" s="40"/>
      <c r="CQ887" s="40"/>
      <c r="CR887" s="40"/>
      <c r="CS887" s="40"/>
      <c r="CT887" s="40"/>
      <c r="CU887" s="40"/>
      <c r="CV887" s="40"/>
      <c r="CW887" s="40"/>
      <c r="CX887" s="40"/>
      <c r="CY887" s="40"/>
      <c r="CZ887" s="40"/>
      <c r="DA887" s="11"/>
      <c r="DB887" s="11"/>
      <c r="DC887" s="11"/>
      <c r="DD887" s="11"/>
      <c r="DE887" s="11"/>
      <c r="DF887" s="11"/>
      <c r="DG887" s="11"/>
    </row>
    <row r="888" ht="15.75" customHeight="1">
      <c r="A888" s="41"/>
      <c r="B888" s="11"/>
      <c r="C888" s="11"/>
      <c r="D888" s="11"/>
      <c r="E888" s="11"/>
      <c r="F888" s="11"/>
      <c r="G888" s="11"/>
      <c r="H888" s="11"/>
      <c r="I888" s="41"/>
      <c r="J888" s="11"/>
      <c r="K888" s="11"/>
      <c r="L888" s="11"/>
      <c r="M888" s="11"/>
      <c r="N888" s="11"/>
      <c r="O888" s="11"/>
      <c r="P888" s="11"/>
      <c r="Q888" s="41"/>
      <c r="R888" s="11"/>
      <c r="S888" s="11"/>
      <c r="T888" s="11"/>
      <c r="U888" s="11"/>
      <c r="V888" s="11"/>
      <c r="W888" s="11"/>
      <c r="X888" s="11"/>
      <c r="Y888" s="4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  <c r="CA888" s="11"/>
      <c r="CB888" s="11"/>
      <c r="CC888" s="11"/>
      <c r="CD888" s="11"/>
      <c r="CE888" s="11"/>
      <c r="CF888" s="11"/>
      <c r="CG888" s="11"/>
      <c r="CH888" s="11"/>
      <c r="CI888" s="11"/>
      <c r="CJ888" s="11"/>
      <c r="CK888" s="11"/>
      <c r="CL888" s="11"/>
      <c r="CM888" s="11"/>
      <c r="CN888" s="11"/>
      <c r="CO888" s="11"/>
      <c r="CP888" s="40"/>
      <c r="CQ888" s="40"/>
      <c r="CR888" s="40"/>
      <c r="CS888" s="40"/>
      <c r="CT888" s="40"/>
      <c r="CU888" s="40"/>
      <c r="CV888" s="40"/>
      <c r="CW888" s="40"/>
      <c r="CX888" s="40"/>
      <c r="CY888" s="40"/>
      <c r="CZ888" s="40"/>
      <c r="DA888" s="11"/>
      <c r="DB888" s="11"/>
      <c r="DC888" s="11"/>
      <c r="DD888" s="11"/>
      <c r="DE888" s="11"/>
      <c r="DF888" s="11"/>
      <c r="DG888" s="11"/>
    </row>
    <row r="889" ht="15.75" customHeight="1">
      <c r="A889" s="41"/>
      <c r="B889" s="11"/>
      <c r="C889" s="11"/>
      <c r="D889" s="11"/>
      <c r="E889" s="11"/>
      <c r="F889" s="11"/>
      <c r="G889" s="11"/>
      <c r="H889" s="11"/>
      <c r="I889" s="41"/>
      <c r="J889" s="11"/>
      <c r="K889" s="11"/>
      <c r="L889" s="11"/>
      <c r="M889" s="11"/>
      <c r="N889" s="11"/>
      <c r="O889" s="11"/>
      <c r="P889" s="11"/>
      <c r="Q889" s="41"/>
      <c r="R889" s="11"/>
      <c r="S889" s="11"/>
      <c r="T889" s="11"/>
      <c r="U889" s="11"/>
      <c r="V889" s="11"/>
      <c r="W889" s="11"/>
      <c r="X889" s="11"/>
      <c r="Y889" s="4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  <c r="BZ889" s="11"/>
      <c r="CA889" s="11"/>
      <c r="CB889" s="11"/>
      <c r="CC889" s="11"/>
      <c r="CD889" s="11"/>
      <c r="CE889" s="11"/>
      <c r="CF889" s="11"/>
      <c r="CG889" s="11"/>
      <c r="CH889" s="11"/>
      <c r="CI889" s="11"/>
      <c r="CJ889" s="11"/>
      <c r="CK889" s="11"/>
      <c r="CL889" s="11"/>
      <c r="CM889" s="11"/>
      <c r="CN889" s="11"/>
      <c r="CO889" s="11"/>
      <c r="CP889" s="40"/>
      <c r="CQ889" s="40"/>
      <c r="CR889" s="40"/>
      <c r="CS889" s="40"/>
      <c r="CT889" s="40"/>
      <c r="CU889" s="40"/>
      <c r="CV889" s="40"/>
      <c r="CW889" s="40"/>
      <c r="CX889" s="40"/>
      <c r="CY889" s="40"/>
      <c r="CZ889" s="40"/>
      <c r="DA889" s="11"/>
      <c r="DB889" s="11"/>
      <c r="DC889" s="11"/>
      <c r="DD889" s="11"/>
      <c r="DE889" s="11"/>
      <c r="DF889" s="11"/>
      <c r="DG889" s="11"/>
    </row>
    <row r="890" ht="15.75" customHeight="1">
      <c r="A890" s="41"/>
      <c r="B890" s="11"/>
      <c r="C890" s="11"/>
      <c r="D890" s="11"/>
      <c r="E890" s="11"/>
      <c r="F890" s="11"/>
      <c r="G890" s="11"/>
      <c r="H890" s="11"/>
      <c r="I890" s="41"/>
      <c r="J890" s="11"/>
      <c r="K890" s="11"/>
      <c r="L890" s="11"/>
      <c r="M890" s="11"/>
      <c r="N890" s="11"/>
      <c r="O890" s="11"/>
      <c r="P890" s="11"/>
      <c r="Q890" s="41"/>
      <c r="R890" s="11"/>
      <c r="S890" s="11"/>
      <c r="T890" s="11"/>
      <c r="U890" s="11"/>
      <c r="V890" s="11"/>
      <c r="W890" s="11"/>
      <c r="X890" s="11"/>
      <c r="Y890" s="4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  <c r="BZ890" s="11"/>
      <c r="CA890" s="11"/>
      <c r="CB890" s="11"/>
      <c r="CC890" s="11"/>
      <c r="CD890" s="11"/>
      <c r="CE890" s="11"/>
      <c r="CF890" s="11"/>
      <c r="CG890" s="11"/>
      <c r="CH890" s="11"/>
      <c r="CI890" s="11"/>
      <c r="CJ890" s="11"/>
      <c r="CK890" s="11"/>
      <c r="CL890" s="11"/>
      <c r="CM890" s="11"/>
      <c r="CN890" s="11"/>
      <c r="CO890" s="11"/>
      <c r="CP890" s="40"/>
      <c r="CQ890" s="40"/>
      <c r="CR890" s="40"/>
      <c r="CS890" s="40"/>
      <c r="CT890" s="40"/>
      <c r="CU890" s="40"/>
      <c r="CV890" s="40"/>
      <c r="CW890" s="40"/>
      <c r="CX890" s="40"/>
      <c r="CY890" s="40"/>
      <c r="CZ890" s="40"/>
      <c r="DA890" s="11"/>
      <c r="DB890" s="11"/>
      <c r="DC890" s="11"/>
      <c r="DD890" s="11"/>
      <c r="DE890" s="11"/>
      <c r="DF890" s="11"/>
      <c r="DG890" s="11"/>
    </row>
    <row r="891" ht="15.75" customHeight="1">
      <c r="A891" s="41"/>
      <c r="B891" s="11"/>
      <c r="C891" s="11"/>
      <c r="D891" s="11"/>
      <c r="E891" s="11"/>
      <c r="F891" s="11"/>
      <c r="G891" s="11"/>
      <c r="H891" s="11"/>
      <c r="I891" s="41"/>
      <c r="J891" s="11"/>
      <c r="K891" s="11"/>
      <c r="L891" s="11"/>
      <c r="M891" s="11"/>
      <c r="N891" s="11"/>
      <c r="O891" s="11"/>
      <c r="P891" s="11"/>
      <c r="Q891" s="41"/>
      <c r="R891" s="11"/>
      <c r="S891" s="11"/>
      <c r="T891" s="11"/>
      <c r="U891" s="11"/>
      <c r="V891" s="11"/>
      <c r="W891" s="11"/>
      <c r="X891" s="11"/>
      <c r="Y891" s="4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  <c r="BZ891" s="11"/>
      <c r="CA891" s="11"/>
      <c r="CB891" s="11"/>
      <c r="CC891" s="11"/>
      <c r="CD891" s="11"/>
      <c r="CE891" s="11"/>
      <c r="CF891" s="11"/>
      <c r="CG891" s="11"/>
      <c r="CH891" s="11"/>
      <c r="CI891" s="11"/>
      <c r="CJ891" s="11"/>
      <c r="CK891" s="11"/>
      <c r="CL891" s="11"/>
      <c r="CM891" s="11"/>
      <c r="CN891" s="11"/>
      <c r="CO891" s="11"/>
      <c r="CP891" s="40"/>
      <c r="CQ891" s="40"/>
      <c r="CR891" s="40"/>
      <c r="CS891" s="40"/>
      <c r="CT891" s="40"/>
      <c r="CU891" s="40"/>
      <c r="CV891" s="40"/>
      <c r="CW891" s="40"/>
      <c r="CX891" s="40"/>
      <c r="CY891" s="40"/>
      <c r="CZ891" s="40"/>
      <c r="DA891" s="11"/>
      <c r="DB891" s="11"/>
      <c r="DC891" s="11"/>
      <c r="DD891" s="11"/>
      <c r="DE891" s="11"/>
      <c r="DF891" s="11"/>
      <c r="DG891" s="11"/>
    </row>
    <row r="892" ht="15.75" customHeight="1">
      <c r="A892" s="41"/>
      <c r="B892" s="11"/>
      <c r="C892" s="11"/>
      <c r="D892" s="11"/>
      <c r="E892" s="11"/>
      <c r="F892" s="11"/>
      <c r="G892" s="11"/>
      <c r="H892" s="11"/>
      <c r="I892" s="41"/>
      <c r="J892" s="11"/>
      <c r="K892" s="11"/>
      <c r="L892" s="11"/>
      <c r="M892" s="11"/>
      <c r="N892" s="11"/>
      <c r="O892" s="11"/>
      <c r="P892" s="11"/>
      <c r="Q892" s="41"/>
      <c r="R892" s="11"/>
      <c r="S892" s="11"/>
      <c r="T892" s="11"/>
      <c r="U892" s="11"/>
      <c r="V892" s="11"/>
      <c r="W892" s="11"/>
      <c r="X892" s="11"/>
      <c r="Y892" s="4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  <c r="BZ892" s="11"/>
      <c r="CA892" s="11"/>
      <c r="CB892" s="11"/>
      <c r="CC892" s="11"/>
      <c r="CD892" s="11"/>
      <c r="CE892" s="11"/>
      <c r="CF892" s="11"/>
      <c r="CG892" s="11"/>
      <c r="CH892" s="11"/>
      <c r="CI892" s="11"/>
      <c r="CJ892" s="11"/>
      <c r="CK892" s="11"/>
      <c r="CL892" s="11"/>
      <c r="CM892" s="11"/>
      <c r="CN892" s="11"/>
      <c r="CO892" s="11"/>
      <c r="CP892" s="40"/>
      <c r="CQ892" s="40"/>
      <c r="CR892" s="40"/>
      <c r="CS892" s="40"/>
      <c r="CT892" s="40"/>
      <c r="CU892" s="40"/>
      <c r="CV892" s="40"/>
      <c r="CW892" s="40"/>
      <c r="CX892" s="40"/>
      <c r="CY892" s="40"/>
      <c r="CZ892" s="40"/>
      <c r="DA892" s="11"/>
      <c r="DB892" s="11"/>
      <c r="DC892" s="11"/>
      <c r="DD892" s="11"/>
      <c r="DE892" s="11"/>
      <c r="DF892" s="11"/>
      <c r="DG892" s="11"/>
    </row>
    <row r="893" ht="15.75" customHeight="1">
      <c r="A893" s="41"/>
      <c r="B893" s="11"/>
      <c r="C893" s="11"/>
      <c r="D893" s="11"/>
      <c r="E893" s="11"/>
      <c r="F893" s="11"/>
      <c r="G893" s="11"/>
      <c r="H893" s="11"/>
      <c r="I893" s="41"/>
      <c r="J893" s="11"/>
      <c r="K893" s="11"/>
      <c r="L893" s="11"/>
      <c r="M893" s="11"/>
      <c r="N893" s="11"/>
      <c r="O893" s="11"/>
      <c r="P893" s="11"/>
      <c r="Q893" s="41"/>
      <c r="R893" s="11"/>
      <c r="S893" s="11"/>
      <c r="T893" s="11"/>
      <c r="U893" s="11"/>
      <c r="V893" s="11"/>
      <c r="W893" s="11"/>
      <c r="X893" s="11"/>
      <c r="Y893" s="4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  <c r="BZ893" s="11"/>
      <c r="CA893" s="11"/>
      <c r="CB893" s="11"/>
      <c r="CC893" s="11"/>
      <c r="CD893" s="11"/>
      <c r="CE893" s="11"/>
      <c r="CF893" s="11"/>
      <c r="CG893" s="11"/>
      <c r="CH893" s="11"/>
      <c r="CI893" s="11"/>
      <c r="CJ893" s="11"/>
      <c r="CK893" s="11"/>
      <c r="CL893" s="11"/>
      <c r="CM893" s="11"/>
      <c r="CN893" s="11"/>
      <c r="CO893" s="11"/>
      <c r="CP893" s="40"/>
      <c r="CQ893" s="40"/>
      <c r="CR893" s="40"/>
      <c r="CS893" s="40"/>
      <c r="CT893" s="40"/>
      <c r="CU893" s="40"/>
      <c r="CV893" s="40"/>
      <c r="CW893" s="40"/>
      <c r="CX893" s="40"/>
      <c r="CY893" s="40"/>
      <c r="CZ893" s="40"/>
      <c r="DA893" s="11"/>
      <c r="DB893" s="11"/>
      <c r="DC893" s="11"/>
      <c r="DD893" s="11"/>
      <c r="DE893" s="11"/>
      <c r="DF893" s="11"/>
      <c r="DG893" s="11"/>
    </row>
    <row r="894" ht="15.75" customHeight="1">
      <c r="A894" s="41"/>
      <c r="B894" s="11"/>
      <c r="C894" s="11"/>
      <c r="D894" s="11"/>
      <c r="E894" s="11"/>
      <c r="F894" s="11"/>
      <c r="G894" s="11"/>
      <c r="H894" s="11"/>
      <c r="I894" s="41"/>
      <c r="J894" s="11"/>
      <c r="K894" s="11"/>
      <c r="L894" s="11"/>
      <c r="M894" s="11"/>
      <c r="N894" s="11"/>
      <c r="O894" s="11"/>
      <c r="P894" s="11"/>
      <c r="Q894" s="41"/>
      <c r="R894" s="11"/>
      <c r="S894" s="11"/>
      <c r="T894" s="11"/>
      <c r="U894" s="11"/>
      <c r="V894" s="11"/>
      <c r="W894" s="11"/>
      <c r="X894" s="11"/>
      <c r="Y894" s="4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  <c r="BZ894" s="11"/>
      <c r="CA894" s="11"/>
      <c r="CB894" s="11"/>
      <c r="CC894" s="11"/>
      <c r="CD894" s="11"/>
      <c r="CE894" s="11"/>
      <c r="CF894" s="11"/>
      <c r="CG894" s="11"/>
      <c r="CH894" s="11"/>
      <c r="CI894" s="11"/>
      <c r="CJ894" s="11"/>
      <c r="CK894" s="11"/>
      <c r="CL894" s="11"/>
      <c r="CM894" s="11"/>
      <c r="CN894" s="11"/>
      <c r="CO894" s="11"/>
      <c r="CP894" s="40"/>
      <c r="CQ894" s="40"/>
      <c r="CR894" s="40"/>
      <c r="CS894" s="40"/>
      <c r="CT894" s="40"/>
      <c r="CU894" s="40"/>
      <c r="CV894" s="40"/>
      <c r="CW894" s="40"/>
      <c r="CX894" s="40"/>
      <c r="CY894" s="40"/>
      <c r="CZ894" s="40"/>
      <c r="DA894" s="11"/>
      <c r="DB894" s="11"/>
      <c r="DC894" s="11"/>
      <c r="DD894" s="11"/>
      <c r="DE894" s="11"/>
      <c r="DF894" s="11"/>
      <c r="DG894" s="11"/>
    </row>
    <row r="895" ht="15.75" customHeight="1">
      <c r="A895" s="41"/>
      <c r="B895" s="11"/>
      <c r="C895" s="11"/>
      <c r="D895" s="11"/>
      <c r="E895" s="11"/>
      <c r="F895" s="11"/>
      <c r="G895" s="11"/>
      <c r="H895" s="11"/>
      <c r="I895" s="41"/>
      <c r="J895" s="11"/>
      <c r="K895" s="11"/>
      <c r="L895" s="11"/>
      <c r="M895" s="11"/>
      <c r="N895" s="11"/>
      <c r="O895" s="11"/>
      <c r="P895" s="11"/>
      <c r="Q895" s="41"/>
      <c r="R895" s="11"/>
      <c r="S895" s="11"/>
      <c r="T895" s="11"/>
      <c r="U895" s="11"/>
      <c r="V895" s="11"/>
      <c r="W895" s="11"/>
      <c r="X895" s="11"/>
      <c r="Y895" s="4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  <c r="BZ895" s="11"/>
      <c r="CA895" s="11"/>
      <c r="CB895" s="11"/>
      <c r="CC895" s="11"/>
      <c r="CD895" s="11"/>
      <c r="CE895" s="11"/>
      <c r="CF895" s="11"/>
      <c r="CG895" s="11"/>
      <c r="CH895" s="11"/>
      <c r="CI895" s="11"/>
      <c r="CJ895" s="11"/>
      <c r="CK895" s="11"/>
      <c r="CL895" s="11"/>
      <c r="CM895" s="11"/>
      <c r="CN895" s="11"/>
      <c r="CO895" s="11"/>
      <c r="CP895" s="40"/>
      <c r="CQ895" s="40"/>
      <c r="CR895" s="40"/>
      <c r="CS895" s="40"/>
      <c r="CT895" s="40"/>
      <c r="CU895" s="40"/>
      <c r="CV895" s="40"/>
      <c r="CW895" s="40"/>
      <c r="CX895" s="40"/>
      <c r="CY895" s="40"/>
      <c r="CZ895" s="40"/>
      <c r="DA895" s="11"/>
      <c r="DB895" s="11"/>
      <c r="DC895" s="11"/>
      <c r="DD895" s="11"/>
      <c r="DE895" s="11"/>
      <c r="DF895" s="11"/>
      <c r="DG895" s="11"/>
    </row>
    <row r="896" ht="15.75" customHeight="1">
      <c r="A896" s="41"/>
      <c r="B896" s="11"/>
      <c r="C896" s="11"/>
      <c r="D896" s="11"/>
      <c r="E896" s="11"/>
      <c r="F896" s="11"/>
      <c r="G896" s="11"/>
      <c r="H896" s="11"/>
      <c r="I896" s="41"/>
      <c r="J896" s="11"/>
      <c r="K896" s="11"/>
      <c r="L896" s="11"/>
      <c r="M896" s="11"/>
      <c r="N896" s="11"/>
      <c r="O896" s="11"/>
      <c r="P896" s="11"/>
      <c r="Q896" s="41"/>
      <c r="R896" s="11"/>
      <c r="S896" s="11"/>
      <c r="T896" s="11"/>
      <c r="U896" s="11"/>
      <c r="V896" s="11"/>
      <c r="W896" s="11"/>
      <c r="X896" s="11"/>
      <c r="Y896" s="4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  <c r="BV896" s="11"/>
      <c r="BW896" s="11"/>
      <c r="BX896" s="11"/>
      <c r="BY896" s="11"/>
      <c r="BZ896" s="11"/>
      <c r="CA896" s="11"/>
      <c r="CB896" s="11"/>
      <c r="CC896" s="11"/>
      <c r="CD896" s="11"/>
      <c r="CE896" s="11"/>
      <c r="CF896" s="11"/>
      <c r="CG896" s="11"/>
      <c r="CH896" s="11"/>
      <c r="CI896" s="11"/>
      <c r="CJ896" s="11"/>
      <c r="CK896" s="11"/>
      <c r="CL896" s="11"/>
      <c r="CM896" s="11"/>
      <c r="CN896" s="11"/>
      <c r="CO896" s="11"/>
      <c r="CP896" s="40"/>
      <c r="CQ896" s="40"/>
      <c r="CR896" s="40"/>
      <c r="CS896" s="40"/>
      <c r="CT896" s="40"/>
      <c r="CU896" s="40"/>
      <c r="CV896" s="40"/>
      <c r="CW896" s="40"/>
      <c r="CX896" s="40"/>
      <c r="CY896" s="40"/>
      <c r="CZ896" s="40"/>
      <c r="DA896" s="11"/>
      <c r="DB896" s="11"/>
      <c r="DC896" s="11"/>
      <c r="DD896" s="11"/>
      <c r="DE896" s="11"/>
      <c r="DF896" s="11"/>
      <c r="DG896" s="11"/>
    </row>
    <row r="897" ht="15.75" customHeight="1">
      <c r="A897" s="41"/>
      <c r="B897" s="11"/>
      <c r="C897" s="11"/>
      <c r="D897" s="11"/>
      <c r="E897" s="11"/>
      <c r="F897" s="11"/>
      <c r="G897" s="11"/>
      <c r="H897" s="11"/>
      <c r="I897" s="41"/>
      <c r="J897" s="11"/>
      <c r="K897" s="11"/>
      <c r="L897" s="11"/>
      <c r="M897" s="11"/>
      <c r="N897" s="11"/>
      <c r="O897" s="11"/>
      <c r="P897" s="11"/>
      <c r="Q897" s="41"/>
      <c r="R897" s="11"/>
      <c r="S897" s="11"/>
      <c r="T897" s="11"/>
      <c r="U897" s="11"/>
      <c r="V897" s="11"/>
      <c r="W897" s="11"/>
      <c r="X897" s="11"/>
      <c r="Y897" s="4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  <c r="BV897" s="11"/>
      <c r="BW897" s="11"/>
      <c r="BX897" s="11"/>
      <c r="BY897" s="11"/>
      <c r="BZ897" s="11"/>
      <c r="CA897" s="11"/>
      <c r="CB897" s="11"/>
      <c r="CC897" s="11"/>
      <c r="CD897" s="11"/>
      <c r="CE897" s="11"/>
      <c r="CF897" s="11"/>
      <c r="CG897" s="11"/>
      <c r="CH897" s="11"/>
      <c r="CI897" s="11"/>
      <c r="CJ897" s="11"/>
      <c r="CK897" s="11"/>
      <c r="CL897" s="11"/>
      <c r="CM897" s="11"/>
      <c r="CN897" s="11"/>
      <c r="CO897" s="11"/>
      <c r="CP897" s="40"/>
      <c r="CQ897" s="40"/>
      <c r="CR897" s="40"/>
      <c r="CS897" s="40"/>
      <c r="CT897" s="40"/>
      <c r="CU897" s="40"/>
      <c r="CV897" s="40"/>
      <c r="CW897" s="40"/>
      <c r="CX897" s="40"/>
      <c r="CY897" s="40"/>
      <c r="CZ897" s="40"/>
      <c r="DA897" s="11"/>
      <c r="DB897" s="11"/>
      <c r="DC897" s="11"/>
      <c r="DD897" s="11"/>
      <c r="DE897" s="11"/>
      <c r="DF897" s="11"/>
      <c r="DG897" s="11"/>
    </row>
    <row r="898" ht="15.75" customHeight="1">
      <c r="A898" s="41"/>
      <c r="B898" s="11"/>
      <c r="C898" s="11"/>
      <c r="D898" s="11"/>
      <c r="E898" s="11"/>
      <c r="F898" s="11"/>
      <c r="G898" s="11"/>
      <c r="H898" s="11"/>
      <c r="I898" s="41"/>
      <c r="J898" s="11"/>
      <c r="K898" s="11"/>
      <c r="L898" s="11"/>
      <c r="M898" s="11"/>
      <c r="N898" s="11"/>
      <c r="O898" s="11"/>
      <c r="P898" s="11"/>
      <c r="Q898" s="41"/>
      <c r="R898" s="11"/>
      <c r="S898" s="11"/>
      <c r="T898" s="11"/>
      <c r="U898" s="11"/>
      <c r="V898" s="11"/>
      <c r="W898" s="11"/>
      <c r="X898" s="11"/>
      <c r="Y898" s="4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  <c r="BV898" s="11"/>
      <c r="BW898" s="11"/>
      <c r="BX898" s="11"/>
      <c r="BY898" s="11"/>
      <c r="BZ898" s="11"/>
      <c r="CA898" s="11"/>
      <c r="CB898" s="11"/>
      <c r="CC898" s="11"/>
      <c r="CD898" s="11"/>
      <c r="CE898" s="11"/>
      <c r="CF898" s="11"/>
      <c r="CG898" s="11"/>
      <c r="CH898" s="11"/>
      <c r="CI898" s="11"/>
      <c r="CJ898" s="11"/>
      <c r="CK898" s="11"/>
      <c r="CL898" s="11"/>
      <c r="CM898" s="11"/>
      <c r="CN898" s="11"/>
      <c r="CO898" s="11"/>
      <c r="CP898" s="40"/>
      <c r="CQ898" s="40"/>
      <c r="CR898" s="40"/>
      <c r="CS898" s="40"/>
      <c r="CT898" s="40"/>
      <c r="CU898" s="40"/>
      <c r="CV898" s="40"/>
      <c r="CW898" s="40"/>
      <c r="CX898" s="40"/>
      <c r="CY898" s="40"/>
      <c r="CZ898" s="40"/>
      <c r="DA898" s="11"/>
      <c r="DB898" s="11"/>
      <c r="DC898" s="11"/>
      <c r="DD898" s="11"/>
      <c r="DE898" s="11"/>
      <c r="DF898" s="11"/>
      <c r="DG898" s="11"/>
    </row>
    <row r="899" ht="15.75" customHeight="1">
      <c r="A899" s="41"/>
      <c r="B899" s="11"/>
      <c r="C899" s="11"/>
      <c r="D899" s="11"/>
      <c r="E899" s="11"/>
      <c r="F899" s="11"/>
      <c r="G899" s="11"/>
      <c r="H899" s="11"/>
      <c r="I899" s="41"/>
      <c r="J899" s="11"/>
      <c r="K899" s="11"/>
      <c r="L899" s="11"/>
      <c r="M899" s="11"/>
      <c r="N899" s="11"/>
      <c r="O899" s="11"/>
      <c r="P899" s="11"/>
      <c r="Q899" s="41"/>
      <c r="R899" s="11"/>
      <c r="S899" s="11"/>
      <c r="T899" s="11"/>
      <c r="U899" s="11"/>
      <c r="V899" s="11"/>
      <c r="W899" s="11"/>
      <c r="X899" s="11"/>
      <c r="Y899" s="4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40"/>
      <c r="CQ899" s="40"/>
      <c r="CR899" s="40"/>
      <c r="CS899" s="40"/>
      <c r="CT899" s="40"/>
      <c r="CU899" s="40"/>
      <c r="CV899" s="40"/>
      <c r="CW899" s="40"/>
      <c r="CX899" s="40"/>
      <c r="CY899" s="40"/>
      <c r="CZ899" s="40"/>
      <c r="DA899" s="11"/>
      <c r="DB899" s="11"/>
      <c r="DC899" s="11"/>
      <c r="DD899" s="11"/>
      <c r="DE899" s="11"/>
      <c r="DF899" s="11"/>
      <c r="DG899" s="11"/>
    </row>
    <row r="900" ht="15.75" customHeight="1">
      <c r="A900" s="41"/>
      <c r="B900" s="11"/>
      <c r="C900" s="11"/>
      <c r="D900" s="11"/>
      <c r="E900" s="11"/>
      <c r="F900" s="11"/>
      <c r="G900" s="11"/>
      <c r="H900" s="11"/>
      <c r="I900" s="41"/>
      <c r="J900" s="11"/>
      <c r="K900" s="11"/>
      <c r="L900" s="11"/>
      <c r="M900" s="11"/>
      <c r="N900" s="11"/>
      <c r="O900" s="11"/>
      <c r="P900" s="11"/>
      <c r="Q900" s="41"/>
      <c r="R900" s="11"/>
      <c r="S900" s="11"/>
      <c r="T900" s="11"/>
      <c r="U900" s="11"/>
      <c r="V900" s="11"/>
      <c r="W900" s="11"/>
      <c r="X900" s="11"/>
      <c r="Y900" s="4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  <c r="BZ900" s="11"/>
      <c r="CA900" s="11"/>
      <c r="CB900" s="11"/>
      <c r="CC900" s="11"/>
      <c r="CD900" s="11"/>
      <c r="CE900" s="11"/>
      <c r="CF900" s="11"/>
      <c r="CG900" s="11"/>
      <c r="CH900" s="11"/>
      <c r="CI900" s="11"/>
      <c r="CJ900" s="11"/>
      <c r="CK900" s="11"/>
      <c r="CL900" s="11"/>
      <c r="CM900" s="11"/>
      <c r="CN900" s="11"/>
      <c r="CO900" s="11"/>
      <c r="CP900" s="40"/>
      <c r="CQ900" s="40"/>
      <c r="CR900" s="40"/>
      <c r="CS900" s="40"/>
      <c r="CT900" s="40"/>
      <c r="CU900" s="40"/>
      <c r="CV900" s="40"/>
      <c r="CW900" s="40"/>
      <c r="CX900" s="40"/>
      <c r="CY900" s="40"/>
      <c r="CZ900" s="40"/>
      <c r="DA900" s="11"/>
      <c r="DB900" s="11"/>
      <c r="DC900" s="11"/>
      <c r="DD900" s="11"/>
      <c r="DE900" s="11"/>
      <c r="DF900" s="11"/>
      <c r="DG900" s="11"/>
    </row>
    <row r="901" ht="15.75" customHeight="1">
      <c r="A901" s="41"/>
      <c r="B901" s="11"/>
      <c r="C901" s="11"/>
      <c r="D901" s="11"/>
      <c r="E901" s="11"/>
      <c r="F901" s="11"/>
      <c r="G901" s="11"/>
      <c r="H901" s="11"/>
      <c r="I901" s="41"/>
      <c r="J901" s="11"/>
      <c r="K901" s="11"/>
      <c r="L901" s="11"/>
      <c r="M901" s="11"/>
      <c r="N901" s="11"/>
      <c r="O901" s="11"/>
      <c r="P901" s="11"/>
      <c r="Q901" s="41"/>
      <c r="R901" s="11"/>
      <c r="S901" s="11"/>
      <c r="T901" s="11"/>
      <c r="U901" s="11"/>
      <c r="V901" s="11"/>
      <c r="W901" s="11"/>
      <c r="X901" s="11"/>
      <c r="Y901" s="4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  <c r="BZ901" s="11"/>
      <c r="CA901" s="11"/>
      <c r="CB901" s="11"/>
      <c r="CC901" s="11"/>
      <c r="CD901" s="11"/>
      <c r="CE901" s="11"/>
      <c r="CF901" s="11"/>
      <c r="CG901" s="11"/>
      <c r="CH901" s="11"/>
      <c r="CI901" s="11"/>
      <c r="CJ901" s="11"/>
      <c r="CK901" s="11"/>
      <c r="CL901" s="11"/>
      <c r="CM901" s="11"/>
      <c r="CN901" s="11"/>
      <c r="CO901" s="11"/>
      <c r="CP901" s="40"/>
      <c r="CQ901" s="40"/>
      <c r="CR901" s="40"/>
      <c r="CS901" s="40"/>
      <c r="CT901" s="40"/>
      <c r="CU901" s="40"/>
      <c r="CV901" s="40"/>
      <c r="CW901" s="40"/>
      <c r="CX901" s="40"/>
      <c r="CY901" s="40"/>
      <c r="CZ901" s="40"/>
      <c r="DA901" s="11"/>
      <c r="DB901" s="11"/>
      <c r="DC901" s="11"/>
      <c r="DD901" s="11"/>
      <c r="DE901" s="11"/>
      <c r="DF901" s="11"/>
      <c r="DG901" s="11"/>
    </row>
    <row r="902" ht="15.75" customHeight="1">
      <c r="A902" s="41"/>
      <c r="B902" s="11"/>
      <c r="C902" s="11"/>
      <c r="D902" s="11"/>
      <c r="E902" s="11"/>
      <c r="F902" s="11"/>
      <c r="G902" s="11"/>
      <c r="H902" s="11"/>
      <c r="I902" s="41"/>
      <c r="J902" s="11"/>
      <c r="K902" s="11"/>
      <c r="L902" s="11"/>
      <c r="M902" s="11"/>
      <c r="N902" s="11"/>
      <c r="O902" s="11"/>
      <c r="P902" s="11"/>
      <c r="Q902" s="41"/>
      <c r="R902" s="11"/>
      <c r="S902" s="11"/>
      <c r="T902" s="11"/>
      <c r="U902" s="11"/>
      <c r="V902" s="11"/>
      <c r="W902" s="11"/>
      <c r="X902" s="11"/>
      <c r="Y902" s="4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  <c r="BZ902" s="11"/>
      <c r="CA902" s="11"/>
      <c r="CB902" s="11"/>
      <c r="CC902" s="11"/>
      <c r="CD902" s="11"/>
      <c r="CE902" s="11"/>
      <c r="CF902" s="11"/>
      <c r="CG902" s="11"/>
      <c r="CH902" s="11"/>
      <c r="CI902" s="11"/>
      <c r="CJ902" s="11"/>
      <c r="CK902" s="11"/>
      <c r="CL902" s="11"/>
      <c r="CM902" s="11"/>
      <c r="CN902" s="11"/>
      <c r="CO902" s="11"/>
      <c r="CP902" s="40"/>
      <c r="CQ902" s="40"/>
      <c r="CR902" s="40"/>
      <c r="CS902" s="40"/>
      <c r="CT902" s="40"/>
      <c r="CU902" s="40"/>
      <c r="CV902" s="40"/>
      <c r="CW902" s="40"/>
      <c r="CX902" s="40"/>
      <c r="CY902" s="40"/>
      <c r="CZ902" s="40"/>
      <c r="DA902" s="11"/>
      <c r="DB902" s="11"/>
      <c r="DC902" s="11"/>
      <c r="DD902" s="11"/>
      <c r="DE902" s="11"/>
      <c r="DF902" s="11"/>
      <c r="DG902" s="11"/>
    </row>
    <row r="903" ht="15.75" customHeight="1">
      <c r="A903" s="41"/>
      <c r="B903" s="11"/>
      <c r="C903" s="11"/>
      <c r="D903" s="11"/>
      <c r="E903" s="11"/>
      <c r="F903" s="11"/>
      <c r="G903" s="11"/>
      <c r="H903" s="11"/>
      <c r="I903" s="41"/>
      <c r="J903" s="11"/>
      <c r="K903" s="11"/>
      <c r="L903" s="11"/>
      <c r="M903" s="11"/>
      <c r="N903" s="11"/>
      <c r="O903" s="11"/>
      <c r="P903" s="11"/>
      <c r="Q903" s="41"/>
      <c r="R903" s="11"/>
      <c r="S903" s="11"/>
      <c r="T903" s="11"/>
      <c r="U903" s="11"/>
      <c r="V903" s="11"/>
      <c r="W903" s="11"/>
      <c r="X903" s="11"/>
      <c r="Y903" s="4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  <c r="BZ903" s="11"/>
      <c r="CA903" s="11"/>
      <c r="CB903" s="11"/>
      <c r="CC903" s="11"/>
      <c r="CD903" s="11"/>
      <c r="CE903" s="11"/>
      <c r="CF903" s="11"/>
      <c r="CG903" s="11"/>
      <c r="CH903" s="11"/>
      <c r="CI903" s="11"/>
      <c r="CJ903" s="11"/>
      <c r="CK903" s="11"/>
      <c r="CL903" s="11"/>
      <c r="CM903" s="11"/>
      <c r="CN903" s="11"/>
      <c r="CO903" s="11"/>
      <c r="CP903" s="40"/>
      <c r="CQ903" s="40"/>
      <c r="CR903" s="40"/>
      <c r="CS903" s="40"/>
      <c r="CT903" s="40"/>
      <c r="CU903" s="40"/>
      <c r="CV903" s="40"/>
      <c r="CW903" s="40"/>
      <c r="CX903" s="40"/>
      <c r="CY903" s="40"/>
      <c r="CZ903" s="40"/>
      <c r="DA903" s="11"/>
      <c r="DB903" s="11"/>
      <c r="DC903" s="11"/>
      <c r="DD903" s="11"/>
      <c r="DE903" s="11"/>
      <c r="DF903" s="11"/>
      <c r="DG903" s="11"/>
    </row>
    <row r="904" ht="15.75" customHeight="1">
      <c r="A904" s="41"/>
      <c r="B904" s="11"/>
      <c r="C904" s="11"/>
      <c r="D904" s="11"/>
      <c r="E904" s="11"/>
      <c r="F904" s="11"/>
      <c r="G904" s="11"/>
      <c r="H904" s="11"/>
      <c r="I904" s="41"/>
      <c r="J904" s="11"/>
      <c r="K904" s="11"/>
      <c r="L904" s="11"/>
      <c r="M904" s="11"/>
      <c r="N904" s="11"/>
      <c r="O904" s="11"/>
      <c r="P904" s="11"/>
      <c r="Q904" s="41"/>
      <c r="R904" s="11"/>
      <c r="S904" s="11"/>
      <c r="T904" s="11"/>
      <c r="U904" s="11"/>
      <c r="V904" s="11"/>
      <c r="W904" s="11"/>
      <c r="X904" s="11"/>
      <c r="Y904" s="4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  <c r="BZ904" s="11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40"/>
      <c r="CQ904" s="40"/>
      <c r="CR904" s="40"/>
      <c r="CS904" s="40"/>
      <c r="CT904" s="40"/>
      <c r="CU904" s="40"/>
      <c r="CV904" s="40"/>
      <c r="CW904" s="40"/>
      <c r="CX904" s="40"/>
      <c r="CY904" s="40"/>
      <c r="CZ904" s="40"/>
      <c r="DA904" s="11"/>
      <c r="DB904" s="11"/>
      <c r="DC904" s="11"/>
      <c r="DD904" s="11"/>
      <c r="DE904" s="11"/>
      <c r="DF904" s="11"/>
      <c r="DG904" s="11"/>
    </row>
    <row r="905" ht="15.75" customHeight="1">
      <c r="A905" s="41"/>
      <c r="B905" s="11"/>
      <c r="C905" s="11"/>
      <c r="D905" s="11"/>
      <c r="E905" s="11"/>
      <c r="F905" s="11"/>
      <c r="G905" s="11"/>
      <c r="H905" s="11"/>
      <c r="I905" s="41"/>
      <c r="J905" s="11"/>
      <c r="K905" s="11"/>
      <c r="L905" s="11"/>
      <c r="M905" s="11"/>
      <c r="N905" s="11"/>
      <c r="O905" s="11"/>
      <c r="P905" s="11"/>
      <c r="Q905" s="41"/>
      <c r="R905" s="11"/>
      <c r="S905" s="11"/>
      <c r="T905" s="11"/>
      <c r="U905" s="11"/>
      <c r="V905" s="11"/>
      <c r="W905" s="11"/>
      <c r="X905" s="11"/>
      <c r="Y905" s="4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  <c r="BZ905" s="11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40"/>
      <c r="CQ905" s="40"/>
      <c r="CR905" s="40"/>
      <c r="CS905" s="40"/>
      <c r="CT905" s="40"/>
      <c r="CU905" s="40"/>
      <c r="CV905" s="40"/>
      <c r="CW905" s="40"/>
      <c r="CX905" s="40"/>
      <c r="CY905" s="40"/>
      <c r="CZ905" s="40"/>
      <c r="DA905" s="11"/>
      <c r="DB905" s="11"/>
      <c r="DC905" s="11"/>
      <c r="DD905" s="11"/>
      <c r="DE905" s="11"/>
      <c r="DF905" s="11"/>
      <c r="DG905" s="11"/>
    </row>
    <row r="906" ht="15.75" customHeight="1">
      <c r="A906" s="41"/>
      <c r="B906" s="11"/>
      <c r="C906" s="11"/>
      <c r="D906" s="11"/>
      <c r="E906" s="11"/>
      <c r="F906" s="11"/>
      <c r="G906" s="11"/>
      <c r="H906" s="11"/>
      <c r="I906" s="41"/>
      <c r="J906" s="11"/>
      <c r="K906" s="11"/>
      <c r="L906" s="11"/>
      <c r="M906" s="11"/>
      <c r="N906" s="11"/>
      <c r="O906" s="11"/>
      <c r="P906" s="11"/>
      <c r="Q906" s="41"/>
      <c r="R906" s="11"/>
      <c r="S906" s="11"/>
      <c r="T906" s="11"/>
      <c r="U906" s="11"/>
      <c r="V906" s="11"/>
      <c r="W906" s="11"/>
      <c r="X906" s="11"/>
      <c r="Y906" s="4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  <c r="BZ906" s="11"/>
      <c r="CA906" s="11"/>
      <c r="CB906" s="11"/>
      <c r="CC906" s="11"/>
      <c r="CD906" s="11"/>
      <c r="CE906" s="11"/>
      <c r="CF906" s="11"/>
      <c r="CG906" s="11"/>
      <c r="CH906" s="11"/>
      <c r="CI906" s="11"/>
      <c r="CJ906" s="11"/>
      <c r="CK906" s="11"/>
      <c r="CL906" s="11"/>
      <c r="CM906" s="11"/>
      <c r="CN906" s="11"/>
      <c r="CO906" s="11"/>
      <c r="CP906" s="40"/>
      <c r="CQ906" s="40"/>
      <c r="CR906" s="40"/>
      <c r="CS906" s="40"/>
      <c r="CT906" s="40"/>
      <c r="CU906" s="40"/>
      <c r="CV906" s="40"/>
      <c r="CW906" s="40"/>
      <c r="CX906" s="40"/>
      <c r="CY906" s="40"/>
      <c r="CZ906" s="40"/>
      <c r="DA906" s="11"/>
      <c r="DB906" s="11"/>
      <c r="DC906" s="11"/>
      <c r="DD906" s="11"/>
      <c r="DE906" s="11"/>
      <c r="DF906" s="11"/>
      <c r="DG906" s="11"/>
    </row>
    <row r="907" ht="15.75" customHeight="1">
      <c r="A907" s="41"/>
      <c r="B907" s="11"/>
      <c r="C907" s="11"/>
      <c r="D907" s="11"/>
      <c r="E907" s="11"/>
      <c r="F907" s="11"/>
      <c r="G907" s="11"/>
      <c r="H907" s="11"/>
      <c r="I907" s="41"/>
      <c r="J907" s="11"/>
      <c r="K907" s="11"/>
      <c r="L907" s="11"/>
      <c r="M907" s="11"/>
      <c r="N907" s="11"/>
      <c r="O907" s="11"/>
      <c r="P907" s="11"/>
      <c r="Q907" s="41"/>
      <c r="R907" s="11"/>
      <c r="S907" s="11"/>
      <c r="T907" s="11"/>
      <c r="U907" s="11"/>
      <c r="V907" s="11"/>
      <c r="W907" s="11"/>
      <c r="X907" s="11"/>
      <c r="Y907" s="4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  <c r="BZ907" s="11"/>
      <c r="CA907" s="11"/>
      <c r="CB907" s="11"/>
      <c r="CC907" s="11"/>
      <c r="CD907" s="11"/>
      <c r="CE907" s="11"/>
      <c r="CF907" s="11"/>
      <c r="CG907" s="11"/>
      <c r="CH907" s="11"/>
      <c r="CI907" s="11"/>
      <c r="CJ907" s="11"/>
      <c r="CK907" s="11"/>
      <c r="CL907" s="11"/>
      <c r="CM907" s="11"/>
      <c r="CN907" s="11"/>
      <c r="CO907" s="11"/>
      <c r="CP907" s="40"/>
      <c r="CQ907" s="40"/>
      <c r="CR907" s="40"/>
      <c r="CS907" s="40"/>
      <c r="CT907" s="40"/>
      <c r="CU907" s="40"/>
      <c r="CV907" s="40"/>
      <c r="CW907" s="40"/>
      <c r="CX907" s="40"/>
      <c r="CY907" s="40"/>
      <c r="CZ907" s="40"/>
      <c r="DA907" s="11"/>
      <c r="DB907" s="11"/>
      <c r="DC907" s="11"/>
      <c r="DD907" s="11"/>
      <c r="DE907" s="11"/>
      <c r="DF907" s="11"/>
      <c r="DG907" s="11"/>
    </row>
    <row r="908" ht="15.75" customHeight="1">
      <c r="A908" s="41"/>
      <c r="B908" s="11"/>
      <c r="C908" s="11"/>
      <c r="D908" s="11"/>
      <c r="E908" s="11"/>
      <c r="F908" s="11"/>
      <c r="G908" s="11"/>
      <c r="H908" s="11"/>
      <c r="I908" s="41"/>
      <c r="J908" s="11"/>
      <c r="K908" s="11"/>
      <c r="L908" s="11"/>
      <c r="M908" s="11"/>
      <c r="N908" s="11"/>
      <c r="O908" s="11"/>
      <c r="P908" s="11"/>
      <c r="Q908" s="41"/>
      <c r="R908" s="11"/>
      <c r="S908" s="11"/>
      <c r="T908" s="11"/>
      <c r="U908" s="11"/>
      <c r="V908" s="11"/>
      <c r="W908" s="11"/>
      <c r="X908" s="11"/>
      <c r="Y908" s="4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  <c r="BZ908" s="11"/>
      <c r="CA908" s="11"/>
      <c r="CB908" s="11"/>
      <c r="CC908" s="11"/>
      <c r="CD908" s="11"/>
      <c r="CE908" s="11"/>
      <c r="CF908" s="11"/>
      <c r="CG908" s="11"/>
      <c r="CH908" s="11"/>
      <c r="CI908" s="11"/>
      <c r="CJ908" s="11"/>
      <c r="CK908" s="11"/>
      <c r="CL908" s="11"/>
      <c r="CM908" s="11"/>
      <c r="CN908" s="11"/>
      <c r="CO908" s="11"/>
      <c r="CP908" s="40"/>
      <c r="CQ908" s="40"/>
      <c r="CR908" s="40"/>
      <c r="CS908" s="40"/>
      <c r="CT908" s="40"/>
      <c r="CU908" s="40"/>
      <c r="CV908" s="40"/>
      <c r="CW908" s="40"/>
      <c r="CX908" s="40"/>
      <c r="CY908" s="40"/>
      <c r="CZ908" s="40"/>
      <c r="DA908" s="11"/>
      <c r="DB908" s="11"/>
      <c r="DC908" s="11"/>
      <c r="DD908" s="11"/>
      <c r="DE908" s="11"/>
      <c r="DF908" s="11"/>
      <c r="DG908" s="11"/>
    </row>
    <row r="909" ht="15.75" customHeight="1">
      <c r="A909" s="41"/>
      <c r="B909" s="11"/>
      <c r="C909" s="11"/>
      <c r="D909" s="11"/>
      <c r="E909" s="11"/>
      <c r="F909" s="11"/>
      <c r="G909" s="11"/>
      <c r="H909" s="11"/>
      <c r="I909" s="41"/>
      <c r="J909" s="11"/>
      <c r="K909" s="11"/>
      <c r="L909" s="11"/>
      <c r="M909" s="11"/>
      <c r="N909" s="11"/>
      <c r="O909" s="11"/>
      <c r="P909" s="11"/>
      <c r="Q909" s="41"/>
      <c r="R909" s="11"/>
      <c r="S909" s="11"/>
      <c r="T909" s="11"/>
      <c r="U909" s="11"/>
      <c r="V909" s="11"/>
      <c r="W909" s="11"/>
      <c r="X909" s="11"/>
      <c r="Y909" s="4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  <c r="BZ909" s="11"/>
      <c r="CA909" s="11"/>
      <c r="CB909" s="11"/>
      <c r="CC909" s="11"/>
      <c r="CD909" s="11"/>
      <c r="CE909" s="11"/>
      <c r="CF909" s="11"/>
      <c r="CG909" s="11"/>
      <c r="CH909" s="11"/>
      <c r="CI909" s="11"/>
      <c r="CJ909" s="11"/>
      <c r="CK909" s="11"/>
      <c r="CL909" s="11"/>
      <c r="CM909" s="11"/>
      <c r="CN909" s="11"/>
      <c r="CO909" s="11"/>
      <c r="CP909" s="40"/>
      <c r="CQ909" s="40"/>
      <c r="CR909" s="40"/>
      <c r="CS909" s="40"/>
      <c r="CT909" s="40"/>
      <c r="CU909" s="40"/>
      <c r="CV909" s="40"/>
      <c r="CW909" s="40"/>
      <c r="CX909" s="40"/>
      <c r="CY909" s="40"/>
      <c r="CZ909" s="40"/>
      <c r="DA909" s="11"/>
      <c r="DB909" s="11"/>
      <c r="DC909" s="11"/>
      <c r="DD909" s="11"/>
      <c r="DE909" s="11"/>
      <c r="DF909" s="11"/>
      <c r="DG909" s="11"/>
    </row>
    <row r="910" ht="15.75" customHeight="1">
      <c r="A910" s="41"/>
      <c r="B910" s="11"/>
      <c r="C910" s="11"/>
      <c r="D910" s="11"/>
      <c r="E910" s="11"/>
      <c r="F910" s="11"/>
      <c r="G910" s="11"/>
      <c r="H910" s="11"/>
      <c r="I910" s="41"/>
      <c r="J910" s="11"/>
      <c r="K910" s="11"/>
      <c r="L910" s="11"/>
      <c r="M910" s="11"/>
      <c r="N910" s="11"/>
      <c r="O910" s="11"/>
      <c r="P910" s="11"/>
      <c r="Q910" s="41"/>
      <c r="R910" s="11"/>
      <c r="S910" s="11"/>
      <c r="T910" s="11"/>
      <c r="U910" s="11"/>
      <c r="V910" s="11"/>
      <c r="W910" s="11"/>
      <c r="X910" s="11"/>
      <c r="Y910" s="4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  <c r="BZ910" s="11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40"/>
      <c r="CQ910" s="40"/>
      <c r="CR910" s="40"/>
      <c r="CS910" s="40"/>
      <c r="CT910" s="40"/>
      <c r="CU910" s="40"/>
      <c r="CV910" s="40"/>
      <c r="CW910" s="40"/>
      <c r="CX910" s="40"/>
      <c r="CY910" s="40"/>
      <c r="CZ910" s="40"/>
      <c r="DA910" s="11"/>
      <c r="DB910" s="11"/>
      <c r="DC910" s="11"/>
      <c r="DD910" s="11"/>
      <c r="DE910" s="11"/>
      <c r="DF910" s="11"/>
      <c r="DG910" s="11"/>
    </row>
    <row r="911" ht="15.75" customHeight="1">
      <c r="A911" s="41"/>
      <c r="B911" s="11"/>
      <c r="C911" s="11"/>
      <c r="D911" s="11"/>
      <c r="E911" s="11"/>
      <c r="F911" s="11"/>
      <c r="G911" s="11"/>
      <c r="H911" s="11"/>
      <c r="I911" s="41"/>
      <c r="J911" s="11"/>
      <c r="K911" s="11"/>
      <c r="L911" s="11"/>
      <c r="M911" s="11"/>
      <c r="N911" s="11"/>
      <c r="O911" s="11"/>
      <c r="P911" s="11"/>
      <c r="Q911" s="41"/>
      <c r="R911" s="11"/>
      <c r="S911" s="11"/>
      <c r="T911" s="11"/>
      <c r="U911" s="11"/>
      <c r="V911" s="11"/>
      <c r="W911" s="11"/>
      <c r="X911" s="11"/>
      <c r="Y911" s="4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  <c r="BZ911" s="11"/>
      <c r="CA911" s="11"/>
      <c r="CB911" s="11"/>
      <c r="CC911" s="11"/>
      <c r="CD911" s="11"/>
      <c r="CE911" s="11"/>
      <c r="CF911" s="11"/>
      <c r="CG911" s="11"/>
      <c r="CH911" s="11"/>
      <c r="CI911" s="11"/>
      <c r="CJ911" s="11"/>
      <c r="CK911" s="11"/>
      <c r="CL911" s="11"/>
      <c r="CM911" s="11"/>
      <c r="CN911" s="11"/>
      <c r="CO911" s="11"/>
      <c r="CP911" s="40"/>
      <c r="CQ911" s="40"/>
      <c r="CR911" s="40"/>
      <c r="CS911" s="40"/>
      <c r="CT911" s="40"/>
      <c r="CU911" s="40"/>
      <c r="CV911" s="40"/>
      <c r="CW911" s="40"/>
      <c r="CX911" s="40"/>
      <c r="CY911" s="40"/>
      <c r="CZ911" s="40"/>
      <c r="DA911" s="11"/>
      <c r="DB911" s="11"/>
      <c r="DC911" s="11"/>
      <c r="DD911" s="11"/>
      <c r="DE911" s="11"/>
      <c r="DF911" s="11"/>
      <c r="DG911" s="11"/>
    </row>
    <row r="912" ht="15.75" customHeight="1">
      <c r="A912" s="41"/>
      <c r="B912" s="11"/>
      <c r="C912" s="11"/>
      <c r="D912" s="11"/>
      <c r="E912" s="11"/>
      <c r="F912" s="11"/>
      <c r="G912" s="11"/>
      <c r="H912" s="11"/>
      <c r="I912" s="41"/>
      <c r="J912" s="11"/>
      <c r="K912" s="11"/>
      <c r="L912" s="11"/>
      <c r="M912" s="11"/>
      <c r="N912" s="11"/>
      <c r="O912" s="11"/>
      <c r="P912" s="11"/>
      <c r="Q912" s="41"/>
      <c r="R912" s="11"/>
      <c r="S912" s="11"/>
      <c r="T912" s="11"/>
      <c r="U912" s="11"/>
      <c r="V912" s="11"/>
      <c r="W912" s="11"/>
      <c r="X912" s="11"/>
      <c r="Y912" s="4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  <c r="BZ912" s="11"/>
      <c r="CA912" s="11"/>
      <c r="CB912" s="11"/>
      <c r="CC912" s="11"/>
      <c r="CD912" s="11"/>
      <c r="CE912" s="11"/>
      <c r="CF912" s="11"/>
      <c r="CG912" s="11"/>
      <c r="CH912" s="11"/>
      <c r="CI912" s="11"/>
      <c r="CJ912" s="11"/>
      <c r="CK912" s="11"/>
      <c r="CL912" s="11"/>
      <c r="CM912" s="11"/>
      <c r="CN912" s="11"/>
      <c r="CO912" s="11"/>
      <c r="CP912" s="40"/>
      <c r="CQ912" s="40"/>
      <c r="CR912" s="40"/>
      <c r="CS912" s="40"/>
      <c r="CT912" s="40"/>
      <c r="CU912" s="40"/>
      <c r="CV912" s="40"/>
      <c r="CW912" s="40"/>
      <c r="CX912" s="40"/>
      <c r="CY912" s="40"/>
      <c r="CZ912" s="40"/>
      <c r="DA912" s="11"/>
      <c r="DB912" s="11"/>
      <c r="DC912" s="11"/>
      <c r="DD912" s="11"/>
      <c r="DE912" s="11"/>
      <c r="DF912" s="11"/>
      <c r="DG912" s="11"/>
    </row>
    <row r="913" ht="15.75" customHeight="1">
      <c r="A913" s="41"/>
      <c r="B913" s="11"/>
      <c r="C913" s="11"/>
      <c r="D913" s="11"/>
      <c r="E913" s="11"/>
      <c r="F913" s="11"/>
      <c r="G913" s="11"/>
      <c r="H913" s="11"/>
      <c r="I913" s="41"/>
      <c r="J913" s="11"/>
      <c r="K913" s="11"/>
      <c r="L913" s="11"/>
      <c r="M913" s="11"/>
      <c r="N913" s="11"/>
      <c r="O913" s="11"/>
      <c r="P913" s="11"/>
      <c r="Q913" s="41"/>
      <c r="R913" s="11"/>
      <c r="S913" s="11"/>
      <c r="T913" s="11"/>
      <c r="U913" s="11"/>
      <c r="V913" s="11"/>
      <c r="W913" s="11"/>
      <c r="X913" s="11"/>
      <c r="Y913" s="4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  <c r="BZ913" s="11"/>
      <c r="CA913" s="11"/>
      <c r="CB913" s="11"/>
      <c r="CC913" s="11"/>
      <c r="CD913" s="11"/>
      <c r="CE913" s="11"/>
      <c r="CF913" s="11"/>
      <c r="CG913" s="11"/>
      <c r="CH913" s="11"/>
      <c r="CI913" s="11"/>
      <c r="CJ913" s="11"/>
      <c r="CK913" s="11"/>
      <c r="CL913" s="11"/>
      <c r="CM913" s="11"/>
      <c r="CN913" s="11"/>
      <c r="CO913" s="11"/>
      <c r="CP913" s="40"/>
      <c r="CQ913" s="40"/>
      <c r="CR913" s="40"/>
      <c r="CS913" s="40"/>
      <c r="CT913" s="40"/>
      <c r="CU913" s="40"/>
      <c r="CV913" s="40"/>
      <c r="CW913" s="40"/>
      <c r="CX913" s="40"/>
      <c r="CY913" s="40"/>
      <c r="CZ913" s="40"/>
      <c r="DA913" s="11"/>
      <c r="DB913" s="11"/>
      <c r="DC913" s="11"/>
      <c r="DD913" s="11"/>
      <c r="DE913" s="11"/>
      <c r="DF913" s="11"/>
      <c r="DG913" s="11"/>
    </row>
    <row r="914" ht="15.75" customHeight="1">
      <c r="A914" s="41"/>
      <c r="B914" s="11"/>
      <c r="C914" s="11"/>
      <c r="D914" s="11"/>
      <c r="E914" s="11"/>
      <c r="F914" s="11"/>
      <c r="G914" s="11"/>
      <c r="H914" s="11"/>
      <c r="I914" s="41"/>
      <c r="J914" s="11"/>
      <c r="K914" s="11"/>
      <c r="L914" s="11"/>
      <c r="M914" s="11"/>
      <c r="N914" s="11"/>
      <c r="O914" s="11"/>
      <c r="P914" s="11"/>
      <c r="Q914" s="41"/>
      <c r="R914" s="11"/>
      <c r="S914" s="11"/>
      <c r="T914" s="11"/>
      <c r="U914" s="11"/>
      <c r="V914" s="11"/>
      <c r="W914" s="11"/>
      <c r="X914" s="11"/>
      <c r="Y914" s="4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  <c r="BZ914" s="11"/>
      <c r="CA914" s="11"/>
      <c r="CB914" s="11"/>
      <c r="CC914" s="11"/>
      <c r="CD914" s="11"/>
      <c r="CE914" s="11"/>
      <c r="CF914" s="11"/>
      <c r="CG914" s="11"/>
      <c r="CH914" s="11"/>
      <c r="CI914" s="11"/>
      <c r="CJ914" s="11"/>
      <c r="CK914" s="11"/>
      <c r="CL914" s="11"/>
      <c r="CM914" s="11"/>
      <c r="CN914" s="11"/>
      <c r="CO914" s="11"/>
      <c r="CP914" s="40"/>
      <c r="CQ914" s="40"/>
      <c r="CR914" s="40"/>
      <c r="CS914" s="40"/>
      <c r="CT914" s="40"/>
      <c r="CU914" s="40"/>
      <c r="CV914" s="40"/>
      <c r="CW914" s="40"/>
      <c r="CX914" s="40"/>
      <c r="CY914" s="40"/>
      <c r="CZ914" s="40"/>
      <c r="DA914" s="11"/>
      <c r="DB914" s="11"/>
      <c r="DC914" s="11"/>
      <c r="DD914" s="11"/>
      <c r="DE914" s="11"/>
      <c r="DF914" s="11"/>
      <c r="DG914" s="11"/>
    </row>
    <row r="915" ht="15.75" customHeight="1">
      <c r="A915" s="41"/>
      <c r="B915" s="11"/>
      <c r="C915" s="11"/>
      <c r="D915" s="11"/>
      <c r="E915" s="11"/>
      <c r="F915" s="11"/>
      <c r="G915" s="11"/>
      <c r="H915" s="11"/>
      <c r="I915" s="41"/>
      <c r="J915" s="11"/>
      <c r="K915" s="11"/>
      <c r="L915" s="11"/>
      <c r="M915" s="11"/>
      <c r="N915" s="11"/>
      <c r="O915" s="11"/>
      <c r="P915" s="11"/>
      <c r="Q915" s="41"/>
      <c r="R915" s="11"/>
      <c r="S915" s="11"/>
      <c r="T915" s="11"/>
      <c r="U915" s="11"/>
      <c r="V915" s="11"/>
      <c r="W915" s="11"/>
      <c r="X915" s="11"/>
      <c r="Y915" s="4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  <c r="BZ915" s="11"/>
      <c r="CA915" s="11"/>
      <c r="CB915" s="11"/>
      <c r="CC915" s="11"/>
      <c r="CD915" s="11"/>
      <c r="CE915" s="11"/>
      <c r="CF915" s="11"/>
      <c r="CG915" s="11"/>
      <c r="CH915" s="11"/>
      <c r="CI915" s="11"/>
      <c r="CJ915" s="11"/>
      <c r="CK915" s="11"/>
      <c r="CL915" s="11"/>
      <c r="CM915" s="11"/>
      <c r="CN915" s="11"/>
      <c r="CO915" s="11"/>
      <c r="CP915" s="40"/>
      <c r="CQ915" s="40"/>
      <c r="CR915" s="40"/>
      <c r="CS915" s="40"/>
      <c r="CT915" s="40"/>
      <c r="CU915" s="40"/>
      <c r="CV915" s="40"/>
      <c r="CW915" s="40"/>
      <c r="CX915" s="40"/>
      <c r="CY915" s="40"/>
      <c r="CZ915" s="40"/>
      <c r="DA915" s="11"/>
      <c r="DB915" s="11"/>
      <c r="DC915" s="11"/>
      <c r="DD915" s="11"/>
      <c r="DE915" s="11"/>
      <c r="DF915" s="11"/>
      <c r="DG915" s="11"/>
    </row>
    <row r="916" ht="15.75" customHeight="1">
      <c r="A916" s="41"/>
      <c r="B916" s="11"/>
      <c r="C916" s="11"/>
      <c r="D916" s="11"/>
      <c r="E916" s="11"/>
      <c r="F916" s="11"/>
      <c r="G916" s="11"/>
      <c r="H916" s="11"/>
      <c r="I916" s="41"/>
      <c r="J916" s="11"/>
      <c r="K916" s="11"/>
      <c r="L916" s="11"/>
      <c r="M916" s="11"/>
      <c r="N916" s="11"/>
      <c r="O916" s="11"/>
      <c r="P916" s="11"/>
      <c r="Q916" s="41"/>
      <c r="R916" s="11"/>
      <c r="S916" s="11"/>
      <c r="T916" s="11"/>
      <c r="U916" s="11"/>
      <c r="V916" s="11"/>
      <c r="W916" s="11"/>
      <c r="X916" s="11"/>
      <c r="Y916" s="4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  <c r="BZ916" s="11"/>
      <c r="CA916" s="11"/>
      <c r="CB916" s="11"/>
      <c r="CC916" s="11"/>
      <c r="CD916" s="11"/>
      <c r="CE916" s="11"/>
      <c r="CF916" s="11"/>
      <c r="CG916" s="11"/>
      <c r="CH916" s="11"/>
      <c r="CI916" s="11"/>
      <c r="CJ916" s="11"/>
      <c r="CK916" s="11"/>
      <c r="CL916" s="11"/>
      <c r="CM916" s="11"/>
      <c r="CN916" s="11"/>
      <c r="CO916" s="11"/>
      <c r="CP916" s="40"/>
      <c r="CQ916" s="40"/>
      <c r="CR916" s="40"/>
      <c r="CS916" s="40"/>
      <c r="CT916" s="40"/>
      <c r="CU916" s="40"/>
      <c r="CV916" s="40"/>
      <c r="CW916" s="40"/>
      <c r="CX916" s="40"/>
      <c r="CY916" s="40"/>
      <c r="CZ916" s="40"/>
      <c r="DA916" s="11"/>
      <c r="DB916" s="11"/>
      <c r="DC916" s="11"/>
      <c r="DD916" s="11"/>
      <c r="DE916" s="11"/>
      <c r="DF916" s="11"/>
      <c r="DG916" s="11"/>
    </row>
    <row r="917" ht="15.75" customHeight="1">
      <c r="A917" s="41"/>
      <c r="B917" s="11"/>
      <c r="C917" s="11"/>
      <c r="D917" s="11"/>
      <c r="E917" s="11"/>
      <c r="F917" s="11"/>
      <c r="G917" s="11"/>
      <c r="H917" s="11"/>
      <c r="I917" s="41"/>
      <c r="J917" s="11"/>
      <c r="K917" s="11"/>
      <c r="L917" s="11"/>
      <c r="M917" s="11"/>
      <c r="N917" s="11"/>
      <c r="O917" s="11"/>
      <c r="P917" s="11"/>
      <c r="Q917" s="41"/>
      <c r="R917" s="11"/>
      <c r="S917" s="11"/>
      <c r="T917" s="11"/>
      <c r="U917" s="11"/>
      <c r="V917" s="11"/>
      <c r="W917" s="11"/>
      <c r="X917" s="11"/>
      <c r="Y917" s="4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  <c r="BZ917" s="11"/>
      <c r="CA917" s="11"/>
      <c r="CB917" s="11"/>
      <c r="CC917" s="11"/>
      <c r="CD917" s="11"/>
      <c r="CE917" s="11"/>
      <c r="CF917" s="11"/>
      <c r="CG917" s="11"/>
      <c r="CH917" s="11"/>
      <c r="CI917" s="11"/>
      <c r="CJ917" s="11"/>
      <c r="CK917" s="11"/>
      <c r="CL917" s="11"/>
      <c r="CM917" s="11"/>
      <c r="CN917" s="11"/>
      <c r="CO917" s="11"/>
      <c r="CP917" s="40"/>
      <c r="CQ917" s="40"/>
      <c r="CR917" s="40"/>
      <c r="CS917" s="40"/>
      <c r="CT917" s="40"/>
      <c r="CU917" s="40"/>
      <c r="CV917" s="40"/>
      <c r="CW917" s="40"/>
      <c r="CX917" s="40"/>
      <c r="CY917" s="40"/>
      <c r="CZ917" s="40"/>
      <c r="DA917" s="11"/>
      <c r="DB917" s="11"/>
      <c r="DC917" s="11"/>
      <c r="DD917" s="11"/>
      <c r="DE917" s="11"/>
      <c r="DF917" s="11"/>
      <c r="DG917" s="11"/>
    </row>
    <row r="918" ht="15.75" customHeight="1">
      <c r="A918" s="41"/>
      <c r="B918" s="11"/>
      <c r="C918" s="11"/>
      <c r="D918" s="11"/>
      <c r="E918" s="11"/>
      <c r="F918" s="11"/>
      <c r="G918" s="11"/>
      <c r="H918" s="11"/>
      <c r="I918" s="41"/>
      <c r="J918" s="11"/>
      <c r="K918" s="11"/>
      <c r="L918" s="11"/>
      <c r="M918" s="11"/>
      <c r="N918" s="11"/>
      <c r="O918" s="11"/>
      <c r="P918" s="11"/>
      <c r="Q918" s="41"/>
      <c r="R918" s="11"/>
      <c r="S918" s="11"/>
      <c r="T918" s="11"/>
      <c r="U918" s="11"/>
      <c r="V918" s="11"/>
      <c r="W918" s="11"/>
      <c r="X918" s="11"/>
      <c r="Y918" s="4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  <c r="BZ918" s="11"/>
      <c r="CA918" s="11"/>
      <c r="CB918" s="11"/>
      <c r="CC918" s="11"/>
      <c r="CD918" s="11"/>
      <c r="CE918" s="11"/>
      <c r="CF918" s="11"/>
      <c r="CG918" s="11"/>
      <c r="CH918" s="11"/>
      <c r="CI918" s="11"/>
      <c r="CJ918" s="11"/>
      <c r="CK918" s="11"/>
      <c r="CL918" s="11"/>
      <c r="CM918" s="11"/>
      <c r="CN918" s="11"/>
      <c r="CO918" s="11"/>
      <c r="CP918" s="40"/>
      <c r="CQ918" s="40"/>
      <c r="CR918" s="40"/>
      <c r="CS918" s="40"/>
      <c r="CT918" s="40"/>
      <c r="CU918" s="40"/>
      <c r="CV918" s="40"/>
      <c r="CW918" s="40"/>
      <c r="CX918" s="40"/>
      <c r="CY918" s="40"/>
      <c r="CZ918" s="40"/>
      <c r="DA918" s="11"/>
      <c r="DB918" s="11"/>
      <c r="DC918" s="11"/>
      <c r="DD918" s="11"/>
      <c r="DE918" s="11"/>
      <c r="DF918" s="11"/>
      <c r="DG918" s="11"/>
    </row>
    <row r="919" ht="15.75" customHeight="1">
      <c r="A919" s="41"/>
      <c r="B919" s="11"/>
      <c r="C919" s="11"/>
      <c r="D919" s="11"/>
      <c r="E919" s="11"/>
      <c r="F919" s="11"/>
      <c r="G919" s="11"/>
      <c r="H919" s="11"/>
      <c r="I919" s="41"/>
      <c r="J919" s="11"/>
      <c r="K919" s="11"/>
      <c r="L919" s="11"/>
      <c r="M919" s="11"/>
      <c r="N919" s="11"/>
      <c r="O919" s="11"/>
      <c r="P919" s="11"/>
      <c r="Q919" s="41"/>
      <c r="R919" s="11"/>
      <c r="S919" s="11"/>
      <c r="T919" s="11"/>
      <c r="U919" s="11"/>
      <c r="V919" s="11"/>
      <c r="W919" s="11"/>
      <c r="X919" s="11"/>
      <c r="Y919" s="4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  <c r="BZ919" s="11"/>
      <c r="CA919" s="11"/>
      <c r="CB919" s="11"/>
      <c r="CC919" s="11"/>
      <c r="CD919" s="11"/>
      <c r="CE919" s="11"/>
      <c r="CF919" s="11"/>
      <c r="CG919" s="11"/>
      <c r="CH919" s="11"/>
      <c r="CI919" s="11"/>
      <c r="CJ919" s="11"/>
      <c r="CK919" s="11"/>
      <c r="CL919" s="11"/>
      <c r="CM919" s="11"/>
      <c r="CN919" s="11"/>
      <c r="CO919" s="11"/>
      <c r="CP919" s="40"/>
      <c r="CQ919" s="40"/>
      <c r="CR919" s="40"/>
      <c r="CS919" s="40"/>
      <c r="CT919" s="40"/>
      <c r="CU919" s="40"/>
      <c r="CV919" s="40"/>
      <c r="CW919" s="40"/>
      <c r="CX919" s="40"/>
      <c r="CY919" s="40"/>
      <c r="CZ919" s="40"/>
      <c r="DA919" s="11"/>
      <c r="DB919" s="11"/>
      <c r="DC919" s="11"/>
      <c r="DD919" s="11"/>
      <c r="DE919" s="11"/>
      <c r="DF919" s="11"/>
      <c r="DG919" s="11"/>
    </row>
    <row r="920" ht="15.75" customHeight="1">
      <c r="A920" s="41"/>
      <c r="B920" s="11"/>
      <c r="C920" s="11"/>
      <c r="D920" s="11"/>
      <c r="E920" s="11"/>
      <c r="F920" s="11"/>
      <c r="G920" s="11"/>
      <c r="H920" s="11"/>
      <c r="I920" s="41"/>
      <c r="J920" s="11"/>
      <c r="K920" s="11"/>
      <c r="L920" s="11"/>
      <c r="M920" s="11"/>
      <c r="N920" s="11"/>
      <c r="O920" s="11"/>
      <c r="P920" s="11"/>
      <c r="Q920" s="41"/>
      <c r="R920" s="11"/>
      <c r="S920" s="11"/>
      <c r="T920" s="11"/>
      <c r="U920" s="11"/>
      <c r="V920" s="11"/>
      <c r="W920" s="11"/>
      <c r="X920" s="11"/>
      <c r="Y920" s="4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  <c r="BZ920" s="11"/>
      <c r="CA920" s="11"/>
      <c r="CB920" s="11"/>
      <c r="CC920" s="11"/>
      <c r="CD920" s="11"/>
      <c r="CE920" s="11"/>
      <c r="CF920" s="11"/>
      <c r="CG920" s="11"/>
      <c r="CH920" s="11"/>
      <c r="CI920" s="11"/>
      <c r="CJ920" s="11"/>
      <c r="CK920" s="11"/>
      <c r="CL920" s="11"/>
      <c r="CM920" s="11"/>
      <c r="CN920" s="11"/>
      <c r="CO920" s="11"/>
      <c r="CP920" s="40"/>
      <c r="CQ920" s="40"/>
      <c r="CR920" s="40"/>
      <c r="CS920" s="40"/>
      <c r="CT920" s="40"/>
      <c r="CU920" s="40"/>
      <c r="CV920" s="40"/>
      <c r="CW920" s="40"/>
      <c r="CX920" s="40"/>
      <c r="CY920" s="40"/>
      <c r="CZ920" s="40"/>
      <c r="DA920" s="11"/>
      <c r="DB920" s="11"/>
      <c r="DC920" s="11"/>
      <c r="DD920" s="11"/>
      <c r="DE920" s="11"/>
      <c r="DF920" s="11"/>
      <c r="DG920" s="11"/>
    </row>
    <row r="921" ht="15.75" customHeight="1">
      <c r="A921" s="41"/>
      <c r="B921" s="11"/>
      <c r="C921" s="11"/>
      <c r="D921" s="11"/>
      <c r="E921" s="11"/>
      <c r="F921" s="11"/>
      <c r="G921" s="11"/>
      <c r="H921" s="11"/>
      <c r="I921" s="41"/>
      <c r="J921" s="11"/>
      <c r="K921" s="11"/>
      <c r="L921" s="11"/>
      <c r="M921" s="11"/>
      <c r="N921" s="11"/>
      <c r="O921" s="11"/>
      <c r="P921" s="11"/>
      <c r="Q921" s="41"/>
      <c r="R921" s="11"/>
      <c r="S921" s="11"/>
      <c r="T921" s="11"/>
      <c r="U921" s="11"/>
      <c r="V921" s="11"/>
      <c r="W921" s="11"/>
      <c r="X921" s="11"/>
      <c r="Y921" s="4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  <c r="BZ921" s="11"/>
      <c r="CA921" s="11"/>
      <c r="CB921" s="11"/>
      <c r="CC921" s="11"/>
      <c r="CD921" s="11"/>
      <c r="CE921" s="11"/>
      <c r="CF921" s="11"/>
      <c r="CG921" s="11"/>
      <c r="CH921" s="11"/>
      <c r="CI921" s="11"/>
      <c r="CJ921" s="11"/>
      <c r="CK921" s="11"/>
      <c r="CL921" s="11"/>
      <c r="CM921" s="11"/>
      <c r="CN921" s="11"/>
      <c r="CO921" s="11"/>
      <c r="CP921" s="40"/>
      <c r="CQ921" s="40"/>
      <c r="CR921" s="40"/>
      <c r="CS921" s="40"/>
      <c r="CT921" s="40"/>
      <c r="CU921" s="40"/>
      <c r="CV921" s="40"/>
      <c r="CW921" s="40"/>
      <c r="CX921" s="40"/>
      <c r="CY921" s="40"/>
      <c r="CZ921" s="40"/>
      <c r="DA921" s="11"/>
      <c r="DB921" s="11"/>
      <c r="DC921" s="11"/>
      <c r="DD921" s="11"/>
      <c r="DE921" s="11"/>
      <c r="DF921" s="11"/>
      <c r="DG921" s="11"/>
    </row>
    <row r="922" ht="15.75" customHeight="1">
      <c r="A922" s="41"/>
      <c r="B922" s="11"/>
      <c r="C922" s="11"/>
      <c r="D922" s="11"/>
      <c r="E922" s="11"/>
      <c r="F922" s="11"/>
      <c r="G922" s="11"/>
      <c r="H922" s="11"/>
      <c r="I922" s="41"/>
      <c r="J922" s="11"/>
      <c r="K922" s="11"/>
      <c r="L922" s="11"/>
      <c r="M922" s="11"/>
      <c r="N922" s="11"/>
      <c r="O922" s="11"/>
      <c r="P922" s="11"/>
      <c r="Q922" s="41"/>
      <c r="R922" s="11"/>
      <c r="S922" s="11"/>
      <c r="T922" s="11"/>
      <c r="U922" s="11"/>
      <c r="V922" s="11"/>
      <c r="W922" s="11"/>
      <c r="X922" s="11"/>
      <c r="Y922" s="4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  <c r="BZ922" s="11"/>
      <c r="CA922" s="11"/>
      <c r="CB922" s="11"/>
      <c r="CC922" s="11"/>
      <c r="CD922" s="11"/>
      <c r="CE922" s="11"/>
      <c r="CF922" s="11"/>
      <c r="CG922" s="11"/>
      <c r="CH922" s="11"/>
      <c r="CI922" s="11"/>
      <c r="CJ922" s="11"/>
      <c r="CK922" s="11"/>
      <c r="CL922" s="11"/>
      <c r="CM922" s="11"/>
      <c r="CN922" s="11"/>
      <c r="CO922" s="11"/>
      <c r="CP922" s="40"/>
      <c r="CQ922" s="40"/>
      <c r="CR922" s="40"/>
      <c r="CS922" s="40"/>
      <c r="CT922" s="40"/>
      <c r="CU922" s="40"/>
      <c r="CV922" s="40"/>
      <c r="CW922" s="40"/>
      <c r="CX922" s="40"/>
      <c r="CY922" s="40"/>
      <c r="CZ922" s="40"/>
      <c r="DA922" s="11"/>
      <c r="DB922" s="11"/>
      <c r="DC922" s="11"/>
      <c r="DD922" s="11"/>
      <c r="DE922" s="11"/>
      <c r="DF922" s="11"/>
      <c r="DG922" s="11"/>
    </row>
    <row r="923" ht="15.75" customHeight="1">
      <c r="A923" s="41"/>
      <c r="B923" s="11"/>
      <c r="C923" s="11"/>
      <c r="D923" s="11"/>
      <c r="E923" s="11"/>
      <c r="F923" s="11"/>
      <c r="G923" s="11"/>
      <c r="H923" s="11"/>
      <c r="I923" s="41"/>
      <c r="J923" s="11"/>
      <c r="K923" s="11"/>
      <c r="L923" s="11"/>
      <c r="M923" s="11"/>
      <c r="N923" s="11"/>
      <c r="O923" s="11"/>
      <c r="P923" s="11"/>
      <c r="Q923" s="41"/>
      <c r="R923" s="11"/>
      <c r="S923" s="11"/>
      <c r="T923" s="11"/>
      <c r="U923" s="11"/>
      <c r="V923" s="11"/>
      <c r="W923" s="11"/>
      <c r="X923" s="11"/>
      <c r="Y923" s="4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  <c r="BZ923" s="11"/>
      <c r="CA923" s="11"/>
      <c r="CB923" s="11"/>
      <c r="CC923" s="11"/>
      <c r="CD923" s="11"/>
      <c r="CE923" s="11"/>
      <c r="CF923" s="11"/>
      <c r="CG923" s="11"/>
      <c r="CH923" s="11"/>
      <c r="CI923" s="11"/>
      <c r="CJ923" s="11"/>
      <c r="CK923" s="11"/>
      <c r="CL923" s="11"/>
      <c r="CM923" s="11"/>
      <c r="CN923" s="11"/>
      <c r="CO923" s="11"/>
      <c r="CP923" s="40"/>
      <c r="CQ923" s="40"/>
      <c r="CR923" s="40"/>
      <c r="CS923" s="40"/>
      <c r="CT923" s="40"/>
      <c r="CU923" s="40"/>
      <c r="CV923" s="40"/>
      <c r="CW923" s="40"/>
      <c r="CX923" s="40"/>
      <c r="CY923" s="40"/>
      <c r="CZ923" s="40"/>
      <c r="DA923" s="11"/>
      <c r="DB923" s="11"/>
      <c r="DC923" s="11"/>
      <c r="DD923" s="11"/>
      <c r="DE923" s="11"/>
      <c r="DF923" s="11"/>
      <c r="DG923" s="11"/>
    </row>
    <row r="924" ht="15.75" customHeight="1">
      <c r="A924" s="41"/>
      <c r="B924" s="11"/>
      <c r="C924" s="11"/>
      <c r="D924" s="11"/>
      <c r="E924" s="11"/>
      <c r="F924" s="11"/>
      <c r="G924" s="11"/>
      <c r="H924" s="11"/>
      <c r="I924" s="41"/>
      <c r="J924" s="11"/>
      <c r="K924" s="11"/>
      <c r="L924" s="11"/>
      <c r="M924" s="11"/>
      <c r="N924" s="11"/>
      <c r="O924" s="11"/>
      <c r="P924" s="11"/>
      <c r="Q924" s="41"/>
      <c r="R924" s="11"/>
      <c r="S924" s="11"/>
      <c r="T924" s="11"/>
      <c r="U924" s="11"/>
      <c r="V924" s="11"/>
      <c r="W924" s="11"/>
      <c r="X924" s="11"/>
      <c r="Y924" s="4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  <c r="BZ924" s="11"/>
      <c r="CA924" s="11"/>
      <c r="CB924" s="11"/>
      <c r="CC924" s="11"/>
      <c r="CD924" s="11"/>
      <c r="CE924" s="11"/>
      <c r="CF924" s="11"/>
      <c r="CG924" s="11"/>
      <c r="CH924" s="11"/>
      <c r="CI924" s="11"/>
      <c r="CJ924" s="11"/>
      <c r="CK924" s="11"/>
      <c r="CL924" s="11"/>
      <c r="CM924" s="11"/>
      <c r="CN924" s="11"/>
      <c r="CO924" s="11"/>
      <c r="CP924" s="40"/>
      <c r="CQ924" s="40"/>
      <c r="CR924" s="40"/>
      <c r="CS924" s="40"/>
      <c r="CT924" s="40"/>
      <c r="CU924" s="40"/>
      <c r="CV924" s="40"/>
      <c r="CW924" s="40"/>
      <c r="CX924" s="40"/>
      <c r="CY924" s="40"/>
      <c r="CZ924" s="40"/>
      <c r="DA924" s="11"/>
      <c r="DB924" s="11"/>
      <c r="DC924" s="11"/>
      <c r="DD924" s="11"/>
      <c r="DE924" s="11"/>
      <c r="DF924" s="11"/>
      <c r="DG924" s="11"/>
    </row>
    <row r="925" ht="15.75" customHeight="1">
      <c r="A925" s="41"/>
      <c r="B925" s="11"/>
      <c r="C925" s="11"/>
      <c r="D925" s="11"/>
      <c r="E925" s="11"/>
      <c r="F925" s="11"/>
      <c r="G925" s="11"/>
      <c r="H925" s="11"/>
      <c r="I925" s="41"/>
      <c r="J925" s="11"/>
      <c r="K925" s="11"/>
      <c r="L925" s="11"/>
      <c r="M925" s="11"/>
      <c r="N925" s="11"/>
      <c r="O925" s="11"/>
      <c r="P925" s="11"/>
      <c r="Q925" s="41"/>
      <c r="R925" s="11"/>
      <c r="S925" s="11"/>
      <c r="T925" s="11"/>
      <c r="U925" s="11"/>
      <c r="V925" s="11"/>
      <c r="W925" s="11"/>
      <c r="X925" s="11"/>
      <c r="Y925" s="4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  <c r="BZ925" s="11"/>
      <c r="CA925" s="11"/>
      <c r="CB925" s="11"/>
      <c r="CC925" s="11"/>
      <c r="CD925" s="11"/>
      <c r="CE925" s="11"/>
      <c r="CF925" s="11"/>
      <c r="CG925" s="11"/>
      <c r="CH925" s="11"/>
      <c r="CI925" s="11"/>
      <c r="CJ925" s="11"/>
      <c r="CK925" s="11"/>
      <c r="CL925" s="11"/>
      <c r="CM925" s="11"/>
      <c r="CN925" s="11"/>
      <c r="CO925" s="11"/>
      <c r="CP925" s="40"/>
      <c r="CQ925" s="40"/>
      <c r="CR925" s="40"/>
      <c r="CS925" s="40"/>
      <c r="CT925" s="40"/>
      <c r="CU925" s="40"/>
      <c r="CV925" s="40"/>
      <c r="CW925" s="40"/>
      <c r="CX925" s="40"/>
      <c r="CY925" s="40"/>
      <c r="CZ925" s="40"/>
      <c r="DA925" s="11"/>
      <c r="DB925" s="11"/>
      <c r="DC925" s="11"/>
      <c r="DD925" s="11"/>
      <c r="DE925" s="11"/>
      <c r="DF925" s="11"/>
      <c r="DG925" s="11"/>
    </row>
    <row r="926" ht="15.75" customHeight="1">
      <c r="A926" s="41"/>
      <c r="B926" s="11"/>
      <c r="C926" s="11"/>
      <c r="D926" s="11"/>
      <c r="E926" s="11"/>
      <c r="F926" s="11"/>
      <c r="G926" s="11"/>
      <c r="H926" s="11"/>
      <c r="I926" s="41"/>
      <c r="J926" s="11"/>
      <c r="K926" s="11"/>
      <c r="L926" s="11"/>
      <c r="M926" s="11"/>
      <c r="N926" s="11"/>
      <c r="O926" s="11"/>
      <c r="P926" s="11"/>
      <c r="Q926" s="41"/>
      <c r="R926" s="11"/>
      <c r="S926" s="11"/>
      <c r="T926" s="11"/>
      <c r="U926" s="11"/>
      <c r="V926" s="11"/>
      <c r="W926" s="11"/>
      <c r="X926" s="11"/>
      <c r="Y926" s="4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  <c r="BZ926" s="11"/>
      <c r="CA926" s="11"/>
      <c r="CB926" s="11"/>
      <c r="CC926" s="11"/>
      <c r="CD926" s="11"/>
      <c r="CE926" s="11"/>
      <c r="CF926" s="11"/>
      <c r="CG926" s="11"/>
      <c r="CH926" s="11"/>
      <c r="CI926" s="11"/>
      <c r="CJ926" s="11"/>
      <c r="CK926" s="11"/>
      <c r="CL926" s="11"/>
      <c r="CM926" s="11"/>
      <c r="CN926" s="11"/>
      <c r="CO926" s="11"/>
      <c r="CP926" s="40"/>
      <c r="CQ926" s="40"/>
      <c r="CR926" s="40"/>
      <c r="CS926" s="40"/>
      <c r="CT926" s="40"/>
      <c r="CU926" s="40"/>
      <c r="CV926" s="40"/>
      <c r="CW926" s="40"/>
      <c r="CX926" s="40"/>
      <c r="CY926" s="40"/>
      <c r="CZ926" s="40"/>
      <c r="DA926" s="11"/>
      <c r="DB926" s="11"/>
      <c r="DC926" s="11"/>
      <c r="DD926" s="11"/>
      <c r="DE926" s="11"/>
      <c r="DF926" s="11"/>
      <c r="DG926" s="11"/>
    </row>
    <row r="927" ht="15.75" customHeight="1">
      <c r="A927" s="41"/>
      <c r="B927" s="11"/>
      <c r="C927" s="11"/>
      <c r="D927" s="11"/>
      <c r="E927" s="11"/>
      <c r="F927" s="11"/>
      <c r="G927" s="11"/>
      <c r="H927" s="11"/>
      <c r="I927" s="41"/>
      <c r="J927" s="11"/>
      <c r="K927" s="11"/>
      <c r="L927" s="11"/>
      <c r="M927" s="11"/>
      <c r="N927" s="11"/>
      <c r="O927" s="11"/>
      <c r="P927" s="11"/>
      <c r="Q927" s="41"/>
      <c r="R927" s="11"/>
      <c r="S927" s="11"/>
      <c r="T927" s="11"/>
      <c r="U927" s="11"/>
      <c r="V927" s="11"/>
      <c r="W927" s="11"/>
      <c r="X927" s="11"/>
      <c r="Y927" s="4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  <c r="BZ927" s="11"/>
      <c r="CA927" s="11"/>
      <c r="CB927" s="11"/>
      <c r="CC927" s="11"/>
      <c r="CD927" s="11"/>
      <c r="CE927" s="11"/>
      <c r="CF927" s="11"/>
      <c r="CG927" s="11"/>
      <c r="CH927" s="11"/>
      <c r="CI927" s="11"/>
      <c r="CJ927" s="11"/>
      <c r="CK927" s="11"/>
      <c r="CL927" s="11"/>
      <c r="CM927" s="11"/>
      <c r="CN927" s="11"/>
      <c r="CO927" s="11"/>
      <c r="CP927" s="40"/>
      <c r="CQ927" s="40"/>
      <c r="CR927" s="40"/>
      <c r="CS927" s="40"/>
      <c r="CT927" s="40"/>
      <c r="CU927" s="40"/>
      <c r="CV927" s="40"/>
      <c r="CW927" s="40"/>
      <c r="CX927" s="40"/>
      <c r="CY927" s="40"/>
      <c r="CZ927" s="40"/>
      <c r="DA927" s="11"/>
      <c r="DB927" s="11"/>
      <c r="DC927" s="11"/>
      <c r="DD927" s="11"/>
      <c r="DE927" s="11"/>
      <c r="DF927" s="11"/>
      <c r="DG927" s="11"/>
    </row>
    <row r="928" ht="15.75" customHeight="1">
      <c r="A928" s="41"/>
      <c r="B928" s="11"/>
      <c r="C928" s="11"/>
      <c r="D928" s="11"/>
      <c r="E928" s="11"/>
      <c r="F928" s="11"/>
      <c r="G928" s="11"/>
      <c r="H928" s="11"/>
      <c r="I928" s="41"/>
      <c r="J928" s="11"/>
      <c r="K928" s="11"/>
      <c r="L928" s="11"/>
      <c r="M928" s="11"/>
      <c r="N928" s="11"/>
      <c r="O928" s="11"/>
      <c r="P928" s="11"/>
      <c r="Q928" s="41"/>
      <c r="R928" s="11"/>
      <c r="S928" s="11"/>
      <c r="T928" s="11"/>
      <c r="U928" s="11"/>
      <c r="V928" s="11"/>
      <c r="W928" s="11"/>
      <c r="X928" s="11"/>
      <c r="Y928" s="4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  <c r="BZ928" s="11"/>
      <c r="CA928" s="11"/>
      <c r="CB928" s="11"/>
      <c r="CC928" s="11"/>
      <c r="CD928" s="11"/>
      <c r="CE928" s="11"/>
      <c r="CF928" s="11"/>
      <c r="CG928" s="11"/>
      <c r="CH928" s="11"/>
      <c r="CI928" s="11"/>
      <c r="CJ928" s="11"/>
      <c r="CK928" s="11"/>
      <c r="CL928" s="11"/>
      <c r="CM928" s="11"/>
      <c r="CN928" s="11"/>
      <c r="CO928" s="11"/>
      <c r="CP928" s="40"/>
      <c r="CQ928" s="40"/>
      <c r="CR928" s="40"/>
      <c r="CS928" s="40"/>
      <c r="CT928" s="40"/>
      <c r="CU928" s="40"/>
      <c r="CV928" s="40"/>
      <c r="CW928" s="40"/>
      <c r="CX928" s="40"/>
      <c r="CY928" s="40"/>
      <c r="CZ928" s="40"/>
      <c r="DA928" s="11"/>
      <c r="DB928" s="11"/>
      <c r="DC928" s="11"/>
      <c r="DD928" s="11"/>
      <c r="DE928" s="11"/>
      <c r="DF928" s="11"/>
      <c r="DG928" s="11"/>
    </row>
    <row r="929" ht="15.75" customHeight="1">
      <c r="A929" s="41"/>
      <c r="B929" s="11"/>
      <c r="C929" s="11"/>
      <c r="D929" s="11"/>
      <c r="E929" s="11"/>
      <c r="F929" s="11"/>
      <c r="G929" s="11"/>
      <c r="H929" s="11"/>
      <c r="I929" s="41"/>
      <c r="J929" s="11"/>
      <c r="K929" s="11"/>
      <c r="L929" s="11"/>
      <c r="M929" s="11"/>
      <c r="N929" s="11"/>
      <c r="O929" s="11"/>
      <c r="P929" s="11"/>
      <c r="Q929" s="41"/>
      <c r="R929" s="11"/>
      <c r="S929" s="11"/>
      <c r="T929" s="11"/>
      <c r="U929" s="11"/>
      <c r="V929" s="11"/>
      <c r="W929" s="11"/>
      <c r="X929" s="11"/>
      <c r="Y929" s="4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  <c r="BZ929" s="11"/>
      <c r="CA929" s="11"/>
      <c r="CB929" s="11"/>
      <c r="CC929" s="11"/>
      <c r="CD929" s="11"/>
      <c r="CE929" s="11"/>
      <c r="CF929" s="11"/>
      <c r="CG929" s="11"/>
      <c r="CH929" s="11"/>
      <c r="CI929" s="11"/>
      <c r="CJ929" s="11"/>
      <c r="CK929" s="11"/>
      <c r="CL929" s="11"/>
      <c r="CM929" s="11"/>
      <c r="CN929" s="11"/>
      <c r="CO929" s="11"/>
      <c r="CP929" s="40"/>
      <c r="CQ929" s="40"/>
      <c r="CR929" s="40"/>
      <c r="CS929" s="40"/>
      <c r="CT929" s="40"/>
      <c r="CU929" s="40"/>
      <c r="CV929" s="40"/>
      <c r="CW929" s="40"/>
      <c r="CX929" s="40"/>
      <c r="CY929" s="40"/>
      <c r="CZ929" s="40"/>
      <c r="DA929" s="11"/>
      <c r="DB929" s="11"/>
      <c r="DC929" s="11"/>
      <c r="DD929" s="11"/>
      <c r="DE929" s="11"/>
      <c r="DF929" s="11"/>
      <c r="DG929" s="11"/>
    </row>
    <row r="930" ht="15.75" customHeight="1">
      <c r="A930" s="41"/>
      <c r="B930" s="11"/>
      <c r="C930" s="11"/>
      <c r="D930" s="11"/>
      <c r="E930" s="11"/>
      <c r="F930" s="11"/>
      <c r="G930" s="11"/>
      <c r="H930" s="11"/>
      <c r="I930" s="41"/>
      <c r="J930" s="11"/>
      <c r="K930" s="11"/>
      <c r="L930" s="11"/>
      <c r="M930" s="11"/>
      <c r="N930" s="11"/>
      <c r="O930" s="11"/>
      <c r="P930" s="11"/>
      <c r="Q930" s="41"/>
      <c r="R930" s="11"/>
      <c r="S930" s="11"/>
      <c r="T930" s="11"/>
      <c r="U930" s="11"/>
      <c r="V930" s="11"/>
      <c r="W930" s="11"/>
      <c r="X930" s="11"/>
      <c r="Y930" s="4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  <c r="BZ930" s="11"/>
      <c r="CA930" s="11"/>
      <c r="CB930" s="11"/>
      <c r="CC930" s="11"/>
      <c r="CD930" s="11"/>
      <c r="CE930" s="11"/>
      <c r="CF930" s="11"/>
      <c r="CG930" s="11"/>
      <c r="CH930" s="11"/>
      <c r="CI930" s="11"/>
      <c r="CJ930" s="11"/>
      <c r="CK930" s="11"/>
      <c r="CL930" s="11"/>
      <c r="CM930" s="11"/>
      <c r="CN930" s="11"/>
      <c r="CO930" s="11"/>
      <c r="CP930" s="40"/>
      <c r="CQ930" s="40"/>
      <c r="CR930" s="40"/>
      <c r="CS930" s="40"/>
      <c r="CT930" s="40"/>
      <c r="CU930" s="40"/>
      <c r="CV930" s="40"/>
      <c r="CW930" s="40"/>
      <c r="CX930" s="40"/>
      <c r="CY930" s="40"/>
      <c r="CZ930" s="40"/>
      <c r="DA930" s="11"/>
      <c r="DB930" s="11"/>
      <c r="DC930" s="11"/>
      <c r="DD930" s="11"/>
      <c r="DE930" s="11"/>
      <c r="DF930" s="11"/>
      <c r="DG930" s="11"/>
    </row>
    <row r="931" ht="15.75" customHeight="1">
      <c r="A931" s="41"/>
      <c r="B931" s="11"/>
      <c r="C931" s="11"/>
      <c r="D931" s="11"/>
      <c r="E931" s="11"/>
      <c r="F931" s="11"/>
      <c r="G931" s="11"/>
      <c r="H931" s="11"/>
      <c r="I931" s="41"/>
      <c r="J931" s="11"/>
      <c r="K931" s="11"/>
      <c r="L931" s="11"/>
      <c r="M931" s="11"/>
      <c r="N931" s="11"/>
      <c r="O931" s="11"/>
      <c r="P931" s="11"/>
      <c r="Q931" s="41"/>
      <c r="R931" s="11"/>
      <c r="S931" s="11"/>
      <c r="T931" s="11"/>
      <c r="U931" s="11"/>
      <c r="V931" s="11"/>
      <c r="W931" s="11"/>
      <c r="X931" s="11"/>
      <c r="Y931" s="4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  <c r="BZ931" s="11"/>
      <c r="CA931" s="11"/>
      <c r="CB931" s="11"/>
      <c r="CC931" s="11"/>
      <c r="CD931" s="11"/>
      <c r="CE931" s="11"/>
      <c r="CF931" s="11"/>
      <c r="CG931" s="11"/>
      <c r="CH931" s="11"/>
      <c r="CI931" s="11"/>
      <c r="CJ931" s="11"/>
      <c r="CK931" s="11"/>
      <c r="CL931" s="11"/>
      <c r="CM931" s="11"/>
      <c r="CN931" s="11"/>
      <c r="CO931" s="11"/>
      <c r="CP931" s="40"/>
      <c r="CQ931" s="40"/>
      <c r="CR931" s="40"/>
      <c r="CS931" s="40"/>
      <c r="CT931" s="40"/>
      <c r="CU931" s="40"/>
      <c r="CV931" s="40"/>
      <c r="CW931" s="40"/>
      <c r="CX931" s="40"/>
      <c r="CY931" s="40"/>
      <c r="CZ931" s="40"/>
      <c r="DA931" s="11"/>
      <c r="DB931" s="11"/>
      <c r="DC931" s="11"/>
      <c r="DD931" s="11"/>
      <c r="DE931" s="11"/>
      <c r="DF931" s="11"/>
      <c r="DG931" s="11"/>
    </row>
    <row r="932" ht="15.75" customHeight="1">
      <c r="A932" s="41"/>
      <c r="B932" s="11"/>
      <c r="C932" s="11"/>
      <c r="D932" s="11"/>
      <c r="E932" s="11"/>
      <c r="F932" s="11"/>
      <c r="G932" s="11"/>
      <c r="H932" s="11"/>
      <c r="I932" s="41"/>
      <c r="J932" s="11"/>
      <c r="K932" s="11"/>
      <c r="L932" s="11"/>
      <c r="M932" s="11"/>
      <c r="N932" s="11"/>
      <c r="O932" s="11"/>
      <c r="P932" s="11"/>
      <c r="Q932" s="41"/>
      <c r="R932" s="11"/>
      <c r="S932" s="11"/>
      <c r="T932" s="11"/>
      <c r="U932" s="11"/>
      <c r="V932" s="11"/>
      <c r="W932" s="11"/>
      <c r="X932" s="11"/>
      <c r="Y932" s="4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  <c r="CA932" s="11"/>
      <c r="CB932" s="11"/>
      <c r="CC932" s="11"/>
      <c r="CD932" s="11"/>
      <c r="CE932" s="11"/>
      <c r="CF932" s="11"/>
      <c r="CG932" s="11"/>
      <c r="CH932" s="11"/>
      <c r="CI932" s="11"/>
      <c r="CJ932" s="11"/>
      <c r="CK932" s="11"/>
      <c r="CL932" s="11"/>
      <c r="CM932" s="11"/>
      <c r="CN932" s="11"/>
      <c r="CO932" s="11"/>
      <c r="CP932" s="40"/>
      <c r="CQ932" s="40"/>
      <c r="CR932" s="40"/>
      <c r="CS932" s="40"/>
      <c r="CT932" s="40"/>
      <c r="CU932" s="40"/>
      <c r="CV932" s="40"/>
      <c r="CW932" s="40"/>
      <c r="CX932" s="40"/>
      <c r="CY932" s="40"/>
      <c r="CZ932" s="40"/>
      <c r="DA932" s="11"/>
      <c r="DB932" s="11"/>
      <c r="DC932" s="11"/>
      <c r="DD932" s="11"/>
      <c r="DE932" s="11"/>
      <c r="DF932" s="11"/>
      <c r="DG932" s="11"/>
    </row>
    <row r="933" ht="15.75" customHeight="1">
      <c r="A933" s="41"/>
      <c r="B933" s="11"/>
      <c r="C933" s="11"/>
      <c r="D933" s="11"/>
      <c r="E933" s="11"/>
      <c r="F933" s="11"/>
      <c r="G933" s="11"/>
      <c r="H933" s="11"/>
      <c r="I933" s="41"/>
      <c r="J933" s="11"/>
      <c r="K933" s="11"/>
      <c r="L933" s="11"/>
      <c r="M933" s="11"/>
      <c r="N933" s="11"/>
      <c r="O933" s="11"/>
      <c r="P933" s="11"/>
      <c r="Q933" s="41"/>
      <c r="R933" s="11"/>
      <c r="S933" s="11"/>
      <c r="T933" s="11"/>
      <c r="U933" s="11"/>
      <c r="V933" s="11"/>
      <c r="W933" s="11"/>
      <c r="X933" s="11"/>
      <c r="Y933" s="4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  <c r="BZ933" s="11"/>
      <c r="CA933" s="11"/>
      <c r="CB933" s="11"/>
      <c r="CC933" s="11"/>
      <c r="CD933" s="11"/>
      <c r="CE933" s="11"/>
      <c r="CF933" s="11"/>
      <c r="CG933" s="11"/>
      <c r="CH933" s="11"/>
      <c r="CI933" s="11"/>
      <c r="CJ933" s="11"/>
      <c r="CK933" s="11"/>
      <c r="CL933" s="11"/>
      <c r="CM933" s="11"/>
      <c r="CN933" s="11"/>
      <c r="CO933" s="11"/>
      <c r="CP933" s="40"/>
      <c r="CQ933" s="40"/>
      <c r="CR933" s="40"/>
      <c r="CS933" s="40"/>
      <c r="CT933" s="40"/>
      <c r="CU933" s="40"/>
      <c r="CV933" s="40"/>
      <c r="CW933" s="40"/>
      <c r="CX933" s="40"/>
      <c r="CY933" s="40"/>
      <c r="CZ933" s="40"/>
      <c r="DA933" s="11"/>
      <c r="DB933" s="11"/>
      <c r="DC933" s="11"/>
      <c r="DD933" s="11"/>
      <c r="DE933" s="11"/>
      <c r="DF933" s="11"/>
      <c r="DG933" s="11"/>
    </row>
    <row r="934" ht="15.75" customHeight="1">
      <c r="A934" s="41"/>
      <c r="B934" s="11"/>
      <c r="C934" s="11"/>
      <c r="D934" s="11"/>
      <c r="E934" s="11"/>
      <c r="F934" s="11"/>
      <c r="G934" s="11"/>
      <c r="H934" s="11"/>
      <c r="I934" s="41"/>
      <c r="J934" s="11"/>
      <c r="K934" s="11"/>
      <c r="L934" s="11"/>
      <c r="M934" s="11"/>
      <c r="N934" s="11"/>
      <c r="O934" s="11"/>
      <c r="P934" s="11"/>
      <c r="Q934" s="41"/>
      <c r="R934" s="11"/>
      <c r="S934" s="11"/>
      <c r="T934" s="11"/>
      <c r="U934" s="11"/>
      <c r="V934" s="11"/>
      <c r="W934" s="11"/>
      <c r="X934" s="11"/>
      <c r="Y934" s="4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  <c r="BZ934" s="11"/>
      <c r="CA934" s="11"/>
      <c r="CB934" s="11"/>
      <c r="CC934" s="11"/>
      <c r="CD934" s="11"/>
      <c r="CE934" s="11"/>
      <c r="CF934" s="11"/>
      <c r="CG934" s="11"/>
      <c r="CH934" s="11"/>
      <c r="CI934" s="11"/>
      <c r="CJ934" s="11"/>
      <c r="CK934" s="11"/>
      <c r="CL934" s="11"/>
      <c r="CM934" s="11"/>
      <c r="CN934" s="11"/>
      <c r="CO934" s="11"/>
      <c r="CP934" s="40"/>
      <c r="CQ934" s="40"/>
      <c r="CR934" s="40"/>
      <c r="CS934" s="40"/>
      <c r="CT934" s="40"/>
      <c r="CU934" s="40"/>
      <c r="CV934" s="40"/>
      <c r="CW934" s="40"/>
      <c r="CX934" s="40"/>
      <c r="CY934" s="40"/>
      <c r="CZ934" s="40"/>
      <c r="DA934" s="11"/>
      <c r="DB934" s="11"/>
      <c r="DC934" s="11"/>
      <c r="DD934" s="11"/>
      <c r="DE934" s="11"/>
      <c r="DF934" s="11"/>
      <c r="DG934" s="11"/>
    </row>
    <row r="935" ht="15.75" customHeight="1">
      <c r="A935" s="41"/>
      <c r="B935" s="11"/>
      <c r="C935" s="11"/>
      <c r="D935" s="11"/>
      <c r="E935" s="11"/>
      <c r="F935" s="11"/>
      <c r="G935" s="11"/>
      <c r="H935" s="11"/>
      <c r="I935" s="41"/>
      <c r="J935" s="11"/>
      <c r="K935" s="11"/>
      <c r="L935" s="11"/>
      <c r="M935" s="11"/>
      <c r="N935" s="11"/>
      <c r="O935" s="11"/>
      <c r="P935" s="11"/>
      <c r="Q935" s="41"/>
      <c r="R935" s="11"/>
      <c r="S935" s="11"/>
      <c r="T935" s="11"/>
      <c r="U935" s="11"/>
      <c r="V935" s="11"/>
      <c r="W935" s="11"/>
      <c r="X935" s="11"/>
      <c r="Y935" s="4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  <c r="BZ935" s="11"/>
      <c r="CA935" s="11"/>
      <c r="CB935" s="11"/>
      <c r="CC935" s="11"/>
      <c r="CD935" s="11"/>
      <c r="CE935" s="11"/>
      <c r="CF935" s="11"/>
      <c r="CG935" s="11"/>
      <c r="CH935" s="11"/>
      <c r="CI935" s="11"/>
      <c r="CJ935" s="11"/>
      <c r="CK935" s="11"/>
      <c r="CL935" s="11"/>
      <c r="CM935" s="11"/>
      <c r="CN935" s="11"/>
      <c r="CO935" s="11"/>
      <c r="CP935" s="40"/>
      <c r="CQ935" s="40"/>
      <c r="CR935" s="40"/>
      <c r="CS935" s="40"/>
      <c r="CT935" s="40"/>
      <c r="CU935" s="40"/>
      <c r="CV935" s="40"/>
      <c r="CW935" s="40"/>
      <c r="CX935" s="40"/>
      <c r="CY935" s="40"/>
      <c r="CZ935" s="40"/>
      <c r="DA935" s="11"/>
      <c r="DB935" s="11"/>
      <c r="DC935" s="11"/>
      <c r="DD935" s="11"/>
      <c r="DE935" s="11"/>
      <c r="DF935" s="11"/>
      <c r="DG935" s="11"/>
    </row>
    <row r="936" ht="15.75" customHeight="1">
      <c r="A936" s="41"/>
      <c r="B936" s="11"/>
      <c r="C936" s="11"/>
      <c r="D936" s="11"/>
      <c r="E936" s="11"/>
      <c r="F936" s="11"/>
      <c r="G936" s="11"/>
      <c r="H936" s="11"/>
      <c r="I936" s="41"/>
      <c r="J936" s="11"/>
      <c r="K936" s="11"/>
      <c r="L936" s="11"/>
      <c r="M936" s="11"/>
      <c r="N936" s="11"/>
      <c r="O936" s="11"/>
      <c r="P936" s="11"/>
      <c r="Q936" s="41"/>
      <c r="R936" s="11"/>
      <c r="S936" s="11"/>
      <c r="T936" s="11"/>
      <c r="U936" s="11"/>
      <c r="V936" s="11"/>
      <c r="W936" s="11"/>
      <c r="X936" s="11"/>
      <c r="Y936" s="4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  <c r="BZ936" s="11"/>
      <c r="CA936" s="11"/>
      <c r="CB936" s="11"/>
      <c r="CC936" s="11"/>
      <c r="CD936" s="11"/>
      <c r="CE936" s="11"/>
      <c r="CF936" s="11"/>
      <c r="CG936" s="11"/>
      <c r="CH936" s="11"/>
      <c r="CI936" s="11"/>
      <c r="CJ936" s="11"/>
      <c r="CK936" s="11"/>
      <c r="CL936" s="11"/>
      <c r="CM936" s="11"/>
      <c r="CN936" s="11"/>
      <c r="CO936" s="11"/>
      <c r="CP936" s="40"/>
      <c r="CQ936" s="40"/>
      <c r="CR936" s="40"/>
      <c r="CS936" s="40"/>
      <c r="CT936" s="40"/>
      <c r="CU936" s="40"/>
      <c r="CV936" s="40"/>
      <c r="CW936" s="40"/>
      <c r="CX936" s="40"/>
      <c r="CY936" s="40"/>
      <c r="CZ936" s="40"/>
      <c r="DA936" s="11"/>
      <c r="DB936" s="11"/>
      <c r="DC936" s="11"/>
      <c r="DD936" s="11"/>
      <c r="DE936" s="11"/>
      <c r="DF936" s="11"/>
      <c r="DG936" s="11"/>
    </row>
    <row r="937" ht="15.75" customHeight="1">
      <c r="A937" s="41"/>
      <c r="B937" s="11"/>
      <c r="C937" s="11"/>
      <c r="D937" s="11"/>
      <c r="E937" s="11"/>
      <c r="F937" s="11"/>
      <c r="G937" s="11"/>
      <c r="H937" s="11"/>
      <c r="I937" s="41"/>
      <c r="J937" s="11"/>
      <c r="K937" s="11"/>
      <c r="L937" s="11"/>
      <c r="M937" s="11"/>
      <c r="N937" s="11"/>
      <c r="O937" s="11"/>
      <c r="P937" s="11"/>
      <c r="Q937" s="41"/>
      <c r="R937" s="11"/>
      <c r="S937" s="11"/>
      <c r="T937" s="11"/>
      <c r="U937" s="11"/>
      <c r="V937" s="11"/>
      <c r="W937" s="11"/>
      <c r="X937" s="11"/>
      <c r="Y937" s="4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40"/>
      <c r="CQ937" s="40"/>
      <c r="CR937" s="40"/>
      <c r="CS937" s="40"/>
      <c r="CT937" s="40"/>
      <c r="CU937" s="40"/>
      <c r="CV937" s="40"/>
      <c r="CW937" s="40"/>
      <c r="CX937" s="40"/>
      <c r="CY937" s="40"/>
      <c r="CZ937" s="40"/>
      <c r="DA937" s="11"/>
      <c r="DB937" s="11"/>
      <c r="DC937" s="11"/>
      <c r="DD937" s="11"/>
      <c r="DE937" s="11"/>
      <c r="DF937" s="11"/>
      <c r="DG937" s="11"/>
    </row>
    <row r="938" ht="15.75" customHeight="1">
      <c r="A938" s="41"/>
      <c r="B938" s="11"/>
      <c r="C938" s="11"/>
      <c r="D938" s="11"/>
      <c r="E938" s="11"/>
      <c r="F938" s="11"/>
      <c r="G938" s="11"/>
      <c r="H938" s="11"/>
      <c r="I938" s="41"/>
      <c r="J938" s="11"/>
      <c r="K938" s="11"/>
      <c r="L938" s="11"/>
      <c r="M938" s="11"/>
      <c r="N938" s="11"/>
      <c r="O938" s="11"/>
      <c r="P938" s="11"/>
      <c r="Q938" s="41"/>
      <c r="R938" s="11"/>
      <c r="S938" s="11"/>
      <c r="T938" s="11"/>
      <c r="U938" s="11"/>
      <c r="V938" s="11"/>
      <c r="W938" s="11"/>
      <c r="X938" s="11"/>
      <c r="Y938" s="4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  <c r="BZ938" s="11"/>
      <c r="CA938" s="11"/>
      <c r="CB938" s="11"/>
      <c r="CC938" s="11"/>
      <c r="CD938" s="11"/>
      <c r="CE938" s="11"/>
      <c r="CF938" s="11"/>
      <c r="CG938" s="11"/>
      <c r="CH938" s="11"/>
      <c r="CI938" s="11"/>
      <c r="CJ938" s="11"/>
      <c r="CK938" s="11"/>
      <c r="CL938" s="11"/>
      <c r="CM938" s="11"/>
      <c r="CN938" s="11"/>
      <c r="CO938" s="11"/>
      <c r="CP938" s="40"/>
      <c r="CQ938" s="40"/>
      <c r="CR938" s="40"/>
      <c r="CS938" s="40"/>
      <c r="CT938" s="40"/>
      <c r="CU938" s="40"/>
      <c r="CV938" s="40"/>
      <c r="CW938" s="40"/>
      <c r="CX938" s="40"/>
      <c r="CY938" s="40"/>
      <c r="CZ938" s="40"/>
      <c r="DA938" s="11"/>
      <c r="DB938" s="11"/>
      <c r="DC938" s="11"/>
      <c r="DD938" s="11"/>
      <c r="DE938" s="11"/>
      <c r="DF938" s="11"/>
      <c r="DG938" s="11"/>
    </row>
    <row r="939" ht="15.75" customHeight="1">
      <c r="A939" s="41"/>
      <c r="B939" s="11"/>
      <c r="C939" s="11"/>
      <c r="D939" s="11"/>
      <c r="E939" s="11"/>
      <c r="F939" s="11"/>
      <c r="G939" s="11"/>
      <c r="H939" s="11"/>
      <c r="I939" s="41"/>
      <c r="J939" s="11"/>
      <c r="K939" s="11"/>
      <c r="L939" s="11"/>
      <c r="M939" s="11"/>
      <c r="N939" s="11"/>
      <c r="O939" s="11"/>
      <c r="P939" s="11"/>
      <c r="Q939" s="41"/>
      <c r="R939" s="11"/>
      <c r="S939" s="11"/>
      <c r="T939" s="11"/>
      <c r="U939" s="11"/>
      <c r="V939" s="11"/>
      <c r="W939" s="11"/>
      <c r="X939" s="11"/>
      <c r="Y939" s="4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  <c r="BZ939" s="11"/>
      <c r="CA939" s="11"/>
      <c r="CB939" s="11"/>
      <c r="CC939" s="11"/>
      <c r="CD939" s="11"/>
      <c r="CE939" s="11"/>
      <c r="CF939" s="11"/>
      <c r="CG939" s="11"/>
      <c r="CH939" s="11"/>
      <c r="CI939" s="11"/>
      <c r="CJ939" s="11"/>
      <c r="CK939" s="11"/>
      <c r="CL939" s="11"/>
      <c r="CM939" s="11"/>
      <c r="CN939" s="11"/>
      <c r="CO939" s="11"/>
      <c r="CP939" s="40"/>
      <c r="CQ939" s="40"/>
      <c r="CR939" s="40"/>
      <c r="CS939" s="40"/>
      <c r="CT939" s="40"/>
      <c r="CU939" s="40"/>
      <c r="CV939" s="40"/>
      <c r="CW939" s="40"/>
      <c r="CX939" s="40"/>
      <c r="CY939" s="40"/>
      <c r="CZ939" s="40"/>
      <c r="DA939" s="11"/>
      <c r="DB939" s="11"/>
      <c r="DC939" s="11"/>
      <c r="DD939" s="11"/>
      <c r="DE939" s="11"/>
      <c r="DF939" s="11"/>
      <c r="DG939" s="11"/>
    </row>
    <row r="940" ht="15.75" customHeight="1">
      <c r="A940" s="41"/>
      <c r="B940" s="11"/>
      <c r="C940" s="11"/>
      <c r="D940" s="11"/>
      <c r="E940" s="11"/>
      <c r="F940" s="11"/>
      <c r="G940" s="11"/>
      <c r="H940" s="11"/>
      <c r="I940" s="41"/>
      <c r="J940" s="11"/>
      <c r="K940" s="11"/>
      <c r="L940" s="11"/>
      <c r="M940" s="11"/>
      <c r="N940" s="11"/>
      <c r="O940" s="11"/>
      <c r="P940" s="11"/>
      <c r="Q940" s="41"/>
      <c r="R940" s="11"/>
      <c r="S940" s="11"/>
      <c r="T940" s="11"/>
      <c r="U940" s="11"/>
      <c r="V940" s="11"/>
      <c r="W940" s="11"/>
      <c r="X940" s="11"/>
      <c r="Y940" s="4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  <c r="BZ940" s="11"/>
      <c r="CA940" s="11"/>
      <c r="CB940" s="11"/>
      <c r="CC940" s="11"/>
      <c r="CD940" s="11"/>
      <c r="CE940" s="11"/>
      <c r="CF940" s="11"/>
      <c r="CG940" s="11"/>
      <c r="CH940" s="11"/>
      <c r="CI940" s="11"/>
      <c r="CJ940" s="11"/>
      <c r="CK940" s="11"/>
      <c r="CL940" s="11"/>
      <c r="CM940" s="11"/>
      <c r="CN940" s="11"/>
      <c r="CO940" s="11"/>
      <c r="CP940" s="40"/>
      <c r="CQ940" s="40"/>
      <c r="CR940" s="40"/>
      <c r="CS940" s="40"/>
      <c r="CT940" s="40"/>
      <c r="CU940" s="40"/>
      <c r="CV940" s="40"/>
      <c r="CW940" s="40"/>
      <c r="CX940" s="40"/>
      <c r="CY940" s="40"/>
      <c r="CZ940" s="40"/>
      <c r="DA940" s="11"/>
      <c r="DB940" s="11"/>
      <c r="DC940" s="11"/>
      <c r="DD940" s="11"/>
      <c r="DE940" s="11"/>
      <c r="DF940" s="11"/>
      <c r="DG940" s="11"/>
    </row>
    <row r="941" ht="15.75" customHeight="1">
      <c r="A941" s="41"/>
      <c r="B941" s="11"/>
      <c r="C941" s="11"/>
      <c r="D941" s="11"/>
      <c r="E941" s="11"/>
      <c r="F941" s="11"/>
      <c r="G941" s="11"/>
      <c r="H941" s="11"/>
      <c r="I941" s="41"/>
      <c r="J941" s="11"/>
      <c r="K941" s="11"/>
      <c r="L941" s="11"/>
      <c r="M941" s="11"/>
      <c r="N941" s="11"/>
      <c r="O941" s="11"/>
      <c r="P941" s="11"/>
      <c r="Q941" s="41"/>
      <c r="R941" s="11"/>
      <c r="S941" s="11"/>
      <c r="T941" s="11"/>
      <c r="U941" s="11"/>
      <c r="V941" s="11"/>
      <c r="W941" s="11"/>
      <c r="X941" s="11"/>
      <c r="Y941" s="4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  <c r="BZ941" s="11"/>
      <c r="CA941" s="11"/>
      <c r="CB941" s="11"/>
      <c r="CC941" s="11"/>
      <c r="CD941" s="11"/>
      <c r="CE941" s="11"/>
      <c r="CF941" s="11"/>
      <c r="CG941" s="11"/>
      <c r="CH941" s="11"/>
      <c r="CI941" s="11"/>
      <c r="CJ941" s="11"/>
      <c r="CK941" s="11"/>
      <c r="CL941" s="11"/>
      <c r="CM941" s="11"/>
      <c r="CN941" s="11"/>
      <c r="CO941" s="11"/>
      <c r="CP941" s="40"/>
      <c r="CQ941" s="40"/>
      <c r="CR941" s="40"/>
      <c r="CS941" s="40"/>
      <c r="CT941" s="40"/>
      <c r="CU941" s="40"/>
      <c r="CV941" s="40"/>
      <c r="CW941" s="40"/>
      <c r="CX941" s="40"/>
      <c r="CY941" s="40"/>
      <c r="CZ941" s="40"/>
      <c r="DA941" s="11"/>
      <c r="DB941" s="11"/>
      <c r="DC941" s="11"/>
      <c r="DD941" s="11"/>
      <c r="DE941" s="11"/>
      <c r="DF941" s="11"/>
      <c r="DG941" s="11"/>
    </row>
    <row r="942" ht="15.75" customHeight="1">
      <c r="A942" s="41"/>
      <c r="B942" s="11"/>
      <c r="C942" s="11"/>
      <c r="D942" s="11"/>
      <c r="E942" s="11"/>
      <c r="F942" s="11"/>
      <c r="G942" s="11"/>
      <c r="H942" s="11"/>
      <c r="I942" s="41"/>
      <c r="J942" s="11"/>
      <c r="K942" s="11"/>
      <c r="L942" s="11"/>
      <c r="M942" s="11"/>
      <c r="N942" s="11"/>
      <c r="O942" s="11"/>
      <c r="P942" s="11"/>
      <c r="Q942" s="41"/>
      <c r="R942" s="11"/>
      <c r="S942" s="11"/>
      <c r="T942" s="11"/>
      <c r="U942" s="11"/>
      <c r="V942" s="11"/>
      <c r="W942" s="11"/>
      <c r="X942" s="11"/>
      <c r="Y942" s="4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  <c r="BZ942" s="11"/>
      <c r="CA942" s="11"/>
      <c r="CB942" s="11"/>
      <c r="CC942" s="11"/>
      <c r="CD942" s="11"/>
      <c r="CE942" s="11"/>
      <c r="CF942" s="11"/>
      <c r="CG942" s="11"/>
      <c r="CH942" s="11"/>
      <c r="CI942" s="11"/>
      <c r="CJ942" s="11"/>
      <c r="CK942" s="11"/>
      <c r="CL942" s="11"/>
      <c r="CM942" s="11"/>
      <c r="CN942" s="11"/>
      <c r="CO942" s="11"/>
      <c r="CP942" s="40"/>
      <c r="CQ942" s="40"/>
      <c r="CR942" s="40"/>
      <c r="CS942" s="40"/>
      <c r="CT942" s="40"/>
      <c r="CU942" s="40"/>
      <c r="CV942" s="40"/>
      <c r="CW942" s="40"/>
      <c r="CX942" s="40"/>
      <c r="CY942" s="40"/>
      <c r="CZ942" s="40"/>
      <c r="DA942" s="11"/>
      <c r="DB942" s="11"/>
      <c r="DC942" s="11"/>
      <c r="DD942" s="11"/>
      <c r="DE942" s="11"/>
      <c r="DF942" s="11"/>
      <c r="DG942" s="11"/>
    </row>
    <row r="943" ht="15.75" customHeight="1">
      <c r="A943" s="41"/>
      <c r="B943" s="11"/>
      <c r="C943" s="11"/>
      <c r="D943" s="11"/>
      <c r="E943" s="11"/>
      <c r="F943" s="11"/>
      <c r="G943" s="11"/>
      <c r="H943" s="11"/>
      <c r="I943" s="41"/>
      <c r="J943" s="11"/>
      <c r="K943" s="11"/>
      <c r="L943" s="11"/>
      <c r="M943" s="11"/>
      <c r="N943" s="11"/>
      <c r="O943" s="11"/>
      <c r="P943" s="11"/>
      <c r="Q943" s="41"/>
      <c r="R943" s="11"/>
      <c r="S943" s="11"/>
      <c r="T943" s="11"/>
      <c r="U943" s="11"/>
      <c r="V943" s="11"/>
      <c r="W943" s="11"/>
      <c r="X943" s="11"/>
      <c r="Y943" s="4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  <c r="BZ943" s="11"/>
      <c r="CA943" s="11"/>
      <c r="CB943" s="11"/>
      <c r="CC943" s="11"/>
      <c r="CD943" s="11"/>
      <c r="CE943" s="11"/>
      <c r="CF943" s="11"/>
      <c r="CG943" s="11"/>
      <c r="CH943" s="11"/>
      <c r="CI943" s="11"/>
      <c r="CJ943" s="11"/>
      <c r="CK943" s="11"/>
      <c r="CL943" s="11"/>
      <c r="CM943" s="11"/>
      <c r="CN943" s="11"/>
      <c r="CO943" s="11"/>
      <c r="CP943" s="40"/>
      <c r="CQ943" s="40"/>
      <c r="CR943" s="40"/>
      <c r="CS943" s="40"/>
      <c r="CT943" s="40"/>
      <c r="CU943" s="40"/>
      <c r="CV943" s="40"/>
      <c r="CW943" s="40"/>
      <c r="CX943" s="40"/>
      <c r="CY943" s="40"/>
      <c r="CZ943" s="40"/>
      <c r="DA943" s="11"/>
      <c r="DB943" s="11"/>
      <c r="DC943" s="11"/>
      <c r="DD943" s="11"/>
      <c r="DE943" s="11"/>
      <c r="DF943" s="11"/>
      <c r="DG943" s="11"/>
    </row>
    <row r="944" ht="15.75" customHeight="1">
      <c r="A944" s="41"/>
      <c r="B944" s="11"/>
      <c r="C944" s="11"/>
      <c r="D944" s="11"/>
      <c r="E944" s="11"/>
      <c r="F944" s="11"/>
      <c r="G944" s="11"/>
      <c r="H944" s="11"/>
      <c r="I944" s="41"/>
      <c r="J944" s="11"/>
      <c r="K944" s="11"/>
      <c r="L944" s="11"/>
      <c r="M944" s="11"/>
      <c r="N944" s="11"/>
      <c r="O944" s="11"/>
      <c r="P944" s="11"/>
      <c r="Q944" s="41"/>
      <c r="R944" s="11"/>
      <c r="S944" s="11"/>
      <c r="T944" s="11"/>
      <c r="U944" s="11"/>
      <c r="V944" s="11"/>
      <c r="W944" s="11"/>
      <c r="X944" s="11"/>
      <c r="Y944" s="4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  <c r="BZ944" s="11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40"/>
      <c r="CQ944" s="40"/>
      <c r="CR944" s="40"/>
      <c r="CS944" s="40"/>
      <c r="CT944" s="40"/>
      <c r="CU944" s="40"/>
      <c r="CV944" s="40"/>
      <c r="CW944" s="40"/>
      <c r="CX944" s="40"/>
      <c r="CY944" s="40"/>
      <c r="CZ944" s="40"/>
      <c r="DA944" s="11"/>
      <c r="DB944" s="11"/>
      <c r="DC944" s="11"/>
      <c r="DD944" s="11"/>
      <c r="DE944" s="11"/>
      <c r="DF944" s="11"/>
      <c r="DG944" s="11"/>
    </row>
    <row r="945" ht="15.75" customHeight="1">
      <c r="A945" s="41"/>
      <c r="B945" s="11"/>
      <c r="C945" s="11"/>
      <c r="D945" s="11"/>
      <c r="E945" s="11"/>
      <c r="F945" s="11"/>
      <c r="G945" s="11"/>
      <c r="H945" s="11"/>
      <c r="I945" s="41"/>
      <c r="J945" s="11"/>
      <c r="K945" s="11"/>
      <c r="L945" s="11"/>
      <c r="M945" s="11"/>
      <c r="N945" s="11"/>
      <c r="O945" s="11"/>
      <c r="P945" s="11"/>
      <c r="Q945" s="41"/>
      <c r="R945" s="11"/>
      <c r="S945" s="11"/>
      <c r="T945" s="11"/>
      <c r="U945" s="11"/>
      <c r="V945" s="11"/>
      <c r="W945" s="11"/>
      <c r="X945" s="11"/>
      <c r="Y945" s="4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  <c r="BZ945" s="11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40"/>
      <c r="CQ945" s="40"/>
      <c r="CR945" s="40"/>
      <c r="CS945" s="40"/>
      <c r="CT945" s="40"/>
      <c r="CU945" s="40"/>
      <c r="CV945" s="40"/>
      <c r="CW945" s="40"/>
      <c r="CX945" s="40"/>
      <c r="CY945" s="40"/>
      <c r="CZ945" s="40"/>
      <c r="DA945" s="11"/>
      <c r="DB945" s="11"/>
      <c r="DC945" s="11"/>
      <c r="DD945" s="11"/>
      <c r="DE945" s="11"/>
      <c r="DF945" s="11"/>
      <c r="DG945" s="11"/>
    </row>
    <row r="946" ht="15.75" customHeight="1">
      <c r="A946" s="41"/>
      <c r="B946" s="11"/>
      <c r="C946" s="11"/>
      <c r="D946" s="11"/>
      <c r="E946" s="11"/>
      <c r="F946" s="11"/>
      <c r="G946" s="11"/>
      <c r="H946" s="11"/>
      <c r="I946" s="41"/>
      <c r="J946" s="11"/>
      <c r="K946" s="11"/>
      <c r="L946" s="11"/>
      <c r="M946" s="11"/>
      <c r="N946" s="11"/>
      <c r="O946" s="11"/>
      <c r="P946" s="11"/>
      <c r="Q946" s="41"/>
      <c r="R946" s="11"/>
      <c r="S946" s="11"/>
      <c r="T946" s="11"/>
      <c r="U946" s="11"/>
      <c r="V946" s="11"/>
      <c r="W946" s="11"/>
      <c r="X946" s="11"/>
      <c r="Y946" s="4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  <c r="BZ946" s="11"/>
      <c r="CA946" s="11"/>
      <c r="CB946" s="11"/>
      <c r="CC946" s="11"/>
      <c r="CD946" s="11"/>
      <c r="CE946" s="11"/>
      <c r="CF946" s="11"/>
      <c r="CG946" s="11"/>
      <c r="CH946" s="11"/>
      <c r="CI946" s="11"/>
      <c r="CJ946" s="11"/>
      <c r="CK946" s="11"/>
      <c r="CL946" s="11"/>
      <c r="CM946" s="11"/>
      <c r="CN946" s="11"/>
      <c r="CO946" s="11"/>
      <c r="CP946" s="40"/>
      <c r="CQ946" s="40"/>
      <c r="CR946" s="40"/>
      <c r="CS946" s="40"/>
      <c r="CT946" s="40"/>
      <c r="CU946" s="40"/>
      <c r="CV946" s="40"/>
      <c r="CW946" s="40"/>
      <c r="CX946" s="40"/>
      <c r="CY946" s="40"/>
      <c r="CZ946" s="40"/>
      <c r="DA946" s="11"/>
      <c r="DB946" s="11"/>
      <c r="DC946" s="11"/>
      <c r="DD946" s="11"/>
      <c r="DE946" s="11"/>
      <c r="DF946" s="11"/>
      <c r="DG946" s="11"/>
    </row>
    <row r="947" ht="15.75" customHeight="1">
      <c r="A947" s="41"/>
      <c r="B947" s="11"/>
      <c r="C947" s="11"/>
      <c r="D947" s="11"/>
      <c r="E947" s="11"/>
      <c r="F947" s="11"/>
      <c r="G947" s="11"/>
      <c r="H947" s="11"/>
      <c r="I947" s="41"/>
      <c r="J947" s="11"/>
      <c r="K947" s="11"/>
      <c r="L947" s="11"/>
      <c r="M947" s="11"/>
      <c r="N947" s="11"/>
      <c r="O947" s="11"/>
      <c r="P947" s="11"/>
      <c r="Q947" s="41"/>
      <c r="R947" s="11"/>
      <c r="S947" s="11"/>
      <c r="T947" s="11"/>
      <c r="U947" s="11"/>
      <c r="V947" s="11"/>
      <c r="W947" s="11"/>
      <c r="X947" s="11"/>
      <c r="Y947" s="4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  <c r="BZ947" s="11"/>
      <c r="CA947" s="11"/>
      <c r="CB947" s="11"/>
      <c r="CC947" s="11"/>
      <c r="CD947" s="11"/>
      <c r="CE947" s="11"/>
      <c r="CF947" s="11"/>
      <c r="CG947" s="11"/>
      <c r="CH947" s="11"/>
      <c r="CI947" s="11"/>
      <c r="CJ947" s="11"/>
      <c r="CK947" s="11"/>
      <c r="CL947" s="11"/>
      <c r="CM947" s="11"/>
      <c r="CN947" s="11"/>
      <c r="CO947" s="11"/>
      <c r="CP947" s="40"/>
      <c r="CQ947" s="40"/>
      <c r="CR947" s="40"/>
      <c r="CS947" s="40"/>
      <c r="CT947" s="40"/>
      <c r="CU947" s="40"/>
      <c r="CV947" s="40"/>
      <c r="CW947" s="40"/>
      <c r="CX947" s="40"/>
      <c r="CY947" s="40"/>
      <c r="CZ947" s="40"/>
      <c r="DA947" s="11"/>
      <c r="DB947" s="11"/>
      <c r="DC947" s="11"/>
      <c r="DD947" s="11"/>
      <c r="DE947" s="11"/>
      <c r="DF947" s="11"/>
      <c r="DG947" s="11"/>
    </row>
    <row r="948" ht="15.75" customHeight="1">
      <c r="A948" s="41"/>
      <c r="B948" s="11"/>
      <c r="C948" s="11"/>
      <c r="D948" s="11"/>
      <c r="E948" s="11"/>
      <c r="F948" s="11"/>
      <c r="G948" s="11"/>
      <c r="H948" s="11"/>
      <c r="I948" s="41"/>
      <c r="J948" s="11"/>
      <c r="K948" s="11"/>
      <c r="L948" s="11"/>
      <c r="M948" s="11"/>
      <c r="N948" s="11"/>
      <c r="O948" s="11"/>
      <c r="P948" s="11"/>
      <c r="Q948" s="41"/>
      <c r="R948" s="11"/>
      <c r="S948" s="11"/>
      <c r="T948" s="11"/>
      <c r="U948" s="11"/>
      <c r="V948" s="11"/>
      <c r="W948" s="11"/>
      <c r="X948" s="11"/>
      <c r="Y948" s="4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  <c r="BZ948" s="11"/>
      <c r="CA948" s="11"/>
      <c r="CB948" s="11"/>
      <c r="CC948" s="11"/>
      <c r="CD948" s="11"/>
      <c r="CE948" s="11"/>
      <c r="CF948" s="11"/>
      <c r="CG948" s="11"/>
      <c r="CH948" s="11"/>
      <c r="CI948" s="11"/>
      <c r="CJ948" s="11"/>
      <c r="CK948" s="11"/>
      <c r="CL948" s="11"/>
      <c r="CM948" s="11"/>
      <c r="CN948" s="11"/>
      <c r="CO948" s="11"/>
      <c r="CP948" s="40"/>
      <c r="CQ948" s="40"/>
      <c r="CR948" s="40"/>
      <c r="CS948" s="40"/>
      <c r="CT948" s="40"/>
      <c r="CU948" s="40"/>
      <c r="CV948" s="40"/>
      <c r="CW948" s="40"/>
      <c r="CX948" s="40"/>
      <c r="CY948" s="40"/>
      <c r="CZ948" s="40"/>
      <c r="DA948" s="11"/>
      <c r="DB948" s="11"/>
      <c r="DC948" s="11"/>
      <c r="DD948" s="11"/>
      <c r="DE948" s="11"/>
      <c r="DF948" s="11"/>
      <c r="DG948" s="11"/>
    </row>
    <row r="949" ht="15.75" customHeight="1">
      <c r="A949" s="41"/>
      <c r="B949" s="11"/>
      <c r="C949" s="11"/>
      <c r="D949" s="11"/>
      <c r="E949" s="11"/>
      <c r="F949" s="11"/>
      <c r="G949" s="11"/>
      <c r="H949" s="11"/>
      <c r="I949" s="41"/>
      <c r="J949" s="11"/>
      <c r="K949" s="11"/>
      <c r="L949" s="11"/>
      <c r="M949" s="11"/>
      <c r="N949" s="11"/>
      <c r="O949" s="11"/>
      <c r="P949" s="11"/>
      <c r="Q949" s="41"/>
      <c r="R949" s="11"/>
      <c r="S949" s="11"/>
      <c r="T949" s="11"/>
      <c r="U949" s="11"/>
      <c r="V949" s="11"/>
      <c r="W949" s="11"/>
      <c r="X949" s="11"/>
      <c r="Y949" s="4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  <c r="BZ949" s="11"/>
      <c r="CA949" s="11"/>
      <c r="CB949" s="11"/>
      <c r="CC949" s="11"/>
      <c r="CD949" s="11"/>
      <c r="CE949" s="11"/>
      <c r="CF949" s="11"/>
      <c r="CG949" s="11"/>
      <c r="CH949" s="11"/>
      <c r="CI949" s="11"/>
      <c r="CJ949" s="11"/>
      <c r="CK949" s="11"/>
      <c r="CL949" s="11"/>
      <c r="CM949" s="11"/>
      <c r="CN949" s="11"/>
      <c r="CO949" s="11"/>
      <c r="CP949" s="40"/>
      <c r="CQ949" s="40"/>
      <c r="CR949" s="40"/>
      <c r="CS949" s="40"/>
      <c r="CT949" s="40"/>
      <c r="CU949" s="40"/>
      <c r="CV949" s="40"/>
      <c r="CW949" s="40"/>
      <c r="CX949" s="40"/>
      <c r="CY949" s="40"/>
      <c r="CZ949" s="40"/>
      <c r="DA949" s="11"/>
      <c r="DB949" s="11"/>
      <c r="DC949" s="11"/>
      <c r="DD949" s="11"/>
      <c r="DE949" s="11"/>
      <c r="DF949" s="11"/>
      <c r="DG949" s="11"/>
    </row>
    <row r="950" ht="15.75" customHeight="1">
      <c r="A950" s="41"/>
      <c r="B950" s="11"/>
      <c r="C950" s="11"/>
      <c r="D950" s="11"/>
      <c r="E950" s="11"/>
      <c r="F950" s="11"/>
      <c r="G950" s="11"/>
      <c r="H950" s="11"/>
      <c r="I950" s="41"/>
      <c r="J950" s="11"/>
      <c r="K950" s="11"/>
      <c r="L950" s="11"/>
      <c r="M950" s="11"/>
      <c r="N950" s="11"/>
      <c r="O950" s="11"/>
      <c r="P950" s="11"/>
      <c r="Q950" s="41"/>
      <c r="R950" s="11"/>
      <c r="S950" s="11"/>
      <c r="T950" s="11"/>
      <c r="U950" s="11"/>
      <c r="V950" s="11"/>
      <c r="W950" s="11"/>
      <c r="X950" s="11"/>
      <c r="Y950" s="4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  <c r="BZ950" s="11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40"/>
      <c r="CQ950" s="40"/>
      <c r="CR950" s="40"/>
      <c r="CS950" s="40"/>
      <c r="CT950" s="40"/>
      <c r="CU950" s="40"/>
      <c r="CV950" s="40"/>
      <c r="CW950" s="40"/>
      <c r="CX950" s="40"/>
      <c r="CY950" s="40"/>
      <c r="CZ950" s="40"/>
      <c r="DA950" s="11"/>
      <c r="DB950" s="11"/>
      <c r="DC950" s="11"/>
      <c r="DD950" s="11"/>
      <c r="DE950" s="11"/>
      <c r="DF950" s="11"/>
      <c r="DG950" s="11"/>
    </row>
    <row r="951" ht="15.75" customHeight="1">
      <c r="A951" s="41"/>
      <c r="B951" s="11"/>
      <c r="C951" s="11"/>
      <c r="D951" s="11"/>
      <c r="E951" s="11"/>
      <c r="F951" s="11"/>
      <c r="G951" s="11"/>
      <c r="H951" s="11"/>
      <c r="I951" s="41"/>
      <c r="J951" s="11"/>
      <c r="K951" s="11"/>
      <c r="L951" s="11"/>
      <c r="M951" s="11"/>
      <c r="N951" s="11"/>
      <c r="O951" s="11"/>
      <c r="P951" s="11"/>
      <c r="Q951" s="41"/>
      <c r="R951" s="11"/>
      <c r="S951" s="11"/>
      <c r="T951" s="11"/>
      <c r="U951" s="11"/>
      <c r="V951" s="11"/>
      <c r="W951" s="11"/>
      <c r="X951" s="11"/>
      <c r="Y951" s="4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  <c r="BZ951" s="11"/>
      <c r="CA951" s="11"/>
      <c r="CB951" s="11"/>
      <c r="CC951" s="11"/>
      <c r="CD951" s="11"/>
      <c r="CE951" s="11"/>
      <c r="CF951" s="11"/>
      <c r="CG951" s="11"/>
      <c r="CH951" s="11"/>
      <c r="CI951" s="11"/>
      <c r="CJ951" s="11"/>
      <c r="CK951" s="11"/>
      <c r="CL951" s="11"/>
      <c r="CM951" s="11"/>
      <c r="CN951" s="11"/>
      <c r="CO951" s="11"/>
      <c r="CP951" s="40"/>
      <c r="CQ951" s="40"/>
      <c r="CR951" s="40"/>
      <c r="CS951" s="40"/>
      <c r="CT951" s="40"/>
      <c r="CU951" s="40"/>
      <c r="CV951" s="40"/>
      <c r="CW951" s="40"/>
      <c r="CX951" s="40"/>
      <c r="CY951" s="40"/>
      <c r="CZ951" s="40"/>
      <c r="DA951" s="11"/>
      <c r="DB951" s="11"/>
      <c r="DC951" s="11"/>
      <c r="DD951" s="11"/>
      <c r="DE951" s="11"/>
      <c r="DF951" s="11"/>
      <c r="DG951" s="11"/>
    </row>
    <row r="952" ht="15.75" customHeight="1">
      <c r="A952" s="41"/>
      <c r="B952" s="11"/>
      <c r="C952" s="11"/>
      <c r="D952" s="11"/>
      <c r="E952" s="11"/>
      <c r="F952" s="11"/>
      <c r="G952" s="11"/>
      <c r="H952" s="11"/>
      <c r="I952" s="41"/>
      <c r="J952" s="11"/>
      <c r="K952" s="11"/>
      <c r="L952" s="11"/>
      <c r="M952" s="11"/>
      <c r="N952" s="11"/>
      <c r="O952" s="11"/>
      <c r="P952" s="11"/>
      <c r="Q952" s="41"/>
      <c r="R952" s="11"/>
      <c r="S952" s="11"/>
      <c r="T952" s="11"/>
      <c r="U952" s="11"/>
      <c r="V952" s="11"/>
      <c r="W952" s="11"/>
      <c r="X952" s="11"/>
      <c r="Y952" s="4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  <c r="BZ952" s="11"/>
      <c r="CA952" s="11"/>
      <c r="CB952" s="11"/>
      <c r="CC952" s="11"/>
      <c r="CD952" s="11"/>
      <c r="CE952" s="11"/>
      <c r="CF952" s="11"/>
      <c r="CG952" s="11"/>
      <c r="CH952" s="11"/>
      <c r="CI952" s="11"/>
      <c r="CJ952" s="11"/>
      <c r="CK952" s="11"/>
      <c r="CL952" s="11"/>
      <c r="CM952" s="11"/>
      <c r="CN952" s="11"/>
      <c r="CO952" s="11"/>
      <c r="CP952" s="40"/>
      <c r="CQ952" s="40"/>
      <c r="CR952" s="40"/>
      <c r="CS952" s="40"/>
      <c r="CT952" s="40"/>
      <c r="CU952" s="40"/>
      <c r="CV952" s="40"/>
      <c r="CW952" s="40"/>
      <c r="CX952" s="40"/>
      <c r="CY952" s="40"/>
      <c r="CZ952" s="40"/>
      <c r="DA952" s="11"/>
      <c r="DB952" s="11"/>
      <c r="DC952" s="11"/>
      <c r="DD952" s="11"/>
      <c r="DE952" s="11"/>
      <c r="DF952" s="11"/>
      <c r="DG952" s="11"/>
    </row>
    <row r="953" ht="15.75" customHeight="1">
      <c r="A953" s="41"/>
      <c r="B953" s="11"/>
      <c r="C953" s="11"/>
      <c r="D953" s="11"/>
      <c r="E953" s="11"/>
      <c r="F953" s="11"/>
      <c r="G953" s="11"/>
      <c r="H953" s="11"/>
      <c r="I953" s="41"/>
      <c r="J953" s="11"/>
      <c r="K953" s="11"/>
      <c r="L953" s="11"/>
      <c r="M953" s="11"/>
      <c r="N953" s="11"/>
      <c r="O953" s="11"/>
      <c r="P953" s="11"/>
      <c r="Q953" s="41"/>
      <c r="R953" s="11"/>
      <c r="S953" s="11"/>
      <c r="T953" s="11"/>
      <c r="U953" s="11"/>
      <c r="V953" s="11"/>
      <c r="W953" s="11"/>
      <c r="X953" s="11"/>
      <c r="Y953" s="4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  <c r="CA953" s="11"/>
      <c r="CB953" s="11"/>
      <c r="CC953" s="11"/>
      <c r="CD953" s="11"/>
      <c r="CE953" s="11"/>
      <c r="CF953" s="11"/>
      <c r="CG953" s="11"/>
      <c r="CH953" s="11"/>
      <c r="CI953" s="11"/>
      <c r="CJ953" s="11"/>
      <c r="CK953" s="11"/>
      <c r="CL953" s="11"/>
      <c r="CM953" s="11"/>
      <c r="CN953" s="11"/>
      <c r="CO953" s="11"/>
      <c r="CP953" s="40"/>
      <c r="CQ953" s="40"/>
      <c r="CR953" s="40"/>
      <c r="CS953" s="40"/>
      <c r="CT953" s="40"/>
      <c r="CU953" s="40"/>
      <c r="CV953" s="40"/>
      <c r="CW953" s="40"/>
      <c r="CX953" s="40"/>
      <c r="CY953" s="40"/>
      <c r="CZ953" s="40"/>
      <c r="DA953" s="11"/>
      <c r="DB953" s="11"/>
      <c r="DC953" s="11"/>
      <c r="DD953" s="11"/>
      <c r="DE953" s="11"/>
      <c r="DF953" s="11"/>
      <c r="DG953" s="11"/>
    </row>
    <row r="954" ht="15.75" customHeight="1">
      <c r="A954" s="41"/>
      <c r="B954" s="11"/>
      <c r="C954" s="11"/>
      <c r="D954" s="11"/>
      <c r="E954" s="11"/>
      <c r="F954" s="11"/>
      <c r="G954" s="11"/>
      <c r="H954" s="11"/>
      <c r="I954" s="41"/>
      <c r="J954" s="11"/>
      <c r="K954" s="11"/>
      <c r="L954" s="11"/>
      <c r="M954" s="11"/>
      <c r="N954" s="11"/>
      <c r="O954" s="11"/>
      <c r="P954" s="11"/>
      <c r="Q954" s="41"/>
      <c r="R954" s="11"/>
      <c r="S954" s="11"/>
      <c r="T954" s="11"/>
      <c r="U954" s="11"/>
      <c r="V954" s="11"/>
      <c r="W954" s="11"/>
      <c r="X954" s="11"/>
      <c r="Y954" s="4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11"/>
      <c r="CD954" s="11"/>
      <c r="CE954" s="11"/>
      <c r="CF954" s="11"/>
      <c r="CG954" s="11"/>
      <c r="CH954" s="11"/>
      <c r="CI954" s="11"/>
      <c r="CJ954" s="11"/>
      <c r="CK954" s="11"/>
      <c r="CL954" s="11"/>
      <c r="CM954" s="11"/>
      <c r="CN954" s="11"/>
      <c r="CO954" s="11"/>
      <c r="CP954" s="40"/>
      <c r="CQ954" s="40"/>
      <c r="CR954" s="40"/>
      <c r="CS954" s="40"/>
      <c r="CT954" s="40"/>
      <c r="CU954" s="40"/>
      <c r="CV954" s="40"/>
      <c r="CW954" s="40"/>
      <c r="CX954" s="40"/>
      <c r="CY954" s="40"/>
      <c r="CZ954" s="40"/>
      <c r="DA954" s="11"/>
      <c r="DB954" s="11"/>
      <c r="DC954" s="11"/>
      <c r="DD954" s="11"/>
      <c r="DE954" s="11"/>
      <c r="DF954" s="11"/>
      <c r="DG954" s="11"/>
    </row>
    <row r="955" ht="15.75" customHeight="1">
      <c r="A955" s="41"/>
      <c r="B955" s="11"/>
      <c r="C955" s="11"/>
      <c r="D955" s="11"/>
      <c r="E955" s="11"/>
      <c r="F955" s="11"/>
      <c r="G955" s="11"/>
      <c r="H955" s="11"/>
      <c r="I955" s="41"/>
      <c r="J955" s="11"/>
      <c r="K955" s="11"/>
      <c r="L955" s="11"/>
      <c r="M955" s="11"/>
      <c r="N955" s="11"/>
      <c r="O955" s="11"/>
      <c r="P955" s="11"/>
      <c r="Q955" s="41"/>
      <c r="R955" s="11"/>
      <c r="S955" s="11"/>
      <c r="T955" s="11"/>
      <c r="U955" s="11"/>
      <c r="V955" s="11"/>
      <c r="W955" s="11"/>
      <c r="X955" s="11"/>
      <c r="Y955" s="4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  <c r="BZ955" s="11"/>
      <c r="CA955" s="11"/>
      <c r="CB955" s="11"/>
      <c r="CC955" s="11"/>
      <c r="CD955" s="11"/>
      <c r="CE955" s="11"/>
      <c r="CF955" s="11"/>
      <c r="CG955" s="11"/>
      <c r="CH955" s="11"/>
      <c r="CI955" s="11"/>
      <c r="CJ955" s="11"/>
      <c r="CK955" s="11"/>
      <c r="CL955" s="11"/>
      <c r="CM955" s="11"/>
      <c r="CN955" s="11"/>
      <c r="CO955" s="11"/>
      <c r="CP955" s="40"/>
      <c r="CQ955" s="40"/>
      <c r="CR955" s="40"/>
      <c r="CS955" s="40"/>
      <c r="CT955" s="40"/>
      <c r="CU955" s="40"/>
      <c r="CV955" s="40"/>
      <c r="CW955" s="40"/>
      <c r="CX955" s="40"/>
      <c r="CY955" s="40"/>
      <c r="CZ955" s="40"/>
      <c r="DA955" s="11"/>
      <c r="DB955" s="11"/>
      <c r="DC955" s="11"/>
      <c r="DD955" s="11"/>
      <c r="DE955" s="11"/>
      <c r="DF955" s="11"/>
      <c r="DG955" s="11"/>
    </row>
    <row r="956" ht="15.75" customHeight="1">
      <c r="A956" s="41"/>
      <c r="B956" s="11"/>
      <c r="C956" s="11"/>
      <c r="D956" s="11"/>
      <c r="E956" s="11"/>
      <c r="F956" s="11"/>
      <c r="G956" s="11"/>
      <c r="H956" s="11"/>
      <c r="I956" s="41"/>
      <c r="J956" s="11"/>
      <c r="K956" s="11"/>
      <c r="L956" s="11"/>
      <c r="M956" s="11"/>
      <c r="N956" s="11"/>
      <c r="O956" s="11"/>
      <c r="P956" s="11"/>
      <c r="Q956" s="41"/>
      <c r="R956" s="11"/>
      <c r="S956" s="11"/>
      <c r="T956" s="11"/>
      <c r="U956" s="11"/>
      <c r="V956" s="11"/>
      <c r="W956" s="11"/>
      <c r="X956" s="11"/>
      <c r="Y956" s="4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  <c r="CA956" s="11"/>
      <c r="CB956" s="11"/>
      <c r="CC956" s="11"/>
      <c r="CD956" s="11"/>
      <c r="CE956" s="11"/>
      <c r="CF956" s="11"/>
      <c r="CG956" s="11"/>
      <c r="CH956" s="11"/>
      <c r="CI956" s="11"/>
      <c r="CJ956" s="11"/>
      <c r="CK956" s="11"/>
      <c r="CL956" s="11"/>
      <c r="CM956" s="11"/>
      <c r="CN956" s="11"/>
      <c r="CO956" s="11"/>
      <c r="CP956" s="40"/>
      <c r="CQ956" s="40"/>
      <c r="CR956" s="40"/>
      <c r="CS956" s="40"/>
      <c r="CT956" s="40"/>
      <c r="CU956" s="40"/>
      <c r="CV956" s="40"/>
      <c r="CW956" s="40"/>
      <c r="CX956" s="40"/>
      <c r="CY956" s="40"/>
      <c r="CZ956" s="40"/>
      <c r="DA956" s="11"/>
      <c r="DB956" s="11"/>
      <c r="DC956" s="11"/>
      <c r="DD956" s="11"/>
      <c r="DE956" s="11"/>
      <c r="DF956" s="11"/>
      <c r="DG956" s="11"/>
    </row>
    <row r="957" ht="15.75" customHeight="1">
      <c r="A957" s="41"/>
      <c r="B957" s="11"/>
      <c r="C957" s="11"/>
      <c r="D957" s="11"/>
      <c r="E957" s="11"/>
      <c r="F957" s="11"/>
      <c r="G957" s="11"/>
      <c r="H957" s="11"/>
      <c r="I957" s="41"/>
      <c r="J957" s="11"/>
      <c r="K957" s="11"/>
      <c r="L957" s="11"/>
      <c r="M957" s="11"/>
      <c r="N957" s="11"/>
      <c r="O957" s="11"/>
      <c r="P957" s="11"/>
      <c r="Q957" s="41"/>
      <c r="R957" s="11"/>
      <c r="S957" s="11"/>
      <c r="T957" s="11"/>
      <c r="U957" s="11"/>
      <c r="V957" s="11"/>
      <c r="W957" s="11"/>
      <c r="X957" s="11"/>
      <c r="Y957" s="4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  <c r="BZ957" s="11"/>
      <c r="CA957" s="11"/>
      <c r="CB957" s="11"/>
      <c r="CC957" s="11"/>
      <c r="CD957" s="11"/>
      <c r="CE957" s="11"/>
      <c r="CF957" s="11"/>
      <c r="CG957" s="11"/>
      <c r="CH957" s="11"/>
      <c r="CI957" s="11"/>
      <c r="CJ957" s="11"/>
      <c r="CK957" s="11"/>
      <c r="CL957" s="11"/>
      <c r="CM957" s="11"/>
      <c r="CN957" s="11"/>
      <c r="CO957" s="11"/>
      <c r="CP957" s="40"/>
      <c r="CQ957" s="40"/>
      <c r="CR957" s="40"/>
      <c r="CS957" s="40"/>
      <c r="CT957" s="40"/>
      <c r="CU957" s="40"/>
      <c r="CV957" s="40"/>
      <c r="CW957" s="40"/>
      <c r="CX957" s="40"/>
      <c r="CY957" s="40"/>
      <c r="CZ957" s="40"/>
      <c r="DA957" s="11"/>
      <c r="DB957" s="11"/>
      <c r="DC957" s="11"/>
      <c r="DD957" s="11"/>
      <c r="DE957" s="11"/>
      <c r="DF957" s="11"/>
      <c r="DG957" s="11"/>
    </row>
    <row r="958" ht="15.75" customHeight="1">
      <c r="A958" s="41"/>
      <c r="B958" s="11"/>
      <c r="C958" s="11"/>
      <c r="D958" s="11"/>
      <c r="E958" s="11"/>
      <c r="F958" s="11"/>
      <c r="G958" s="11"/>
      <c r="H958" s="11"/>
      <c r="I958" s="41"/>
      <c r="J958" s="11"/>
      <c r="K958" s="11"/>
      <c r="L958" s="11"/>
      <c r="M958" s="11"/>
      <c r="N958" s="11"/>
      <c r="O958" s="11"/>
      <c r="P958" s="11"/>
      <c r="Q958" s="41"/>
      <c r="R958" s="11"/>
      <c r="S958" s="11"/>
      <c r="T958" s="11"/>
      <c r="U958" s="11"/>
      <c r="V958" s="11"/>
      <c r="W958" s="11"/>
      <c r="X958" s="11"/>
      <c r="Y958" s="4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  <c r="CA958" s="11"/>
      <c r="CB958" s="11"/>
      <c r="CC958" s="11"/>
      <c r="CD958" s="11"/>
      <c r="CE958" s="11"/>
      <c r="CF958" s="11"/>
      <c r="CG958" s="11"/>
      <c r="CH958" s="11"/>
      <c r="CI958" s="11"/>
      <c r="CJ958" s="11"/>
      <c r="CK958" s="11"/>
      <c r="CL958" s="11"/>
      <c r="CM958" s="11"/>
      <c r="CN958" s="11"/>
      <c r="CO958" s="11"/>
      <c r="CP958" s="40"/>
      <c r="CQ958" s="40"/>
      <c r="CR958" s="40"/>
      <c r="CS958" s="40"/>
      <c r="CT958" s="40"/>
      <c r="CU958" s="40"/>
      <c r="CV958" s="40"/>
      <c r="CW958" s="40"/>
      <c r="CX958" s="40"/>
      <c r="CY958" s="40"/>
      <c r="CZ958" s="40"/>
      <c r="DA958" s="11"/>
      <c r="DB958" s="11"/>
      <c r="DC958" s="11"/>
      <c r="DD958" s="11"/>
      <c r="DE958" s="11"/>
      <c r="DF958" s="11"/>
      <c r="DG958" s="11"/>
    </row>
    <row r="959" ht="15.75" customHeight="1">
      <c r="A959" s="41"/>
      <c r="B959" s="11"/>
      <c r="C959" s="11"/>
      <c r="D959" s="11"/>
      <c r="E959" s="11"/>
      <c r="F959" s="11"/>
      <c r="G959" s="11"/>
      <c r="H959" s="11"/>
      <c r="I959" s="41"/>
      <c r="J959" s="11"/>
      <c r="K959" s="11"/>
      <c r="L959" s="11"/>
      <c r="M959" s="11"/>
      <c r="N959" s="11"/>
      <c r="O959" s="11"/>
      <c r="P959" s="11"/>
      <c r="Q959" s="41"/>
      <c r="R959" s="11"/>
      <c r="S959" s="11"/>
      <c r="T959" s="11"/>
      <c r="U959" s="11"/>
      <c r="V959" s="11"/>
      <c r="W959" s="11"/>
      <c r="X959" s="11"/>
      <c r="Y959" s="4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  <c r="BZ959" s="11"/>
      <c r="CA959" s="11"/>
      <c r="CB959" s="11"/>
      <c r="CC959" s="11"/>
      <c r="CD959" s="11"/>
      <c r="CE959" s="11"/>
      <c r="CF959" s="11"/>
      <c r="CG959" s="11"/>
      <c r="CH959" s="11"/>
      <c r="CI959" s="11"/>
      <c r="CJ959" s="11"/>
      <c r="CK959" s="11"/>
      <c r="CL959" s="11"/>
      <c r="CM959" s="11"/>
      <c r="CN959" s="11"/>
      <c r="CO959" s="11"/>
      <c r="CP959" s="40"/>
      <c r="CQ959" s="40"/>
      <c r="CR959" s="40"/>
      <c r="CS959" s="40"/>
      <c r="CT959" s="40"/>
      <c r="CU959" s="40"/>
      <c r="CV959" s="40"/>
      <c r="CW959" s="40"/>
      <c r="CX959" s="40"/>
      <c r="CY959" s="40"/>
      <c r="CZ959" s="40"/>
      <c r="DA959" s="11"/>
      <c r="DB959" s="11"/>
      <c r="DC959" s="11"/>
      <c r="DD959" s="11"/>
      <c r="DE959" s="11"/>
      <c r="DF959" s="11"/>
      <c r="DG959" s="11"/>
    </row>
    <row r="960" ht="15.75" customHeight="1">
      <c r="A960" s="41"/>
      <c r="B960" s="11"/>
      <c r="C960" s="11"/>
      <c r="D960" s="11"/>
      <c r="E960" s="11"/>
      <c r="F960" s="11"/>
      <c r="G960" s="11"/>
      <c r="H960" s="11"/>
      <c r="I960" s="41"/>
      <c r="J960" s="11"/>
      <c r="K960" s="11"/>
      <c r="L960" s="11"/>
      <c r="M960" s="11"/>
      <c r="N960" s="11"/>
      <c r="O960" s="11"/>
      <c r="P960" s="11"/>
      <c r="Q960" s="41"/>
      <c r="R960" s="11"/>
      <c r="S960" s="11"/>
      <c r="T960" s="11"/>
      <c r="U960" s="11"/>
      <c r="V960" s="11"/>
      <c r="W960" s="11"/>
      <c r="X960" s="11"/>
      <c r="Y960" s="4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  <c r="BZ960" s="11"/>
      <c r="CA960" s="11"/>
      <c r="CB960" s="11"/>
      <c r="CC960" s="11"/>
      <c r="CD960" s="11"/>
      <c r="CE960" s="11"/>
      <c r="CF960" s="11"/>
      <c r="CG960" s="11"/>
      <c r="CH960" s="11"/>
      <c r="CI960" s="11"/>
      <c r="CJ960" s="11"/>
      <c r="CK960" s="11"/>
      <c r="CL960" s="11"/>
      <c r="CM960" s="11"/>
      <c r="CN960" s="11"/>
      <c r="CO960" s="11"/>
      <c r="CP960" s="40"/>
      <c r="CQ960" s="40"/>
      <c r="CR960" s="40"/>
      <c r="CS960" s="40"/>
      <c r="CT960" s="40"/>
      <c r="CU960" s="40"/>
      <c r="CV960" s="40"/>
      <c r="CW960" s="40"/>
      <c r="CX960" s="40"/>
      <c r="CY960" s="40"/>
      <c r="CZ960" s="40"/>
      <c r="DA960" s="11"/>
      <c r="DB960" s="11"/>
      <c r="DC960" s="11"/>
      <c r="DD960" s="11"/>
      <c r="DE960" s="11"/>
      <c r="DF960" s="11"/>
      <c r="DG960" s="11"/>
    </row>
    <row r="961" ht="15.75" customHeight="1">
      <c r="A961" s="41"/>
      <c r="B961" s="11"/>
      <c r="C961" s="11"/>
      <c r="D961" s="11"/>
      <c r="E961" s="11"/>
      <c r="F961" s="11"/>
      <c r="G961" s="11"/>
      <c r="H961" s="11"/>
      <c r="I961" s="41"/>
      <c r="J961" s="11"/>
      <c r="K961" s="11"/>
      <c r="L961" s="11"/>
      <c r="M961" s="11"/>
      <c r="N961" s="11"/>
      <c r="O961" s="11"/>
      <c r="P961" s="11"/>
      <c r="Q961" s="41"/>
      <c r="R961" s="11"/>
      <c r="S961" s="11"/>
      <c r="T961" s="11"/>
      <c r="U961" s="11"/>
      <c r="V961" s="11"/>
      <c r="W961" s="11"/>
      <c r="X961" s="11"/>
      <c r="Y961" s="4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  <c r="CA961" s="11"/>
      <c r="CB961" s="11"/>
      <c r="CC961" s="11"/>
      <c r="CD961" s="11"/>
      <c r="CE961" s="11"/>
      <c r="CF961" s="11"/>
      <c r="CG961" s="11"/>
      <c r="CH961" s="11"/>
      <c r="CI961" s="11"/>
      <c r="CJ961" s="11"/>
      <c r="CK961" s="11"/>
      <c r="CL961" s="11"/>
      <c r="CM961" s="11"/>
      <c r="CN961" s="11"/>
      <c r="CO961" s="11"/>
      <c r="CP961" s="40"/>
      <c r="CQ961" s="40"/>
      <c r="CR961" s="40"/>
      <c r="CS961" s="40"/>
      <c r="CT961" s="40"/>
      <c r="CU961" s="40"/>
      <c r="CV961" s="40"/>
      <c r="CW961" s="40"/>
      <c r="CX961" s="40"/>
      <c r="CY961" s="40"/>
      <c r="CZ961" s="40"/>
      <c r="DA961" s="11"/>
      <c r="DB961" s="11"/>
      <c r="DC961" s="11"/>
      <c r="DD961" s="11"/>
      <c r="DE961" s="11"/>
      <c r="DF961" s="11"/>
      <c r="DG961" s="11"/>
    </row>
    <row r="962" ht="15.75" customHeight="1">
      <c r="A962" s="41"/>
      <c r="B962" s="11"/>
      <c r="C962" s="11"/>
      <c r="D962" s="11"/>
      <c r="E962" s="11"/>
      <c r="F962" s="11"/>
      <c r="G962" s="11"/>
      <c r="H962" s="11"/>
      <c r="I962" s="41"/>
      <c r="J962" s="11"/>
      <c r="K962" s="11"/>
      <c r="L962" s="11"/>
      <c r="M962" s="11"/>
      <c r="N962" s="11"/>
      <c r="O962" s="11"/>
      <c r="P962" s="11"/>
      <c r="Q962" s="41"/>
      <c r="R962" s="11"/>
      <c r="S962" s="11"/>
      <c r="T962" s="11"/>
      <c r="U962" s="11"/>
      <c r="V962" s="11"/>
      <c r="W962" s="11"/>
      <c r="X962" s="11"/>
      <c r="Y962" s="4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  <c r="CA962" s="11"/>
      <c r="CB962" s="11"/>
      <c r="CC962" s="11"/>
      <c r="CD962" s="11"/>
      <c r="CE962" s="11"/>
      <c r="CF962" s="11"/>
      <c r="CG962" s="11"/>
      <c r="CH962" s="11"/>
      <c r="CI962" s="11"/>
      <c r="CJ962" s="11"/>
      <c r="CK962" s="11"/>
      <c r="CL962" s="11"/>
      <c r="CM962" s="11"/>
      <c r="CN962" s="11"/>
      <c r="CO962" s="11"/>
      <c r="CP962" s="40"/>
      <c r="CQ962" s="40"/>
      <c r="CR962" s="40"/>
      <c r="CS962" s="40"/>
      <c r="CT962" s="40"/>
      <c r="CU962" s="40"/>
      <c r="CV962" s="40"/>
      <c r="CW962" s="40"/>
      <c r="CX962" s="40"/>
      <c r="CY962" s="40"/>
      <c r="CZ962" s="40"/>
      <c r="DA962" s="11"/>
      <c r="DB962" s="11"/>
      <c r="DC962" s="11"/>
      <c r="DD962" s="11"/>
      <c r="DE962" s="11"/>
      <c r="DF962" s="11"/>
      <c r="DG962" s="11"/>
    </row>
    <row r="963" ht="15.75" customHeight="1">
      <c r="A963" s="41"/>
      <c r="B963" s="11"/>
      <c r="C963" s="11"/>
      <c r="D963" s="11"/>
      <c r="E963" s="11"/>
      <c r="F963" s="11"/>
      <c r="G963" s="11"/>
      <c r="H963" s="11"/>
      <c r="I963" s="41"/>
      <c r="J963" s="11"/>
      <c r="K963" s="11"/>
      <c r="L963" s="11"/>
      <c r="M963" s="11"/>
      <c r="N963" s="11"/>
      <c r="O963" s="11"/>
      <c r="P963" s="11"/>
      <c r="Q963" s="41"/>
      <c r="R963" s="11"/>
      <c r="S963" s="11"/>
      <c r="T963" s="11"/>
      <c r="U963" s="11"/>
      <c r="V963" s="11"/>
      <c r="W963" s="11"/>
      <c r="X963" s="11"/>
      <c r="Y963" s="4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  <c r="BZ963" s="11"/>
      <c r="CA963" s="11"/>
      <c r="CB963" s="11"/>
      <c r="CC963" s="11"/>
      <c r="CD963" s="11"/>
      <c r="CE963" s="11"/>
      <c r="CF963" s="11"/>
      <c r="CG963" s="11"/>
      <c r="CH963" s="11"/>
      <c r="CI963" s="11"/>
      <c r="CJ963" s="11"/>
      <c r="CK963" s="11"/>
      <c r="CL963" s="11"/>
      <c r="CM963" s="11"/>
      <c r="CN963" s="11"/>
      <c r="CO963" s="11"/>
      <c r="CP963" s="40"/>
      <c r="CQ963" s="40"/>
      <c r="CR963" s="40"/>
      <c r="CS963" s="40"/>
      <c r="CT963" s="40"/>
      <c r="CU963" s="40"/>
      <c r="CV963" s="40"/>
      <c r="CW963" s="40"/>
      <c r="CX963" s="40"/>
      <c r="CY963" s="40"/>
      <c r="CZ963" s="40"/>
      <c r="DA963" s="11"/>
      <c r="DB963" s="11"/>
      <c r="DC963" s="11"/>
      <c r="DD963" s="11"/>
      <c r="DE963" s="11"/>
      <c r="DF963" s="11"/>
      <c r="DG963" s="11"/>
    </row>
    <row r="964" ht="15.75" customHeight="1">
      <c r="A964" s="41"/>
      <c r="B964" s="11"/>
      <c r="C964" s="11"/>
      <c r="D964" s="11"/>
      <c r="E964" s="11"/>
      <c r="F964" s="11"/>
      <c r="G964" s="11"/>
      <c r="H964" s="11"/>
      <c r="I964" s="41"/>
      <c r="J964" s="11"/>
      <c r="K964" s="11"/>
      <c r="L964" s="11"/>
      <c r="M964" s="11"/>
      <c r="N964" s="11"/>
      <c r="O964" s="11"/>
      <c r="P964" s="11"/>
      <c r="Q964" s="41"/>
      <c r="R964" s="11"/>
      <c r="S964" s="11"/>
      <c r="T964" s="11"/>
      <c r="U964" s="11"/>
      <c r="V964" s="11"/>
      <c r="W964" s="11"/>
      <c r="X964" s="11"/>
      <c r="Y964" s="4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  <c r="BZ964" s="11"/>
      <c r="CA964" s="11"/>
      <c r="CB964" s="11"/>
      <c r="CC964" s="11"/>
      <c r="CD964" s="11"/>
      <c r="CE964" s="11"/>
      <c r="CF964" s="11"/>
      <c r="CG964" s="11"/>
      <c r="CH964" s="11"/>
      <c r="CI964" s="11"/>
      <c r="CJ964" s="11"/>
      <c r="CK964" s="11"/>
      <c r="CL964" s="11"/>
      <c r="CM964" s="11"/>
      <c r="CN964" s="11"/>
      <c r="CO964" s="11"/>
      <c r="CP964" s="40"/>
      <c r="CQ964" s="40"/>
      <c r="CR964" s="40"/>
      <c r="CS964" s="40"/>
      <c r="CT964" s="40"/>
      <c r="CU964" s="40"/>
      <c r="CV964" s="40"/>
      <c r="CW964" s="40"/>
      <c r="CX964" s="40"/>
      <c r="CY964" s="40"/>
      <c r="CZ964" s="40"/>
      <c r="DA964" s="11"/>
      <c r="DB964" s="11"/>
      <c r="DC964" s="11"/>
      <c r="DD964" s="11"/>
      <c r="DE964" s="11"/>
      <c r="DF964" s="11"/>
      <c r="DG964" s="11"/>
    </row>
    <row r="965" ht="15.75" customHeight="1">
      <c r="A965" s="41"/>
      <c r="B965" s="11"/>
      <c r="C965" s="11"/>
      <c r="D965" s="11"/>
      <c r="E965" s="11"/>
      <c r="F965" s="11"/>
      <c r="G965" s="11"/>
      <c r="H965" s="11"/>
      <c r="I965" s="41"/>
      <c r="J965" s="11"/>
      <c r="K965" s="11"/>
      <c r="L965" s="11"/>
      <c r="M965" s="11"/>
      <c r="N965" s="11"/>
      <c r="O965" s="11"/>
      <c r="P965" s="11"/>
      <c r="Q965" s="41"/>
      <c r="R965" s="11"/>
      <c r="S965" s="11"/>
      <c r="T965" s="11"/>
      <c r="U965" s="11"/>
      <c r="V965" s="11"/>
      <c r="W965" s="11"/>
      <c r="X965" s="11"/>
      <c r="Y965" s="4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  <c r="CA965" s="11"/>
      <c r="CB965" s="11"/>
      <c r="CC965" s="11"/>
      <c r="CD965" s="11"/>
      <c r="CE965" s="11"/>
      <c r="CF965" s="11"/>
      <c r="CG965" s="11"/>
      <c r="CH965" s="11"/>
      <c r="CI965" s="11"/>
      <c r="CJ965" s="11"/>
      <c r="CK965" s="11"/>
      <c r="CL965" s="11"/>
      <c r="CM965" s="11"/>
      <c r="CN965" s="11"/>
      <c r="CO965" s="11"/>
      <c r="CP965" s="40"/>
      <c r="CQ965" s="40"/>
      <c r="CR965" s="40"/>
      <c r="CS965" s="40"/>
      <c r="CT965" s="40"/>
      <c r="CU965" s="40"/>
      <c r="CV965" s="40"/>
      <c r="CW965" s="40"/>
      <c r="CX965" s="40"/>
      <c r="CY965" s="40"/>
      <c r="CZ965" s="40"/>
      <c r="DA965" s="11"/>
      <c r="DB965" s="11"/>
      <c r="DC965" s="11"/>
      <c r="DD965" s="11"/>
      <c r="DE965" s="11"/>
      <c r="DF965" s="11"/>
      <c r="DG965" s="11"/>
    </row>
    <row r="966" ht="15.75" customHeight="1">
      <c r="A966" s="41"/>
      <c r="B966" s="11"/>
      <c r="C966" s="11"/>
      <c r="D966" s="11"/>
      <c r="E966" s="11"/>
      <c r="F966" s="11"/>
      <c r="G966" s="11"/>
      <c r="H966" s="11"/>
      <c r="I966" s="41"/>
      <c r="J966" s="11"/>
      <c r="K966" s="11"/>
      <c r="L966" s="11"/>
      <c r="M966" s="11"/>
      <c r="N966" s="11"/>
      <c r="O966" s="11"/>
      <c r="P966" s="11"/>
      <c r="Q966" s="41"/>
      <c r="R966" s="11"/>
      <c r="S966" s="11"/>
      <c r="T966" s="11"/>
      <c r="U966" s="11"/>
      <c r="V966" s="11"/>
      <c r="W966" s="11"/>
      <c r="X966" s="11"/>
      <c r="Y966" s="4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  <c r="BZ966" s="11"/>
      <c r="CA966" s="11"/>
      <c r="CB966" s="11"/>
      <c r="CC966" s="11"/>
      <c r="CD966" s="11"/>
      <c r="CE966" s="11"/>
      <c r="CF966" s="11"/>
      <c r="CG966" s="11"/>
      <c r="CH966" s="11"/>
      <c r="CI966" s="11"/>
      <c r="CJ966" s="11"/>
      <c r="CK966" s="11"/>
      <c r="CL966" s="11"/>
      <c r="CM966" s="11"/>
      <c r="CN966" s="11"/>
      <c r="CO966" s="11"/>
      <c r="CP966" s="40"/>
      <c r="CQ966" s="40"/>
      <c r="CR966" s="40"/>
      <c r="CS966" s="40"/>
      <c r="CT966" s="40"/>
      <c r="CU966" s="40"/>
      <c r="CV966" s="40"/>
      <c r="CW966" s="40"/>
      <c r="CX966" s="40"/>
      <c r="CY966" s="40"/>
      <c r="CZ966" s="40"/>
      <c r="DA966" s="11"/>
      <c r="DB966" s="11"/>
      <c r="DC966" s="11"/>
      <c r="DD966" s="11"/>
      <c r="DE966" s="11"/>
      <c r="DF966" s="11"/>
      <c r="DG966" s="11"/>
    </row>
    <row r="967" ht="15.75" customHeight="1">
      <c r="A967" s="41"/>
      <c r="B967" s="11"/>
      <c r="C967" s="11"/>
      <c r="D967" s="11"/>
      <c r="E967" s="11"/>
      <c r="F967" s="11"/>
      <c r="G967" s="11"/>
      <c r="H967" s="11"/>
      <c r="I967" s="41"/>
      <c r="J967" s="11"/>
      <c r="K967" s="11"/>
      <c r="L967" s="11"/>
      <c r="M967" s="11"/>
      <c r="N967" s="11"/>
      <c r="O967" s="11"/>
      <c r="P967" s="11"/>
      <c r="Q967" s="41"/>
      <c r="R967" s="11"/>
      <c r="S967" s="11"/>
      <c r="T967" s="11"/>
      <c r="U967" s="11"/>
      <c r="V967" s="11"/>
      <c r="W967" s="11"/>
      <c r="X967" s="11"/>
      <c r="Y967" s="4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  <c r="BZ967" s="11"/>
      <c r="CA967" s="11"/>
      <c r="CB967" s="11"/>
      <c r="CC967" s="11"/>
      <c r="CD967" s="11"/>
      <c r="CE967" s="11"/>
      <c r="CF967" s="11"/>
      <c r="CG967" s="11"/>
      <c r="CH967" s="11"/>
      <c r="CI967" s="11"/>
      <c r="CJ967" s="11"/>
      <c r="CK967" s="11"/>
      <c r="CL967" s="11"/>
      <c r="CM967" s="11"/>
      <c r="CN967" s="11"/>
      <c r="CO967" s="11"/>
      <c r="CP967" s="40"/>
      <c r="CQ967" s="40"/>
      <c r="CR967" s="40"/>
      <c r="CS967" s="40"/>
      <c r="CT967" s="40"/>
      <c r="CU967" s="40"/>
      <c r="CV967" s="40"/>
      <c r="CW967" s="40"/>
      <c r="CX967" s="40"/>
      <c r="CY967" s="40"/>
      <c r="CZ967" s="40"/>
      <c r="DA967" s="11"/>
      <c r="DB967" s="11"/>
      <c r="DC967" s="11"/>
      <c r="DD967" s="11"/>
      <c r="DE967" s="11"/>
      <c r="DF967" s="11"/>
      <c r="DG967" s="11"/>
    </row>
    <row r="968" ht="15.75" customHeight="1">
      <c r="A968" s="41"/>
      <c r="B968" s="11"/>
      <c r="C968" s="11"/>
      <c r="D968" s="11"/>
      <c r="E968" s="11"/>
      <c r="F968" s="11"/>
      <c r="G968" s="11"/>
      <c r="H968" s="11"/>
      <c r="I968" s="41"/>
      <c r="J968" s="11"/>
      <c r="K968" s="11"/>
      <c r="L968" s="11"/>
      <c r="M968" s="11"/>
      <c r="N968" s="11"/>
      <c r="O968" s="11"/>
      <c r="P968" s="11"/>
      <c r="Q968" s="41"/>
      <c r="R968" s="11"/>
      <c r="S968" s="11"/>
      <c r="T968" s="11"/>
      <c r="U968" s="11"/>
      <c r="V968" s="11"/>
      <c r="W968" s="11"/>
      <c r="X968" s="11"/>
      <c r="Y968" s="4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  <c r="CA968" s="11"/>
      <c r="CB968" s="11"/>
      <c r="CC968" s="11"/>
      <c r="CD968" s="11"/>
      <c r="CE968" s="11"/>
      <c r="CF968" s="11"/>
      <c r="CG968" s="11"/>
      <c r="CH968" s="11"/>
      <c r="CI968" s="11"/>
      <c r="CJ968" s="11"/>
      <c r="CK968" s="11"/>
      <c r="CL968" s="11"/>
      <c r="CM968" s="11"/>
      <c r="CN968" s="11"/>
      <c r="CO968" s="11"/>
      <c r="CP968" s="40"/>
      <c r="CQ968" s="40"/>
      <c r="CR968" s="40"/>
      <c r="CS968" s="40"/>
      <c r="CT968" s="40"/>
      <c r="CU968" s="40"/>
      <c r="CV968" s="40"/>
      <c r="CW968" s="40"/>
      <c r="CX968" s="40"/>
      <c r="CY968" s="40"/>
      <c r="CZ968" s="40"/>
      <c r="DA968" s="11"/>
      <c r="DB968" s="11"/>
      <c r="DC968" s="11"/>
      <c r="DD968" s="11"/>
      <c r="DE968" s="11"/>
      <c r="DF968" s="11"/>
      <c r="DG968" s="11"/>
    </row>
    <row r="969" ht="15.75" customHeight="1">
      <c r="A969" s="41"/>
      <c r="B969" s="11"/>
      <c r="C969" s="11"/>
      <c r="D969" s="11"/>
      <c r="E969" s="11"/>
      <c r="F969" s="11"/>
      <c r="G969" s="11"/>
      <c r="H969" s="11"/>
      <c r="I969" s="41"/>
      <c r="J969" s="11"/>
      <c r="K969" s="11"/>
      <c r="L969" s="11"/>
      <c r="M969" s="11"/>
      <c r="N969" s="11"/>
      <c r="O969" s="11"/>
      <c r="P969" s="11"/>
      <c r="Q969" s="41"/>
      <c r="R969" s="11"/>
      <c r="S969" s="11"/>
      <c r="T969" s="11"/>
      <c r="U969" s="11"/>
      <c r="V969" s="11"/>
      <c r="W969" s="11"/>
      <c r="X969" s="11"/>
      <c r="Y969" s="4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  <c r="CA969" s="11"/>
      <c r="CB969" s="11"/>
      <c r="CC969" s="11"/>
      <c r="CD969" s="11"/>
      <c r="CE969" s="11"/>
      <c r="CF969" s="11"/>
      <c r="CG969" s="11"/>
      <c r="CH969" s="11"/>
      <c r="CI969" s="11"/>
      <c r="CJ969" s="11"/>
      <c r="CK969" s="11"/>
      <c r="CL969" s="11"/>
      <c r="CM969" s="11"/>
      <c r="CN969" s="11"/>
      <c r="CO969" s="11"/>
      <c r="CP969" s="40"/>
      <c r="CQ969" s="40"/>
      <c r="CR969" s="40"/>
      <c r="CS969" s="40"/>
      <c r="CT969" s="40"/>
      <c r="CU969" s="40"/>
      <c r="CV969" s="40"/>
      <c r="CW969" s="40"/>
      <c r="CX969" s="40"/>
      <c r="CY969" s="40"/>
      <c r="CZ969" s="40"/>
      <c r="DA969" s="11"/>
      <c r="DB969" s="11"/>
      <c r="DC969" s="11"/>
      <c r="DD969" s="11"/>
      <c r="DE969" s="11"/>
      <c r="DF969" s="11"/>
      <c r="DG969" s="11"/>
    </row>
    <row r="970" ht="15.75" customHeight="1">
      <c r="A970" s="41"/>
      <c r="B970" s="11"/>
      <c r="C970" s="11"/>
      <c r="D970" s="11"/>
      <c r="E970" s="11"/>
      <c r="F970" s="11"/>
      <c r="G970" s="11"/>
      <c r="H970" s="11"/>
      <c r="I970" s="41"/>
      <c r="J970" s="11"/>
      <c r="K970" s="11"/>
      <c r="L970" s="11"/>
      <c r="M970" s="11"/>
      <c r="N970" s="11"/>
      <c r="O970" s="11"/>
      <c r="P970" s="11"/>
      <c r="Q970" s="41"/>
      <c r="R970" s="11"/>
      <c r="S970" s="11"/>
      <c r="T970" s="11"/>
      <c r="U970" s="11"/>
      <c r="V970" s="11"/>
      <c r="W970" s="11"/>
      <c r="X970" s="11"/>
      <c r="Y970" s="4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  <c r="BZ970" s="11"/>
      <c r="CA970" s="11"/>
      <c r="CB970" s="11"/>
      <c r="CC970" s="11"/>
      <c r="CD970" s="11"/>
      <c r="CE970" s="11"/>
      <c r="CF970" s="11"/>
      <c r="CG970" s="11"/>
      <c r="CH970" s="11"/>
      <c r="CI970" s="11"/>
      <c r="CJ970" s="11"/>
      <c r="CK970" s="11"/>
      <c r="CL970" s="11"/>
      <c r="CM970" s="11"/>
      <c r="CN970" s="11"/>
      <c r="CO970" s="11"/>
      <c r="CP970" s="40"/>
      <c r="CQ970" s="40"/>
      <c r="CR970" s="40"/>
      <c r="CS970" s="40"/>
      <c r="CT970" s="40"/>
      <c r="CU970" s="40"/>
      <c r="CV970" s="40"/>
      <c r="CW970" s="40"/>
      <c r="CX970" s="40"/>
      <c r="CY970" s="40"/>
      <c r="CZ970" s="40"/>
      <c r="DA970" s="11"/>
      <c r="DB970" s="11"/>
      <c r="DC970" s="11"/>
      <c r="DD970" s="11"/>
      <c r="DE970" s="11"/>
      <c r="DF970" s="11"/>
      <c r="DG970" s="11"/>
    </row>
    <row r="971" ht="15.75" customHeight="1">
      <c r="A971" s="41"/>
      <c r="B971" s="11"/>
      <c r="C971" s="11"/>
      <c r="D971" s="11"/>
      <c r="E971" s="11"/>
      <c r="F971" s="11"/>
      <c r="G971" s="11"/>
      <c r="H971" s="11"/>
      <c r="I971" s="41"/>
      <c r="J971" s="11"/>
      <c r="K971" s="11"/>
      <c r="L971" s="11"/>
      <c r="M971" s="11"/>
      <c r="N971" s="11"/>
      <c r="O971" s="11"/>
      <c r="P971" s="11"/>
      <c r="Q971" s="41"/>
      <c r="R971" s="11"/>
      <c r="S971" s="11"/>
      <c r="T971" s="11"/>
      <c r="U971" s="11"/>
      <c r="V971" s="11"/>
      <c r="W971" s="11"/>
      <c r="X971" s="11"/>
      <c r="Y971" s="4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  <c r="BZ971" s="11"/>
      <c r="CA971" s="11"/>
      <c r="CB971" s="11"/>
      <c r="CC971" s="11"/>
      <c r="CD971" s="11"/>
      <c r="CE971" s="11"/>
      <c r="CF971" s="11"/>
      <c r="CG971" s="11"/>
      <c r="CH971" s="11"/>
      <c r="CI971" s="11"/>
      <c r="CJ971" s="11"/>
      <c r="CK971" s="11"/>
      <c r="CL971" s="11"/>
      <c r="CM971" s="11"/>
      <c r="CN971" s="11"/>
      <c r="CO971" s="11"/>
      <c r="CP971" s="40"/>
      <c r="CQ971" s="40"/>
      <c r="CR971" s="40"/>
      <c r="CS971" s="40"/>
      <c r="CT971" s="40"/>
      <c r="CU971" s="40"/>
      <c r="CV971" s="40"/>
      <c r="CW971" s="40"/>
      <c r="CX971" s="40"/>
      <c r="CY971" s="40"/>
      <c r="CZ971" s="40"/>
      <c r="DA971" s="11"/>
      <c r="DB971" s="11"/>
      <c r="DC971" s="11"/>
      <c r="DD971" s="11"/>
      <c r="DE971" s="11"/>
      <c r="DF971" s="11"/>
      <c r="DG971" s="11"/>
    </row>
    <row r="972" ht="15.75" customHeight="1">
      <c r="A972" s="41"/>
      <c r="B972" s="11"/>
      <c r="C972" s="11"/>
      <c r="D972" s="11"/>
      <c r="E972" s="11"/>
      <c r="F972" s="11"/>
      <c r="G972" s="11"/>
      <c r="H972" s="11"/>
      <c r="I972" s="41"/>
      <c r="J972" s="11"/>
      <c r="K972" s="11"/>
      <c r="L972" s="11"/>
      <c r="M972" s="11"/>
      <c r="N972" s="11"/>
      <c r="O972" s="11"/>
      <c r="P972" s="11"/>
      <c r="Q972" s="41"/>
      <c r="R972" s="11"/>
      <c r="S972" s="11"/>
      <c r="T972" s="11"/>
      <c r="U972" s="11"/>
      <c r="V972" s="11"/>
      <c r="W972" s="11"/>
      <c r="X972" s="11"/>
      <c r="Y972" s="4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  <c r="BZ972" s="11"/>
      <c r="CA972" s="11"/>
      <c r="CB972" s="11"/>
      <c r="CC972" s="11"/>
      <c r="CD972" s="11"/>
      <c r="CE972" s="11"/>
      <c r="CF972" s="11"/>
      <c r="CG972" s="11"/>
      <c r="CH972" s="11"/>
      <c r="CI972" s="11"/>
      <c r="CJ972" s="11"/>
      <c r="CK972" s="11"/>
      <c r="CL972" s="11"/>
      <c r="CM972" s="11"/>
      <c r="CN972" s="11"/>
      <c r="CO972" s="11"/>
      <c r="CP972" s="40"/>
      <c r="CQ972" s="40"/>
      <c r="CR972" s="40"/>
      <c r="CS972" s="40"/>
      <c r="CT972" s="40"/>
      <c r="CU972" s="40"/>
      <c r="CV972" s="40"/>
      <c r="CW972" s="40"/>
      <c r="CX972" s="40"/>
      <c r="CY972" s="40"/>
      <c r="CZ972" s="40"/>
      <c r="DA972" s="11"/>
      <c r="DB972" s="11"/>
      <c r="DC972" s="11"/>
      <c r="DD972" s="11"/>
      <c r="DE972" s="11"/>
      <c r="DF972" s="11"/>
      <c r="DG972" s="11"/>
    </row>
    <row r="973" ht="15.75" customHeight="1">
      <c r="A973" s="41"/>
      <c r="B973" s="11"/>
      <c r="C973" s="11"/>
      <c r="D973" s="11"/>
      <c r="E973" s="11"/>
      <c r="F973" s="11"/>
      <c r="G973" s="11"/>
      <c r="H973" s="11"/>
      <c r="I973" s="41"/>
      <c r="J973" s="11"/>
      <c r="K973" s="11"/>
      <c r="L973" s="11"/>
      <c r="M973" s="11"/>
      <c r="N973" s="11"/>
      <c r="O973" s="11"/>
      <c r="P973" s="11"/>
      <c r="Q973" s="41"/>
      <c r="R973" s="11"/>
      <c r="S973" s="11"/>
      <c r="T973" s="11"/>
      <c r="U973" s="11"/>
      <c r="V973" s="11"/>
      <c r="W973" s="11"/>
      <c r="X973" s="11"/>
      <c r="Y973" s="4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  <c r="BZ973" s="11"/>
      <c r="CA973" s="11"/>
      <c r="CB973" s="11"/>
      <c r="CC973" s="11"/>
      <c r="CD973" s="11"/>
      <c r="CE973" s="11"/>
      <c r="CF973" s="11"/>
      <c r="CG973" s="11"/>
      <c r="CH973" s="11"/>
      <c r="CI973" s="11"/>
      <c r="CJ973" s="11"/>
      <c r="CK973" s="11"/>
      <c r="CL973" s="11"/>
      <c r="CM973" s="11"/>
      <c r="CN973" s="11"/>
      <c r="CO973" s="11"/>
      <c r="CP973" s="40"/>
      <c r="CQ973" s="40"/>
      <c r="CR973" s="40"/>
      <c r="CS973" s="40"/>
      <c r="CT973" s="40"/>
      <c r="CU973" s="40"/>
      <c r="CV973" s="40"/>
      <c r="CW973" s="40"/>
      <c r="CX973" s="40"/>
      <c r="CY973" s="40"/>
      <c r="CZ973" s="40"/>
      <c r="DA973" s="11"/>
      <c r="DB973" s="11"/>
      <c r="DC973" s="11"/>
      <c r="DD973" s="11"/>
      <c r="DE973" s="11"/>
      <c r="DF973" s="11"/>
      <c r="DG973" s="11"/>
    </row>
    <row r="974" ht="15.75" customHeight="1">
      <c r="A974" s="41"/>
      <c r="B974" s="11"/>
      <c r="C974" s="11"/>
      <c r="D974" s="11"/>
      <c r="E974" s="11"/>
      <c r="F974" s="11"/>
      <c r="G974" s="11"/>
      <c r="H974" s="11"/>
      <c r="I974" s="41"/>
      <c r="J974" s="11"/>
      <c r="K974" s="11"/>
      <c r="L974" s="11"/>
      <c r="M974" s="11"/>
      <c r="N974" s="11"/>
      <c r="O974" s="11"/>
      <c r="P974" s="11"/>
      <c r="Q974" s="41"/>
      <c r="R974" s="11"/>
      <c r="S974" s="11"/>
      <c r="T974" s="11"/>
      <c r="U974" s="11"/>
      <c r="V974" s="11"/>
      <c r="W974" s="11"/>
      <c r="X974" s="11"/>
      <c r="Y974" s="4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  <c r="BZ974" s="11"/>
      <c r="CA974" s="11"/>
      <c r="CB974" s="11"/>
      <c r="CC974" s="11"/>
      <c r="CD974" s="11"/>
      <c r="CE974" s="11"/>
      <c r="CF974" s="11"/>
      <c r="CG974" s="11"/>
      <c r="CH974" s="11"/>
      <c r="CI974" s="11"/>
      <c r="CJ974" s="11"/>
      <c r="CK974" s="11"/>
      <c r="CL974" s="11"/>
      <c r="CM974" s="11"/>
      <c r="CN974" s="11"/>
      <c r="CO974" s="11"/>
      <c r="CP974" s="40"/>
      <c r="CQ974" s="40"/>
      <c r="CR974" s="40"/>
      <c r="CS974" s="40"/>
      <c r="CT974" s="40"/>
      <c r="CU974" s="40"/>
      <c r="CV974" s="40"/>
      <c r="CW974" s="40"/>
      <c r="CX974" s="40"/>
      <c r="CY974" s="40"/>
      <c r="CZ974" s="40"/>
      <c r="DA974" s="11"/>
      <c r="DB974" s="11"/>
      <c r="DC974" s="11"/>
      <c r="DD974" s="11"/>
      <c r="DE974" s="11"/>
      <c r="DF974" s="11"/>
      <c r="DG974" s="11"/>
    </row>
    <row r="975" ht="15.75" customHeight="1">
      <c r="A975" s="41"/>
      <c r="B975" s="11"/>
      <c r="C975" s="11"/>
      <c r="D975" s="11"/>
      <c r="E975" s="11"/>
      <c r="F975" s="11"/>
      <c r="G975" s="11"/>
      <c r="H975" s="11"/>
      <c r="I975" s="41"/>
      <c r="J975" s="11"/>
      <c r="K975" s="11"/>
      <c r="L975" s="11"/>
      <c r="M975" s="11"/>
      <c r="N975" s="11"/>
      <c r="O975" s="11"/>
      <c r="P975" s="11"/>
      <c r="Q975" s="41"/>
      <c r="R975" s="11"/>
      <c r="S975" s="11"/>
      <c r="T975" s="11"/>
      <c r="U975" s="11"/>
      <c r="V975" s="11"/>
      <c r="W975" s="11"/>
      <c r="X975" s="11"/>
      <c r="Y975" s="4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40"/>
      <c r="CQ975" s="40"/>
      <c r="CR975" s="40"/>
      <c r="CS975" s="40"/>
      <c r="CT975" s="40"/>
      <c r="CU975" s="40"/>
      <c r="CV975" s="40"/>
      <c r="CW975" s="40"/>
      <c r="CX975" s="40"/>
      <c r="CY975" s="40"/>
      <c r="CZ975" s="40"/>
      <c r="DA975" s="11"/>
      <c r="DB975" s="11"/>
      <c r="DC975" s="11"/>
      <c r="DD975" s="11"/>
      <c r="DE975" s="11"/>
      <c r="DF975" s="11"/>
      <c r="DG975" s="11"/>
    </row>
    <row r="976" ht="15.75" customHeight="1">
      <c r="A976" s="41"/>
      <c r="B976" s="11"/>
      <c r="C976" s="11"/>
      <c r="D976" s="11"/>
      <c r="E976" s="11"/>
      <c r="F976" s="11"/>
      <c r="G976" s="11"/>
      <c r="H976" s="11"/>
      <c r="I976" s="41"/>
      <c r="J976" s="11"/>
      <c r="K976" s="11"/>
      <c r="L976" s="11"/>
      <c r="M976" s="11"/>
      <c r="N976" s="11"/>
      <c r="O976" s="11"/>
      <c r="P976" s="11"/>
      <c r="Q976" s="41"/>
      <c r="R976" s="11"/>
      <c r="S976" s="11"/>
      <c r="T976" s="11"/>
      <c r="U976" s="11"/>
      <c r="V976" s="11"/>
      <c r="W976" s="11"/>
      <c r="X976" s="11"/>
      <c r="Y976" s="4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  <c r="BZ976" s="11"/>
      <c r="CA976" s="11"/>
      <c r="CB976" s="11"/>
      <c r="CC976" s="11"/>
      <c r="CD976" s="11"/>
      <c r="CE976" s="11"/>
      <c r="CF976" s="11"/>
      <c r="CG976" s="11"/>
      <c r="CH976" s="11"/>
      <c r="CI976" s="11"/>
      <c r="CJ976" s="11"/>
      <c r="CK976" s="11"/>
      <c r="CL976" s="11"/>
      <c r="CM976" s="11"/>
      <c r="CN976" s="11"/>
      <c r="CO976" s="11"/>
      <c r="CP976" s="40"/>
      <c r="CQ976" s="40"/>
      <c r="CR976" s="40"/>
      <c r="CS976" s="40"/>
      <c r="CT976" s="40"/>
      <c r="CU976" s="40"/>
      <c r="CV976" s="40"/>
      <c r="CW976" s="40"/>
      <c r="CX976" s="40"/>
      <c r="CY976" s="40"/>
      <c r="CZ976" s="40"/>
      <c r="DA976" s="11"/>
      <c r="DB976" s="11"/>
      <c r="DC976" s="11"/>
      <c r="DD976" s="11"/>
      <c r="DE976" s="11"/>
      <c r="DF976" s="11"/>
      <c r="DG976" s="11"/>
    </row>
    <row r="977" ht="15.75" customHeight="1">
      <c r="A977" s="41"/>
      <c r="B977" s="11"/>
      <c r="C977" s="11"/>
      <c r="D977" s="11"/>
      <c r="E977" s="11"/>
      <c r="F977" s="11"/>
      <c r="G977" s="11"/>
      <c r="H977" s="11"/>
      <c r="I977" s="41"/>
      <c r="J977" s="11"/>
      <c r="K977" s="11"/>
      <c r="L977" s="11"/>
      <c r="M977" s="11"/>
      <c r="N977" s="11"/>
      <c r="O977" s="11"/>
      <c r="P977" s="11"/>
      <c r="Q977" s="41"/>
      <c r="R977" s="11"/>
      <c r="S977" s="11"/>
      <c r="T977" s="11"/>
      <c r="U977" s="11"/>
      <c r="V977" s="11"/>
      <c r="W977" s="11"/>
      <c r="X977" s="11"/>
      <c r="Y977" s="4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  <c r="BZ977" s="11"/>
      <c r="CA977" s="11"/>
      <c r="CB977" s="11"/>
      <c r="CC977" s="11"/>
      <c r="CD977" s="11"/>
      <c r="CE977" s="11"/>
      <c r="CF977" s="11"/>
      <c r="CG977" s="11"/>
      <c r="CH977" s="11"/>
      <c r="CI977" s="11"/>
      <c r="CJ977" s="11"/>
      <c r="CK977" s="11"/>
      <c r="CL977" s="11"/>
      <c r="CM977" s="11"/>
      <c r="CN977" s="11"/>
      <c r="CO977" s="11"/>
      <c r="CP977" s="40"/>
      <c r="CQ977" s="40"/>
      <c r="CR977" s="40"/>
      <c r="CS977" s="40"/>
      <c r="CT977" s="40"/>
      <c r="CU977" s="40"/>
      <c r="CV977" s="40"/>
      <c r="CW977" s="40"/>
      <c r="CX977" s="40"/>
      <c r="CY977" s="40"/>
      <c r="CZ977" s="40"/>
      <c r="DA977" s="11"/>
      <c r="DB977" s="11"/>
      <c r="DC977" s="11"/>
      <c r="DD977" s="11"/>
      <c r="DE977" s="11"/>
      <c r="DF977" s="11"/>
      <c r="DG977" s="11"/>
    </row>
    <row r="978" ht="15.75" customHeight="1">
      <c r="A978" s="41"/>
      <c r="B978" s="11"/>
      <c r="C978" s="11"/>
      <c r="D978" s="11"/>
      <c r="E978" s="11"/>
      <c r="F978" s="11"/>
      <c r="G978" s="11"/>
      <c r="H978" s="11"/>
      <c r="I978" s="41"/>
      <c r="J978" s="11"/>
      <c r="K978" s="11"/>
      <c r="L978" s="11"/>
      <c r="M978" s="11"/>
      <c r="N978" s="11"/>
      <c r="O978" s="11"/>
      <c r="P978" s="11"/>
      <c r="Q978" s="41"/>
      <c r="R978" s="11"/>
      <c r="S978" s="11"/>
      <c r="T978" s="11"/>
      <c r="U978" s="11"/>
      <c r="V978" s="11"/>
      <c r="W978" s="11"/>
      <c r="X978" s="11"/>
      <c r="Y978" s="4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  <c r="BZ978" s="11"/>
      <c r="CA978" s="11"/>
      <c r="CB978" s="11"/>
      <c r="CC978" s="11"/>
      <c r="CD978" s="11"/>
      <c r="CE978" s="11"/>
      <c r="CF978" s="11"/>
      <c r="CG978" s="11"/>
      <c r="CH978" s="11"/>
      <c r="CI978" s="11"/>
      <c r="CJ978" s="11"/>
      <c r="CK978" s="11"/>
      <c r="CL978" s="11"/>
      <c r="CM978" s="11"/>
      <c r="CN978" s="11"/>
      <c r="CO978" s="11"/>
      <c r="CP978" s="40"/>
      <c r="CQ978" s="40"/>
      <c r="CR978" s="40"/>
      <c r="CS978" s="40"/>
      <c r="CT978" s="40"/>
      <c r="CU978" s="40"/>
      <c r="CV978" s="40"/>
      <c r="CW978" s="40"/>
      <c r="CX978" s="40"/>
      <c r="CY978" s="40"/>
      <c r="CZ978" s="40"/>
      <c r="DA978" s="11"/>
      <c r="DB978" s="11"/>
      <c r="DC978" s="11"/>
      <c r="DD978" s="11"/>
      <c r="DE978" s="11"/>
      <c r="DF978" s="11"/>
      <c r="DG978" s="11"/>
    </row>
    <row r="979" ht="15.75" customHeight="1">
      <c r="A979" s="41"/>
      <c r="B979" s="11"/>
      <c r="C979" s="11"/>
      <c r="D979" s="11"/>
      <c r="E979" s="11"/>
      <c r="F979" s="11"/>
      <c r="G979" s="11"/>
      <c r="H979" s="11"/>
      <c r="I979" s="41"/>
      <c r="J979" s="11"/>
      <c r="K979" s="11"/>
      <c r="L979" s="11"/>
      <c r="M979" s="11"/>
      <c r="N979" s="11"/>
      <c r="O979" s="11"/>
      <c r="P979" s="11"/>
      <c r="Q979" s="41"/>
      <c r="R979" s="11"/>
      <c r="S979" s="11"/>
      <c r="T979" s="11"/>
      <c r="U979" s="11"/>
      <c r="V979" s="11"/>
      <c r="W979" s="11"/>
      <c r="X979" s="11"/>
      <c r="Y979" s="4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  <c r="BZ979" s="11"/>
      <c r="CA979" s="11"/>
      <c r="CB979" s="11"/>
      <c r="CC979" s="11"/>
      <c r="CD979" s="11"/>
      <c r="CE979" s="11"/>
      <c r="CF979" s="11"/>
      <c r="CG979" s="11"/>
      <c r="CH979" s="11"/>
      <c r="CI979" s="11"/>
      <c r="CJ979" s="11"/>
      <c r="CK979" s="11"/>
      <c r="CL979" s="11"/>
      <c r="CM979" s="11"/>
      <c r="CN979" s="11"/>
      <c r="CO979" s="11"/>
      <c r="CP979" s="40"/>
      <c r="CQ979" s="40"/>
      <c r="CR979" s="40"/>
      <c r="CS979" s="40"/>
      <c r="CT979" s="40"/>
      <c r="CU979" s="40"/>
      <c r="CV979" s="40"/>
      <c r="CW979" s="40"/>
      <c r="CX979" s="40"/>
      <c r="CY979" s="40"/>
      <c r="CZ979" s="40"/>
      <c r="DA979" s="11"/>
      <c r="DB979" s="11"/>
      <c r="DC979" s="11"/>
      <c r="DD979" s="11"/>
      <c r="DE979" s="11"/>
      <c r="DF979" s="11"/>
      <c r="DG979" s="11"/>
    </row>
    <row r="980" ht="15.75" customHeight="1">
      <c r="A980" s="41"/>
      <c r="B980" s="11"/>
      <c r="C980" s="11"/>
      <c r="D980" s="11"/>
      <c r="E980" s="11"/>
      <c r="F980" s="11"/>
      <c r="G980" s="11"/>
      <c r="H980" s="11"/>
      <c r="I980" s="41"/>
      <c r="J980" s="11"/>
      <c r="K980" s="11"/>
      <c r="L980" s="11"/>
      <c r="M980" s="11"/>
      <c r="N980" s="11"/>
      <c r="O980" s="11"/>
      <c r="P980" s="11"/>
      <c r="Q980" s="41"/>
      <c r="R980" s="11"/>
      <c r="S980" s="11"/>
      <c r="T980" s="11"/>
      <c r="U980" s="11"/>
      <c r="V980" s="11"/>
      <c r="W980" s="11"/>
      <c r="X980" s="11"/>
      <c r="Y980" s="4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  <c r="BZ980" s="11"/>
      <c r="CA980" s="11"/>
      <c r="CB980" s="11"/>
      <c r="CC980" s="11"/>
      <c r="CD980" s="11"/>
      <c r="CE980" s="11"/>
      <c r="CF980" s="11"/>
      <c r="CG980" s="11"/>
      <c r="CH980" s="11"/>
      <c r="CI980" s="11"/>
      <c r="CJ980" s="11"/>
      <c r="CK980" s="11"/>
      <c r="CL980" s="11"/>
      <c r="CM980" s="11"/>
      <c r="CN980" s="11"/>
      <c r="CO980" s="11"/>
      <c r="CP980" s="40"/>
      <c r="CQ980" s="40"/>
      <c r="CR980" s="40"/>
      <c r="CS980" s="40"/>
      <c r="CT980" s="40"/>
      <c r="CU980" s="40"/>
      <c r="CV980" s="40"/>
      <c r="CW980" s="40"/>
      <c r="CX980" s="40"/>
      <c r="CY980" s="40"/>
      <c r="CZ980" s="40"/>
      <c r="DA980" s="11"/>
      <c r="DB980" s="11"/>
      <c r="DC980" s="11"/>
      <c r="DD980" s="11"/>
      <c r="DE980" s="11"/>
      <c r="DF980" s="11"/>
      <c r="DG980" s="11"/>
    </row>
    <row r="981" ht="15.75" customHeight="1">
      <c r="A981" s="41"/>
      <c r="B981" s="11"/>
      <c r="C981" s="11"/>
      <c r="D981" s="11"/>
      <c r="E981" s="11"/>
      <c r="F981" s="11"/>
      <c r="G981" s="11"/>
      <c r="H981" s="11"/>
      <c r="I981" s="41"/>
      <c r="J981" s="11"/>
      <c r="K981" s="11"/>
      <c r="L981" s="11"/>
      <c r="M981" s="11"/>
      <c r="N981" s="11"/>
      <c r="O981" s="11"/>
      <c r="P981" s="11"/>
      <c r="Q981" s="41"/>
      <c r="R981" s="11"/>
      <c r="S981" s="11"/>
      <c r="T981" s="11"/>
      <c r="U981" s="11"/>
      <c r="V981" s="11"/>
      <c r="W981" s="11"/>
      <c r="X981" s="11"/>
      <c r="Y981" s="4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  <c r="BZ981" s="11"/>
      <c r="CA981" s="11"/>
      <c r="CB981" s="11"/>
      <c r="CC981" s="11"/>
      <c r="CD981" s="11"/>
      <c r="CE981" s="11"/>
      <c r="CF981" s="11"/>
      <c r="CG981" s="11"/>
      <c r="CH981" s="11"/>
      <c r="CI981" s="11"/>
      <c r="CJ981" s="11"/>
      <c r="CK981" s="11"/>
      <c r="CL981" s="11"/>
      <c r="CM981" s="11"/>
      <c r="CN981" s="11"/>
      <c r="CO981" s="11"/>
      <c r="CP981" s="40"/>
      <c r="CQ981" s="40"/>
      <c r="CR981" s="40"/>
      <c r="CS981" s="40"/>
      <c r="CT981" s="40"/>
      <c r="CU981" s="40"/>
      <c r="CV981" s="40"/>
      <c r="CW981" s="40"/>
      <c r="CX981" s="40"/>
      <c r="CY981" s="40"/>
      <c r="CZ981" s="40"/>
      <c r="DA981" s="11"/>
      <c r="DB981" s="11"/>
      <c r="DC981" s="11"/>
      <c r="DD981" s="11"/>
      <c r="DE981" s="11"/>
      <c r="DF981" s="11"/>
      <c r="DG981" s="11"/>
    </row>
    <row r="982" ht="15.75" customHeight="1">
      <c r="A982" s="41"/>
      <c r="B982" s="11"/>
      <c r="C982" s="11"/>
      <c r="D982" s="11"/>
      <c r="E982" s="11"/>
      <c r="F982" s="11"/>
      <c r="G982" s="11"/>
      <c r="H982" s="11"/>
      <c r="I982" s="41"/>
      <c r="J982" s="11"/>
      <c r="K982" s="11"/>
      <c r="L982" s="11"/>
      <c r="M982" s="11"/>
      <c r="N982" s="11"/>
      <c r="O982" s="11"/>
      <c r="P982" s="11"/>
      <c r="Q982" s="41"/>
      <c r="R982" s="11"/>
      <c r="S982" s="11"/>
      <c r="T982" s="11"/>
      <c r="U982" s="11"/>
      <c r="V982" s="11"/>
      <c r="W982" s="11"/>
      <c r="X982" s="11"/>
      <c r="Y982" s="4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  <c r="BZ982" s="11"/>
      <c r="CA982" s="11"/>
      <c r="CB982" s="11"/>
      <c r="CC982" s="11"/>
      <c r="CD982" s="11"/>
      <c r="CE982" s="11"/>
      <c r="CF982" s="11"/>
      <c r="CG982" s="11"/>
      <c r="CH982" s="11"/>
      <c r="CI982" s="11"/>
      <c r="CJ982" s="11"/>
      <c r="CK982" s="11"/>
      <c r="CL982" s="11"/>
      <c r="CM982" s="11"/>
      <c r="CN982" s="11"/>
      <c r="CO982" s="11"/>
      <c r="CP982" s="40"/>
      <c r="CQ982" s="40"/>
      <c r="CR982" s="40"/>
      <c r="CS982" s="40"/>
      <c r="CT982" s="40"/>
      <c r="CU982" s="40"/>
      <c r="CV982" s="40"/>
      <c r="CW982" s="40"/>
      <c r="CX982" s="40"/>
      <c r="CY982" s="40"/>
      <c r="CZ982" s="40"/>
      <c r="DA982" s="11"/>
      <c r="DB982" s="11"/>
      <c r="DC982" s="11"/>
      <c r="DD982" s="11"/>
      <c r="DE982" s="11"/>
      <c r="DF982" s="11"/>
      <c r="DG982" s="11"/>
    </row>
    <row r="983" ht="15.75" customHeight="1">
      <c r="A983" s="41"/>
      <c r="B983" s="11"/>
      <c r="C983" s="11"/>
      <c r="D983" s="11"/>
      <c r="E983" s="11"/>
      <c r="F983" s="11"/>
      <c r="G983" s="11"/>
      <c r="H983" s="11"/>
      <c r="I983" s="41"/>
      <c r="J983" s="11"/>
      <c r="K983" s="11"/>
      <c r="L983" s="11"/>
      <c r="M983" s="11"/>
      <c r="N983" s="11"/>
      <c r="O983" s="11"/>
      <c r="P983" s="11"/>
      <c r="Q983" s="41"/>
      <c r="R983" s="11"/>
      <c r="S983" s="11"/>
      <c r="T983" s="11"/>
      <c r="U983" s="11"/>
      <c r="V983" s="11"/>
      <c r="W983" s="11"/>
      <c r="X983" s="11"/>
      <c r="Y983" s="4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  <c r="BZ983" s="11"/>
      <c r="CA983" s="11"/>
      <c r="CB983" s="11"/>
      <c r="CC983" s="11"/>
      <c r="CD983" s="11"/>
      <c r="CE983" s="11"/>
      <c r="CF983" s="11"/>
      <c r="CG983" s="11"/>
      <c r="CH983" s="11"/>
      <c r="CI983" s="11"/>
      <c r="CJ983" s="11"/>
      <c r="CK983" s="11"/>
      <c r="CL983" s="11"/>
      <c r="CM983" s="11"/>
      <c r="CN983" s="11"/>
      <c r="CO983" s="11"/>
      <c r="CP983" s="40"/>
      <c r="CQ983" s="40"/>
      <c r="CR983" s="40"/>
      <c r="CS983" s="40"/>
      <c r="CT983" s="40"/>
      <c r="CU983" s="40"/>
      <c r="CV983" s="40"/>
      <c r="CW983" s="40"/>
      <c r="CX983" s="40"/>
      <c r="CY983" s="40"/>
      <c r="CZ983" s="40"/>
      <c r="DA983" s="11"/>
      <c r="DB983" s="11"/>
      <c r="DC983" s="11"/>
      <c r="DD983" s="11"/>
      <c r="DE983" s="11"/>
      <c r="DF983" s="11"/>
      <c r="DG983" s="11"/>
    </row>
    <row r="984" ht="15.75" customHeight="1">
      <c r="A984" s="41"/>
      <c r="B984" s="11"/>
      <c r="C984" s="11"/>
      <c r="D984" s="11"/>
      <c r="E984" s="11"/>
      <c r="F984" s="11"/>
      <c r="G984" s="11"/>
      <c r="H984" s="11"/>
      <c r="I984" s="41"/>
      <c r="J984" s="11"/>
      <c r="K984" s="11"/>
      <c r="L984" s="11"/>
      <c r="M984" s="11"/>
      <c r="N984" s="11"/>
      <c r="O984" s="11"/>
      <c r="P984" s="11"/>
      <c r="Q984" s="41"/>
      <c r="R984" s="11"/>
      <c r="S984" s="11"/>
      <c r="T984" s="11"/>
      <c r="U984" s="11"/>
      <c r="V984" s="11"/>
      <c r="W984" s="11"/>
      <c r="X984" s="11"/>
      <c r="Y984" s="4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40"/>
      <c r="CQ984" s="40"/>
      <c r="CR984" s="40"/>
      <c r="CS984" s="40"/>
      <c r="CT984" s="40"/>
      <c r="CU984" s="40"/>
      <c r="CV984" s="40"/>
      <c r="CW984" s="40"/>
      <c r="CX984" s="40"/>
      <c r="CY984" s="40"/>
      <c r="CZ984" s="40"/>
      <c r="DA984" s="11"/>
      <c r="DB984" s="11"/>
      <c r="DC984" s="11"/>
      <c r="DD984" s="11"/>
      <c r="DE984" s="11"/>
      <c r="DF984" s="11"/>
      <c r="DG984" s="11"/>
    </row>
    <row r="985" ht="15.75" customHeight="1">
      <c r="A985" s="41"/>
      <c r="B985" s="11"/>
      <c r="C985" s="11"/>
      <c r="D985" s="11"/>
      <c r="E985" s="11"/>
      <c r="F985" s="11"/>
      <c r="G985" s="11"/>
      <c r="H985" s="11"/>
      <c r="I985" s="41"/>
      <c r="J985" s="11"/>
      <c r="K985" s="11"/>
      <c r="L985" s="11"/>
      <c r="M985" s="11"/>
      <c r="N985" s="11"/>
      <c r="O985" s="11"/>
      <c r="P985" s="11"/>
      <c r="Q985" s="41"/>
      <c r="R985" s="11"/>
      <c r="S985" s="11"/>
      <c r="T985" s="11"/>
      <c r="U985" s="11"/>
      <c r="V985" s="11"/>
      <c r="W985" s="11"/>
      <c r="X985" s="11"/>
      <c r="Y985" s="4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40"/>
      <c r="CQ985" s="40"/>
      <c r="CR985" s="40"/>
      <c r="CS985" s="40"/>
      <c r="CT985" s="40"/>
      <c r="CU985" s="40"/>
      <c r="CV985" s="40"/>
      <c r="CW985" s="40"/>
      <c r="CX985" s="40"/>
      <c r="CY985" s="40"/>
      <c r="CZ985" s="40"/>
      <c r="DA985" s="11"/>
      <c r="DB985" s="11"/>
      <c r="DC985" s="11"/>
      <c r="DD985" s="11"/>
      <c r="DE985" s="11"/>
      <c r="DF985" s="11"/>
      <c r="DG985" s="11"/>
    </row>
    <row r="986" ht="15.75" customHeight="1">
      <c r="A986" s="41"/>
      <c r="B986" s="11"/>
      <c r="C986" s="11"/>
      <c r="D986" s="11"/>
      <c r="E986" s="11"/>
      <c r="F986" s="11"/>
      <c r="G986" s="11"/>
      <c r="H986" s="11"/>
      <c r="I986" s="41"/>
      <c r="J986" s="11"/>
      <c r="K986" s="11"/>
      <c r="L986" s="11"/>
      <c r="M986" s="11"/>
      <c r="N986" s="11"/>
      <c r="O986" s="11"/>
      <c r="P986" s="11"/>
      <c r="Q986" s="41"/>
      <c r="R986" s="11"/>
      <c r="S986" s="11"/>
      <c r="T986" s="11"/>
      <c r="U986" s="11"/>
      <c r="V986" s="11"/>
      <c r="W986" s="11"/>
      <c r="X986" s="11"/>
      <c r="Y986" s="4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  <c r="CA986" s="11"/>
      <c r="CB986" s="11"/>
      <c r="CC986" s="11"/>
      <c r="CD986" s="11"/>
      <c r="CE986" s="11"/>
      <c r="CF986" s="11"/>
      <c r="CG986" s="11"/>
      <c r="CH986" s="11"/>
      <c r="CI986" s="11"/>
      <c r="CJ986" s="11"/>
      <c r="CK986" s="11"/>
      <c r="CL986" s="11"/>
      <c r="CM986" s="11"/>
      <c r="CN986" s="11"/>
      <c r="CO986" s="11"/>
      <c r="CP986" s="40"/>
      <c r="CQ986" s="40"/>
      <c r="CR986" s="40"/>
      <c r="CS986" s="40"/>
      <c r="CT986" s="40"/>
      <c r="CU986" s="40"/>
      <c r="CV986" s="40"/>
      <c r="CW986" s="40"/>
      <c r="CX986" s="40"/>
      <c r="CY986" s="40"/>
      <c r="CZ986" s="40"/>
      <c r="DA986" s="11"/>
      <c r="DB986" s="11"/>
      <c r="DC986" s="11"/>
      <c r="DD986" s="11"/>
      <c r="DE986" s="11"/>
      <c r="DF986" s="11"/>
      <c r="DG986" s="11"/>
    </row>
    <row r="987" ht="15.75" customHeight="1">
      <c r="A987" s="41"/>
      <c r="B987" s="11"/>
      <c r="C987" s="11"/>
      <c r="D987" s="11"/>
      <c r="E987" s="11"/>
      <c r="F987" s="11"/>
      <c r="G987" s="11"/>
      <c r="H987" s="11"/>
      <c r="I987" s="41"/>
      <c r="J987" s="11"/>
      <c r="K987" s="11"/>
      <c r="L987" s="11"/>
      <c r="M987" s="11"/>
      <c r="N987" s="11"/>
      <c r="O987" s="11"/>
      <c r="P987" s="11"/>
      <c r="Q987" s="41"/>
      <c r="R987" s="11"/>
      <c r="S987" s="11"/>
      <c r="T987" s="11"/>
      <c r="U987" s="11"/>
      <c r="V987" s="11"/>
      <c r="W987" s="11"/>
      <c r="X987" s="11"/>
      <c r="Y987" s="4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  <c r="BZ987" s="11"/>
      <c r="CA987" s="11"/>
      <c r="CB987" s="11"/>
      <c r="CC987" s="11"/>
      <c r="CD987" s="11"/>
      <c r="CE987" s="11"/>
      <c r="CF987" s="11"/>
      <c r="CG987" s="11"/>
      <c r="CH987" s="11"/>
      <c r="CI987" s="11"/>
      <c r="CJ987" s="11"/>
      <c r="CK987" s="11"/>
      <c r="CL987" s="11"/>
      <c r="CM987" s="11"/>
      <c r="CN987" s="11"/>
      <c r="CO987" s="11"/>
      <c r="CP987" s="40"/>
      <c r="CQ987" s="40"/>
      <c r="CR987" s="40"/>
      <c r="CS987" s="40"/>
      <c r="CT987" s="40"/>
      <c r="CU987" s="40"/>
      <c r="CV987" s="40"/>
      <c r="CW987" s="40"/>
      <c r="CX987" s="40"/>
      <c r="CY987" s="40"/>
      <c r="CZ987" s="40"/>
      <c r="DA987" s="11"/>
      <c r="DB987" s="11"/>
      <c r="DC987" s="11"/>
      <c r="DD987" s="11"/>
      <c r="DE987" s="11"/>
      <c r="DF987" s="11"/>
      <c r="DG987" s="11"/>
    </row>
    <row r="988" ht="15.75" customHeight="1">
      <c r="A988" s="41"/>
      <c r="B988" s="11"/>
      <c r="C988" s="11"/>
      <c r="D988" s="11"/>
      <c r="E988" s="11"/>
      <c r="F988" s="11"/>
      <c r="G988" s="11"/>
      <c r="H988" s="11"/>
      <c r="I988" s="41"/>
      <c r="J988" s="11"/>
      <c r="K988" s="11"/>
      <c r="L988" s="11"/>
      <c r="M988" s="11"/>
      <c r="N988" s="11"/>
      <c r="O988" s="11"/>
      <c r="P988" s="11"/>
      <c r="Q988" s="41"/>
      <c r="R988" s="11"/>
      <c r="S988" s="11"/>
      <c r="T988" s="11"/>
      <c r="U988" s="11"/>
      <c r="V988" s="11"/>
      <c r="W988" s="11"/>
      <c r="X988" s="11"/>
      <c r="Y988" s="4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  <c r="BZ988" s="11"/>
      <c r="CA988" s="11"/>
      <c r="CB988" s="11"/>
      <c r="CC988" s="11"/>
      <c r="CD988" s="11"/>
      <c r="CE988" s="11"/>
      <c r="CF988" s="11"/>
      <c r="CG988" s="11"/>
      <c r="CH988" s="11"/>
      <c r="CI988" s="11"/>
      <c r="CJ988" s="11"/>
      <c r="CK988" s="11"/>
      <c r="CL988" s="11"/>
      <c r="CM988" s="11"/>
      <c r="CN988" s="11"/>
      <c r="CO988" s="11"/>
      <c r="CP988" s="40"/>
      <c r="CQ988" s="40"/>
      <c r="CR988" s="40"/>
      <c r="CS988" s="40"/>
      <c r="CT988" s="40"/>
      <c r="CU988" s="40"/>
      <c r="CV988" s="40"/>
      <c r="CW988" s="40"/>
      <c r="CX988" s="40"/>
      <c r="CY988" s="40"/>
      <c r="CZ988" s="40"/>
      <c r="DA988" s="11"/>
      <c r="DB988" s="11"/>
      <c r="DC988" s="11"/>
      <c r="DD988" s="11"/>
      <c r="DE988" s="11"/>
      <c r="DF988" s="11"/>
      <c r="DG988" s="11"/>
    </row>
    <row r="989" ht="15.75" customHeight="1">
      <c r="A989" s="41"/>
      <c r="B989" s="11"/>
      <c r="C989" s="11"/>
      <c r="D989" s="11"/>
      <c r="E989" s="11"/>
      <c r="F989" s="11"/>
      <c r="G989" s="11"/>
      <c r="H989" s="11"/>
      <c r="I989" s="41"/>
      <c r="J989" s="11"/>
      <c r="K989" s="11"/>
      <c r="L989" s="11"/>
      <c r="M989" s="11"/>
      <c r="N989" s="11"/>
      <c r="O989" s="11"/>
      <c r="P989" s="11"/>
      <c r="Q989" s="41"/>
      <c r="R989" s="11"/>
      <c r="S989" s="11"/>
      <c r="T989" s="11"/>
      <c r="U989" s="11"/>
      <c r="V989" s="11"/>
      <c r="W989" s="11"/>
      <c r="X989" s="11"/>
      <c r="Y989" s="4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  <c r="BZ989" s="11"/>
      <c r="CA989" s="11"/>
      <c r="CB989" s="11"/>
      <c r="CC989" s="11"/>
      <c r="CD989" s="11"/>
      <c r="CE989" s="11"/>
      <c r="CF989" s="11"/>
      <c r="CG989" s="11"/>
      <c r="CH989" s="11"/>
      <c r="CI989" s="11"/>
      <c r="CJ989" s="11"/>
      <c r="CK989" s="11"/>
      <c r="CL989" s="11"/>
      <c r="CM989" s="11"/>
      <c r="CN989" s="11"/>
      <c r="CO989" s="11"/>
      <c r="CP989" s="40"/>
      <c r="CQ989" s="40"/>
      <c r="CR989" s="40"/>
      <c r="CS989" s="40"/>
      <c r="CT989" s="40"/>
      <c r="CU989" s="40"/>
      <c r="CV989" s="40"/>
      <c r="CW989" s="40"/>
      <c r="CX989" s="40"/>
      <c r="CY989" s="40"/>
      <c r="CZ989" s="40"/>
      <c r="DA989" s="11"/>
      <c r="DB989" s="11"/>
      <c r="DC989" s="11"/>
      <c r="DD989" s="11"/>
      <c r="DE989" s="11"/>
      <c r="DF989" s="11"/>
      <c r="DG989" s="11"/>
    </row>
    <row r="990" ht="15.75" customHeight="1">
      <c r="A990" s="41"/>
      <c r="B990" s="11"/>
      <c r="C990" s="11"/>
      <c r="D990" s="11"/>
      <c r="E990" s="11"/>
      <c r="F990" s="11"/>
      <c r="G990" s="11"/>
      <c r="H990" s="11"/>
      <c r="I990" s="41"/>
      <c r="J990" s="11"/>
      <c r="K990" s="11"/>
      <c r="L990" s="11"/>
      <c r="M990" s="11"/>
      <c r="N990" s="11"/>
      <c r="O990" s="11"/>
      <c r="P990" s="11"/>
      <c r="Q990" s="41"/>
      <c r="R990" s="11"/>
      <c r="S990" s="11"/>
      <c r="T990" s="11"/>
      <c r="U990" s="11"/>
      <c r="V990" s="11"/>
      <c r="W990" s="11"/>
      <c r="X990" s="11"/>
      <c r="Y990" s="4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  <c r="BZ990" s="11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40"/>
      <c r="CQ990" s="40"/>
      <c r="CR990" s="40"/>
      <c r="CS990" s="40"/>
      <c r="CT990" s="40"/>
      <c r="CU990" s="40"/>
      <c r="CV990" s="40"/>
      <c r="CW990" s="40"/>
      <c r="CX990" s="40"/>
      <c r="CY990" s="40"/>
      <c r="CZ990" s="40"/>
      <c r="DA990" s="11"/>
      <c r="DB990" s="11"/>
      <c r="DC990" s="11"/>
      <c r="DD990" s="11"/>
      <c r="DE990" s="11"/>
      <c r="DF990" s="11"/>
      <c r="DG990" s="11"/>
    </row>
    <row r="991" ht="15.75" customHeight="1">
      <c r="A991" s="41"/>
      <c r="B991" s="11"/>
      <c r="C991" s="11"/>
      <c r="D991" s="11"/>
      <c r="E991" s="11"/>
      <c r="F991" s="11"/>
      <c r="G991" s="11"/>
      <c r="H991" s="11"/>
      <c r="I991" s="41"/>
      <c r="J991" s="11"/>
      <c r="K991" s="11"/>
      <c r="L991" s="11"/>
      <c r="M991" s="11"/>
      <c r="N991" s="11"/>
      <c r="O991" s="11"/>
      <c r="P991" s="11"/>
      <c r="Q991" s="41"/>
      <c r="R991" s="11"/>
      <c r="S991" s="11"/>
      <c r="T991" s="11"/>
      <c r="U991" s="11"/>
      <c r="V991" s="11"/>
      <c r="W991" s="11"/>
      <c r="X991" s="11"/>
      <c r="Y991" s="4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  <c r="BZ991" s="11"/>
      <c r="CA991" s="11"/>
      <c r="CB991" s="11"/>
      <c r="CC991" s="11"/>
      <c r="CD991" s="11"/>
      <c r="CE991" s="11"/>
      <c r="CF991" s="11"/>
      <c r="CG991" s="11"/>
      <c r="CH991" s="11"/>
      <c r="CI991" s="11"/>
      <c r="CJ991" s="11"/>
      <c r="CK991" s="11"/>
      <c r="CL991" s="11"/>
      <c r="CM991" s="11"/>
      <c r="CN991" s="11"/>
      <c r="CO991" s="11"/>
      <c r="CP991" s="40"/>
      <c r="CQ991" s="40"/>
      <c r="CR991" s="40"/>
      <c r="CS991" s="40"/>
      <c r="CT991" s="40"/>
      <c r="CU991" s="40"/>
      <c r="CV991" s="40"/>
      <c r="CW991" s="40"/>
      <c r="CX991" s="40"/>
      <c r="CY991" s="40"/>
      <c r="CZ991" s="40"/>
      <c r="DA991" s="11"/>
      <c r="DB991" s="11"/>
      <c r="DC991" s="11"/>
      <c r="DD991" s="11"/>
      <c r="DE991" s="11"/>
      <c r="DF991" s="11"/>
      <c r="DG991" s="11"/>
    </row>
    <row r="992" ht="15.75" customHeight="1">
      <c r="A992" s="41"/>
      <c r="B992" s="11"/>
      <c r="C992" s="11"/>
      <c r="D992" s="11"/>
      <c r="E992" s="11"/>
      <c r="F992" s="11"/>
      <c r="G992" s="11"/>
      <c r="H992" s="11"/>
      <c r="I992" s="41"/>
      <c r="J992" s="11"/>
      <c r="K992" s="11"/>
      <c r="L992" s="11"/>
      <c r="M992" s="11"/>
      <c r="N992" s="11"/>
      <c r="O992" s="11"/>
      <c r="P992" s="11"/>
      <c r="Q992" s="41"/>
      <c r="R992" s="11"/>
      <c r="S992" s="11"/>
      <c r="T992" s="11"/>
      <c r="U992" s="11"/>
      <c r="V992" s="11"/>
      <c r="W992" s="11"/>
      <c r="X992" s="11"/>
      <c r="Y992" s="4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  <c r="BZ992" s="11"/>
      <c r="CA992" s="11"/>
      <c r="CB992" s="11"/>
      <c r="CC992" s="11"/>
      <c r="CD992" s="11"/>
      <c r="CE992" s="11"/>
      <c r="CF992" s="11"/>
      <c r="CG992" s="11"/>
      <c r="CH992" s="11"/>
      <c r="CI992" s="11"/>
      <c r="CJ992" s="11"/>
      <c r="CK992" s="11"/>
      <c r="CL992" s="11"/>
      <c r="CM992" s="11"/>
      <c r="CN992" s="11"/>
      <c r="CO992" s="11"/>
      <c r="CP992" s="40"/>
      <c r="CQ992" s="40"/>
      <c r="CR992" s="40"/>
      <c r="CS992" s="40"/>
      <c r="CT992" s="40"/>
      <c r="CU992" s="40"/>
      <c r="CV992" s="40"/>
      <c r="CW992" s="40"/>
      <c r="CX992" s="40"/>
      <c r="CY992" s="40"/>
      <c r="CZ992" s="40"/>
      <c r="DA992" s="11"/>
      <c r="DB992" s="11"/>
      <c r="DC992" s="11"/>
      <c r="DD992" s="11"/>
      <c r="DE992" s="11"/>
      <c r="DF992" s="11"/>
      <c r="DG992" s="11"/>
    </row>
    <row r="993" ht="15.75" customHeight="1">
      <c r="A993" s="41"/>
      <c r="B993" s="11"/>
      <c r="C993" s="11"/>
      <c r="D993" s="11"/>
      <c r="E993" s="11"/>
      <c r="F993" s="11"/>
      <c r="G993" s="11"/>
      <c r="H993" s="11"/>
      <c r="I993" s="41"/>
      <c r="J993" s="11"/>
      <c r="K993" s="11"/>
      <c r="L993" s="11"/>
      <c r="M993" s="11"/>
      <c r="N993" s="11"/>
      <c r="O993" s="11"/>
      <c r="P993" s="11"/>
      <c r="Q993" s="41"/>
      <c r="R993" s="11"/>
      <c r="S993" s="11"/>
      <c r="T993" s="11"/>
      <c r="U993" s="11"/>
      <c r="V993" s="11"/>
      <c r="W993" s="11"/>
      <c r="X993" s="11"/>
      <c r="Y993" s="4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  <c r="BZ993" s="11"/>
      <c r="CA993" s="11"/>
      <c r="CB993" s="11"/>
      <c r="CC993" s="11"/>
      <c r="CD993" s="11"/>
      <c r="CE993" s="11"/>
      <c r="CF993" s="11"/>
      <c r="CG993" s="11"/>
      <c r="CH993" s="11"/>
      <c r="CI993" s="11"/>
      <c r="CJ993" s="11"/>
      <c r="CK993" s="11"/>
      <c r="CL993" s="11"/>
      <c r="CM993" s="11"/>
      <c r="CN993" s="11"/>
      <c r="CO993" s="11"/>
      <c r="CP993" s="40"/>
      <c r="CQ993" s="40"/>
      <c r="CR993" s="40"/>
      <c r="CS993" s="40"/>
      <c r="CT993" s="40"/>
      <c r="CU993" s="40"/>
      <c r="CV993" s="40"/>
      <c r="CW993" s="40"/>
      <c r="CX993" s="40"/>
      <c r="CY993" s="40"/>
      <c r="CZ993" s="40"/>
      <c r="DA993" s="11"/>
      <c r="DB993" s="11"/>
      <c r="DC993" s="11"/>
      <c r="DD993" s="11"/>
      <c r="DE993" s="11"/>
      <c r="DF993" s="11"/>
      <c r="DG993" s="11"/>
    </row>
    <row r="994" ht="15.75" customHeight="1">
      <c r="A994" s="41"/>
      <c r="B994" s="11"/>
      <c r="C994" s="11"/>
      <c r="D994" s="11"/>
      <c r="E994" s="11"/>
      <c r="F994" s="11"/>
      <c r="G994" s="11"/>
      <c r="H994" s="11"/>
      <c r="I994" s="41"/>
      <c r="J994" s="11"/>
      <c r="K994" s="11"/>
      <c r="L994" s="11"/>
      <c r="M994" s="11"/>
      <c r="N994" s="11"/>
      <c r="O994" s="11"/>
      <c r="P994" s="11"/>
      <c r="Q994" s="41"/>
      <c r="R994" s="11"/>
      <c r="S994" s="11"/>
      <c r="T994" s="11"/>
      <c r="U994" s="11"/>
      <c r="V994" s="11"/>
      <c r="W994" s="11"/>
      <c r="X994" s="11"/>
      <c r="Y994" s="4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  <c r="BZ994" s="11"/>
      <c r="CA994" s="11"/>
      <c r="CB994" s="11"/>
      <c r="CC994" s="11"/>
      <c r="CD994" s="11"/>
      <c r="CE994" s="11"/>
      <c r="CF994" s="11"/>
      <c r="CG994" s="11"/>
      <c r="CH994" s="11"/>
      <c r="CI994" s="11"/>
      <c r="CJ994" s="11"/>
      <c r="CK994" s="11"/>
      <c r="CL994" s="11"/>
      <c r="CM994" s="11"/>
      <c r="CN994" s="11"/>
      <c r="CO994" s="11"/>
      <c r="CP994" s="40"/>
      <c r="CQ994" s="40"/>
      <c r="CR994" s="40"/>
      <c r="CS994" s="40"/>
      <c r="CT994" s="40"/>
      <c r="CU994" s="40"/>
      <c r="CV994" s="40"/>
      <c r="CW994" s="40"/>
      <c r="CX994" s="40"/>
      <c r="CY994" s="40"/>
      <c r="CZ994" s="40"/>
      <c r="DA994" s="11"/>
      <c r="DB994" s="11"/>
      <c r="DC994" s="11"/>
      <c r="DD994" s="11"/>
      <c r="DE994" s="11"/>
      <c r="DF994" s="11"/>
      <c r="DG994" s="11"/>
    </row>
    <row r="995" ht="15.75" customHeight="1">
      <c r="A995" s="41"/>
      <c r="B995" s="11"/>
      <c r="C995" s="11"/>
      <c r="D995" s="11"/>
      <c r="E995" s="11"/>
      <c r="F995" s="11"/>
      <c r="G995" s="11"/>
      <c r="H995" s="11"/>
      <c r="I995" s="41"/>
      <c r="J995" s="11"/>
      <c r="K995" s="11"/>
      <c r="L995" s="11"/>
      <c r="M995" s="11"/>
      <c r="N995" s="11"/>
      <c r="O995" s="11"/>
      <c r="P995" s="11"/>
      <c r="Q995" s="41"/>
      <c r="R995" s="11"/>
      <c r="S995" s="11"/>
      <c r="T995" s="11"/>
      <c r="U995" s="11"/>
      <c r="V995" s="11"/>
      <c r="W995" s="11"/>
      <c r="X995" s="11"/>
      <c r="Y995" s="4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  <c r="BZ995" s="11"/>
      <c r="CA995" s="11"/>
      <c r="CB995" s="11"/>
      <c r="CC995" s="11"/>
      <c r="CD995" s="11"/>
      <c r="CE995" s="11"/>
      <c r="CF995" s="11"/>
      <c r="CG995" s="11"/>
      <c r="CH995" s="11"/>
      <c r="CI995" s="11"/>
      <c r="CJ995" s="11"/>
      <c r="CK995" s="11"/>
      <c r="CL995" s="11"/>
      <c r="CM995" s="11"/>
      <c r="CN995" s="11"/>
      <c r="CO995" s="11"/>
      <c r="CP995" s="40"/>
      <c r="CQ995" s="40"/>
      <c r="CR995" s="40"/>
      <c r="CS995" s="40"/>
      <c r="CT995" s="40"/>
      <c r="CU995" s="40"/>
      <c r="CV995" s="40"/>
      <c r="CW995" s="40"/>
      <c r="CX995" s="40"/>
      <c r="CY995" s="40"/>
      <c r="CZ995" s="40"/>
      <c r="DA995" s="11"/>
      <c r="DB995" s="11"/>
      <c r="DC995" s="11"/>
      <c r="DD995" s="11"/>
      <c r="DE995" s="11"/>
      <c r="DF995" s="11"/>
      <c r="DG995" s="11"/>
    </row>
    <row r="996" ht="15.75" customHeight="1">
      <c r="A996" s="41"/>
      <c r="B996" s="11"/>
      <c r="C996" s="11"/>
      <c r="D996" s="11"/>
      <c r="E996" s="11"/>
      <c r="F996" s="11"/>
      <c r="G996" s="11"/>
      <c r="H996" s="11"/>
      <c r="I996" s="41"/>
      <c r="J996" s="11"/>
      <c r="K996" s="11"/>
      <c r="L996" s="11"/>
      <c r="M996" s="11"/>
      <c r="N996" s="11"/>
      <c r="O996" s="11"/>
      <c r="P996" s="11"/>
      <c r="Q996" s="41"/>
      <c r="R996" s="11"/>
      <c r="S996" s="11"/>
      <c r="T996" s="11"/>
      <c r="U996" s="11"/>
      <c r="V996" s="11"/>
      <c r="W996" s="11"/>
      <c r="X996" s="11"/>
      <c r="Y996" s="4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  <c r="BZ996" s="11"/>
      <c r="CA996" s="11"/>
      <c r="CB996" s="11"/>
      <c r="CC996" s="11"/>
      <c r="CD996" s="11"/>
      <c r="CE996" s="11"/>
      <c r="CF996" s="11"/>
      <c r="CG996" s="11"/>
      <c r="CH996" s="11"/>
      <c r="CI996" s="11"/>
      <c r="CJ996" s="11"/>
      <c r="CK996" s="11"/>
      <c r="CL996" s="11"/>
      <c r="CM996" s="11"/>
      <c r="CN996" s="11"/>
      <c r="CO996" s="11"/>
      <c r="CP996" s="40"/>
      <c r="CQ996" s="40"/>
      <c r="CR996" s="40"/>
      <c r="CS996" s="40"/>
      <c r="CT996" s="40"/>
      <c r="CU996" s="40"/>
      <c r="CV996" s="40"/>
      <c r="CW996" s="40"/>
      <c r="CX996" s="40"/>
      <c r="CY996" s="40"/>
      <c r="CZ996" s="40"/>
      <c r="DA996" s="11"/>
      <c r="DB996" s="11"/>
      <c r="DC996" s="11"/>
      <c r="DD996" s="11"/>
      <c r="DE996" s="11"/>
      <c r="DF996" s="11"/>
      <c r="DG996" s="11"/>
    </row>
    <row r="997" ht="15.75" customHeight="1">
      <c r="A997" s="41"/>
      <c r="B997" s="11"/>
      <c r="C997" s="11"/>
      <c r="D997" s="11"/>
      <c r="E997" s="11"/>
      <c r="F997" s="11"/>
      <c r="G997" s="11"/>
      <c r="H997" s="11"/>
      <c r="I997" s="41"/>
      <c r="J997" s="11"/>
      <c r="K997" s="11"/>
      <c r="L997" s="11"/>
      <c r="M997" s="11"/>
      <c r="N997" s="11"/>
      <c r="O997" s="11"/>
      <c r="P997" s="11"/>
      <c r="Q997" s="41"/>
      <c r="R997" s="11"/>
      <c r="S997" s="11"/>
      <c r="T997" s="11"/>
      <c r="U997" s="11"/>
      <c r="V997" s="11"/>
      <c r="W997" s="11"/>
      <c r="X997" s="11"/>
      <c r="Y997" s="4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  <c r="BZ997" s="11"/>
      <c r="CA997" s="11"/>
      <c r="CB997" s="11"/>
      <c r="CC997" s="11"/>
      <c r="CD997" s="11"/>
      <c r="CE997" s="11"/>
      <c r="CF997" s="11"/>
      <c r="CG997" s="11"/>
      <c r="CH997" s="11"/>
      <c r="CI997" s="11"/>
      <c r="CJ997" s="11"/>
      <c r="CK997" s="11"/>
      <c r="CL997" s="11"/>
      <c r="CM997" s="11"/>
      <c r="CN997" s="11"/>
      <c r="CO997" s="11"/>
      <c r="CP997" s="40"/>
      <c r="CQ997" s="40"/>
      <c r="CR997" s="40"/>
      <c r="CS997" s="40"/>
      <c r="CT997" s="40"/>
      <c r="CU997" s="40"/>
      <c r="CV997" s="40"/>
      <c r="CW997" s="40"/>
      <c r="CX997" s="40"/>
      <c r="CY997" s="40"/>
      <c r="CZ997" s="40"/>
      <c r="DA997" s="11"/>
      <c r="DB997" s="11"/>
      <c r="DC997" s="11"/>
      <c r="DD997" s="11"/>
      <c r="DE997" s="11"/>
      <c r="DF997" s="11"/>
      <c r="DG997" s="11"/>
    </row>
    <row r="998" ht="15.75" customHeight="1">
      <c r="A998" s="41"/>
      <c r="B998" s="11"/>
      <c r="C998" s="11"/>
      <c r="D998" s="11"/>
      <c r="E998" s="11"/>
      <c r="F998" s="11"/>
      <c r="G998" s="11"/>
      <c r="H998" s="11"/>
      <c r="I998" s="41"/>
      <c r="J998" s="11"/>
      <c r="K998" s="11"/>
      <c r="L998" s="11"/>
      <c r="M998" s="11"/>
      <c r="N998" s="11"/>
      <c r="O998" s="11"/>
      <c r="P998" s="11"/>
      <c r="Q998" s="41"/>
      <c r="R998" s="11"/>
      <c r="S998" s="11"/>
      <c r="T998" s="11"/>
      <c r="U998" s="11"/>
      <c r="V998" s="11"/>
      <c r="W998" s="11"/>
      <c r="X998" s="11"/>
      <c r="Y998" s="4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  <c r="BZ998" s="11"/>
      <c r="CA998" s="11"/>
      <c r="CB998" s="11"/>
      <c r="CC998" s="11"/>
      <c r="CD998" s="11"/>
      <c r="CE998" s="11"/>
      <c r="CF998" s="11"/>
      <c r="CG998" s="11"/>
      <c r="CH998" s="11"/>
      <c r="CI998" s="11"/>
      <c r="CJ998" s="11"/>
      <c r="CK998" s="11"/>
      <c r="CL998" s="11"/>
      <c r="CM998" s="11"/>
      <c r="CN998" s="11"/>
      <c r="CO998" s="11"/>
      <c r="CP998" s="40"/>
      <c r="CQ998" s="40"/>
      <c r="CR998" s="40"/>
      <c r="CS998" s="40"/>
      <c r="CT998" s="40"/>
      <c r="CU998" s="40"/>
      <c r="CV998" s="40"/>
      <c r="CW998" s="40"/>
      <c r="CX998" s="40"/>
      <c r="CY998" s="40"/>
      <c r="CZ998" s="40"/>
      <c r="DA998" s="11"/>
      <c r="DB998" s="11"/>
      <c r="DC998" s="11"/>
      <c r="DD998" s="11"/>
      <c r="DE998" s="11"/>
      <c r="DF998" s="11"/>
      <c r="DG998" s="11"/>
    </row>
    <row r="999" ht="15.75" customHeight="1">
      <c r="A999" s="41"/>
      <c r="B999" s="11"/>
      <c r="C999" s="11"/>
      <c r="D999" s="11"/>
      <c r="E999" s="11"/>
      <c r="F999" s="11"/>
      <c r="G999" s="11"/>
      <c r="H999" s="11"/>
      <c r="I999" s="41"/>
      <c r="J999" s="11"/>
      <c r="K999" s="11"/>
      <c r="L999" s="11"/>
      <c r="M999" s="11"/>
      <c r="N999" s="11"/>
      <c r="O999" s="11"/>
      <c r="P999" s="11"/>
      <c r="Q999" s="41"/>
      <c r="R999" s="11"/>
      <c r="S999" s="11"/>
      <c r="T999" s="11"/>
      <c r="U999" s="11"/>
      <c r="V999" s="11"/>
      <c r="W999" s="11"/>
      <c r="X999" s="11"/>
      <c r="Y999" s="4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  <c r="BZ999" s="11"/>
      <c r="CA999" s="11"/>
      <c r="CB999" s="11"/>
      <c r="CC999" s="11"/>
      <c r="CD999" s="11"/>
      <c r="CE999" s="11"/>
      <c r="CF999" s="11"/>
      <c r="CG999" s="11"/>
      <c r="CH999" s="11"/>
      <c r="CI999" s="11"/>
      <c r="CJ999" s="11"/>
      <c r="CK999" s="11"/>
      <c r="CL999" s="11"/>
      <c r="CM999" s="11"/>
      <c r="CN999" s="11"/>
      <c r="CO999" s="11"/>
      <c r="CP999" s="40"/>
      <c r="CQ999" s="40"/>
      <c r="CR999" s="40"/>
      <c r="CS999" s="40"/>
      <c r="CT999" s="40"/>
      <c r="CU999" s="40"/>
      <c r="CV999" s="40"/>
      <c r="CW999" s="40"/>
      <c r="CX999" s="40"/>
      <c r="CY999" s="40"/>
      <c r="CZ999" s="40"/>
      <c r="DA999" s="11"/>
      <c r="DB999" s="11"/>
      <c r="DC999" s="11"/>
      <c r="DD999" s="11"/>
      <c r="DE999" s="11"/>
      <c r="DF999" s="11"/>
      <c r="DG999" s="11"/>
    </row>
    <row r="1000" ht="15.75" customHeight="1">
      <c r="A1000" s="41"/>
      <c r="B1000" s="11"/>
      <c r="C1000" s="11"/>
      <c r="D1000" s="11"/>
      <c r="E1000" s="11"/>
      <c r="F1000" s="11"/>
      <c r="G1000" s="11"/>
      <c r="H1000" s="11"/>
      <c r="I1000" s="41"/>
      <c r="J1000" s="11"/>
      <c r="K1000" s="11"/>
      <c r="L1000" s="11"/>
      <c r="M1000" s="11"/>
      <c r="N1000" s="11"/>
      <c r="O1000" s="11"/>
      <c r="P1000" s="11"/>
      <c r="Q1000" s="41"/>
      <c r="R1000" s="11"/>
      <c r="S1000" s="11"/>
      <c r="T1000" s="11"/>
      <c r="U1000" s="11"/>
      <c r="V1000" s="11"/>
      <c r="W1000" s="11"/>
      <c r="X1000" s="11"/>
      <c r="Y1000" s="4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  <c r="BZ1000" s="11"/>
      <c r="CA1000" s="11"/>
      <c r="CB1000" s="11"/>
      <c r="CC1000" s="11"/>
      <c r="CD1000" s="11"/>
      <c r="CE1000" s="11"/>
      <c r="CF1000" s="11"/>
      <c r="CG1000" s="11"/>
      <c r="CH1000" s="11"/>
      <c r="CI1000" s="11"/>
      <c r="CJ1000" s="11"/>
      <c r="CK1000" s="11"/>
      <c r="CL1000" s="11"/>
      <c r="CM1000" s="11"/>
      <c r="CN1000" s="11"/>
      <c r="CO1000" s="11"/>
      <c r="CP1000" s="40"/>
      <c r="CQ1000" s="40"/>
      <c r="CR1000" s="40"/>
      <c r="CS1000" s="40"/>
      <c r="CT1000" s="40"/>
      <c r="CU1000" s="40"/>
      <c r="CV1000" s="40"/>
      <c r="CW1000" s="40"/>
      <c r="CX1000" s="40"/>
      <c r="CY1000" s="40"/>
      <c r="CZ1000" s="40"/>
      <c r="DA1000" s="11"/>
      <c r="DB1000" s="11"/>
      <c r="DC1000" s="11"/>
      <c r="DD1000" s="11"/>
      <c r="DE1000" s="11"/>
      <c r="DF1000" s="11"/>
      <c r="DG1000" s="1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8.71"/>
  </cols>
  <sheetData>
    <row r="1">
      <c r="K1" s="7" t="s">
        <v>172</v>
      </c>
      <c r="S1" s="7" t="s">
        <v>173</v>
      </c>
    </row>
    <row r="2">
      <c r="A2" s="7" t="s">
        <v>171</v>
      </c>
      <c r="C2" s="29" t="s">
        <v>17</v>
      </c>
      <c r="D2" s="29" t="s">
        <v>18</v>
      </c>
      <c r="E2" s="29" t="s">
        <v>19</v>
      </c>
      <c r="F2" s="29" t="s">
        <v>20</v>
      </c>
      <c r="G2" s="29" t="s">
        <v>21</v>
      </c>
      <c r="I2" s="7" t="s">
        <v>172</v>
      </c>
      <c r="K2" s="29" t="s">
        <v>17</v>
      </c>
      <c r="L2" s="29" t="s">
        <v>18</v>
      </c>
      <c r="M2" s="29" t="s">
        <v>19</v>
      </c>
      <c r="N2" s="29" t="s">
        <v>20</v>
      </c>
      <c r="O2" s="29" t="s">
        <v>21</v>
      </c>
      <c r="Q2" s="7" t="s">
        <v>173</v>
      </c>
      <c r="S2" s="29" t="s">
        <v>17</v>
      </c>
      <c r="T2" s="29" t="s">
        <v>18</v>
      </c>
      <c r="U2" s="29" t="s">
        <v>19</v>
      </c>
      <c r="V2" s="29" t="s">
        <v>20</v>
      </c>
      <c r="W2" s="29" t="s">
        <v>21</v>
      </c>
      <c r="Y2" s="7" t="s">
        <v>174</v>
      </c>
      <c r="AA2" s="29" t="s">
        <v>18</v>
      </c>
      <c r="AB2" s="29" t="s">
        <v>19</v>
      </c>
      <c r="AC2" s="29" t="s">
        <v>20</v>
      </c>
      <c r="AD2" s="29" t="s">
        <v>21</v>
      </c>
      <c r="AF2" s="7" t="s">
        <v>175</v>
      </c>
      <c r="AH2" s="29" t="s">
        <v>18</v>
      </c>
      <c r="AI2" s="29" t="s">
        <v>19</v>
      </c>
      <c r="AJ2" s="29" t="s">
        <v>20</v>
      </c>
      <c r="AK2" s="29" t="s">
        <v>21</v>
      </c>
    </row>
    <row r="4">
      <c r="A4" s="7" t="s">
        <v>26</v>
      </c>
      <c r="I4" s="7" t="s">
        <v>26</v>
      </c>
      <c r="Q4" s="7" t="s">
        <v>26</v>
      </c>
      <c r="Y4" s="7" t="s">
        <v>26</v>
      </c>
      <c r="AF4" s="7" t="s">
        <v>26</v>
      </c>
    </row>
    <row r="5">
      <c r="A5" s="7" t="s">
        <v>340</v>
      </c>
      <c r="I5" s="7" t="s">
        <v>340</v>
      </c>
      <c r="Q5" s="7" t="s">
        <v>340</v>
      </c>
      <c r="Y5" s="7" t="s">
        <v>340</v>
      </c>
      <c r="AF5" s="7" t="s">
        <v>340</v>
      </c>
    </row>
    <row r="6">
      <c r="A6" s="7" t="s">
        <v>341</v>
      </c>
      <c r="I6" s="7" t="s">
        <v>341</v>
      </c>
      <c r="Q6" s="7" t="s">
        <v>341</v>
      </c>
      <c r="Y6" s="7" t="s">
        <v>341</v>
      </c>
      <c r="AF6" s="7" t="s">
        <v>341</v>
      </c>
    </row>
    <row r="7">
      <c r="C7" s="29" t="s">
        <v>17</v>
      </c>
      <c r="D7" s="29" t="s">
        <v>18</v>
      </c>
      <c r="E7" s="29" t="s">
        <v>19</v>
      </c>
      <c r="F7" s="29" t="s">
        <v>20</v>
      </c>
      <c r="G7" s="29" t="s">
        <v>21</v>
      </c>
      <c r="K7" s="29" t="s">
        <v>17</v>
      </c>
      <c r="L7" s="29" t="s">
        <v>18</v>
      </c>
      <c r="M7" s="29" t="s">
        <v>19</v>
      </c>
      <c r="N7" s="29" t="s">
        <v>20</v>
      </c>
      <c r="O7" s="29" t="s">
        <v>21</v>
      </c>
      <c r="S7" s="29" t="s">
        <v>17</v>
      </c>
      <c r="T7" s="29" t="s">
        <v>18</v>
      </c>
      <c r="U7" s="29" t="s">
        <v>19</v>
      </c>
      <c r="V7" s="29" t="s">
        <v>20</v>
      </c>
      <c r="W7" s="29" t="s">
        <v>21</v>
      </c>
      <c r="AA7" s="29" t="s">
        <v>18</v>
      </c>
      <c r="AB7" s="29" t="s">
        <v>19</v>
      </c>
      <c r="AC7" s="29" t="s">
        <v>20</v>
      </c>
      <c r="AD7" s="29" t="s">
        <v>21</v>
      </c>
      <c r="AH7" s="29" t="s">
        <v>18</v>
      </c>
      <c r="AI7" s="29" t="s">
        <v>19</v>
      </c>
      <c r="AJ7" s="29" t="s">
        <v>20</v>
      </c>
      <c r="AK7" s="29" t="s">
        <v>21</v>
      </c>
    </row>
    <row r="8">
      <c r="A8" s="7" t="s">
        <v>342</v>
      </c>
      <c r="C8" s="7">
        <v>12.0</v>
      </c>
      <c r="D8" s="7">
        <v>12.0</v>
      </c>
      <c r="E8" s="7">
        <v>12.0</v>
      </c>
      <c r="F8" s="7">
        <v>12.0</v>
      </c>
      <c r="G8" s="7">
        <v>9.0</v>
      </c>
      <c r="I8" s="7" t="s">
        <v>342</v>
      </c>
      <c r="K8" s="7">
        <v>12.0</v>
      </c>
      <c r="L8" s="7">
        <v>12.0</v>
      </c>
      <c r="M8" s="7">
        <v>12.0</v>
      </c>
      <c r="N8" s="7">
        <v>12.0</v>
      </c>
      <c r="O8" s="7">
        <v>9.0</v>
      </c>
      <c r="Q8" s="7" t="s">
        <v>342</v>
      </c>
      <c r="S8" s="7">
        <v>12.0</v>
      </c>
      <c r="T8" s="7">
        <v>12.0</v>
      </c>
      <c r="U8" s="7">
        <v>12.0</v>
      </c>
      <c r="V8" s="7">
        <v>12.0</v>
      </c>
      <c r="W8" s="7">
        <v>9.0</v>
      </c>
      <c r="Y8" s="7" t="s">
        <v>342</v>
      </c>
      <c r="AA8" s="7">
        <v>12.0</v>
      </c>
      <c r="AB8" s="7">
        <v>12.0</v>
      </c>
      <c r="AC8" s="7">
        <v>12.0</v>
      </c>
      <c r="AD8" s="7">
        <v>9.0</v>
      </c>
      <c r="AF8" s="7" t="s">
        <v>342</v>
      </c>
      <c r="AH8" s="7">
        <v>12.0</v>
      </c>
      <c r="AI8" s="7">
        <v>12.0</v>
      </c>
      <c r="AJ8" s="7">
        <v>12.0</v>
      </c>
      <c r="AK8" s="7">
        <v>12.0</v>
      </c>
    </row>
    <row r="9">
      <c r="A9" s="7" t="s">
        <v>343</v>
      </c>
      <c r="C9" s="7" t="s">
        <v>22</v>
      </c>
      <c r="D9" s="7" t="s">
        <v>22</v>
      </c>
      <c r="E9" s="7" t="s">
        <v>22</v>
      </c>
      <c r="F9" s="7" t="s">
        <v>22</v>
      </c>
      <c r="G9" s="7" t="s">
        <v>23</v>
      </c>
      <c r="I9" s="7" t="s">
        <v>343</v>
      </c>
      <c r="K9" s="7" t="s">
        <v>22</v>
      </c>
      <c r="L9" s="7" t="s">
        <v>22</v>
      </c>
      <c r="M9" s="7" t="s">
        <v>22</v>
      </c>
      <c r="N9" s="7" t="s">
        <v>22</v>
      </c>
      <c r="O9" s="7" t="s">
        <v>23</v>
      </c>
      <c r="Q9" s="7" t="s">
        <v>343</v>
      </c>
      <c r="S9" s="7" t="s">
        <v>22</v>
      </c>
      <c r="T9" s="7" t="s">
        <v>22</v>
      </c>
      <c r="U9" s="7" t="s">
        <v>22</v>
      </c>
      <c r="V9" s="7" t="s">
        <v>23</v>
      </c>
      <c r="W9" s="7" t="s">
        <v>23</v>
      </c>
      <c r="Y9" s="7" t="s">
        <v>343</v>
      </c>
      <c r="AA9" s="7" t="s">
        <v>22</v>
      </c>
      <c r="AB9" s="7" t="s">
        <v>22</v>
      </c>
      <c r="AC9" s="7" t="s">
        <v>22</v>
      </c>
      <c r="AD9" s="7" t="s">
        <v>23</v>
      </c>
      <c r="AF9" s="7" t="s">
        <v>343</v>
      </c>
      <c r="AH9" s="7" t="s">
        <v>24</v>
      </c>
      <c r="AI9" s="7" t="s">
        <v>22</v>
      </c>
      <c r="AJ9" s="7" t="s">
        <v>22</v>
      </c>
      <c r="AK9" s="7" t="s">
        <v>23</v>
      </c>
    </row>
    <row r="10">
      <c r="C10" s="7" t="s">
        <v>208</v>
      </c>
      <c r="D10" s="7" t="s">
        <v>208</v>
      </c>
      <c r="E10" s="7" t="s">
        <v>208</v>
      </c>
      <c r="F10" s="7" t="s">
        <v>208</v>
      </c>
      <c r="G10" s="7" t="s">
        <v>53</v>
      </c>
      <c r="K10" s="7" t="s">
        <v>209</v>
      </c>
      <c r="L10" s="7" t="s">
        <v>209</v>
      </c>
      <c r="M10" s="7" t="s">
        <v>208</v>
      </c>
      <c r="N10" s="7" t="s">
        <v>208</v>
      </c>
      <c r="O10" s="7" t="s">
        <v>210</v>
      </c>
      <c r="S10" s="7" t="s">
        <v>211</v>
      </c>
      <c r="T10" s="7" t="s">
        <v>208</v>
      </c>
      <c r="U10" s="7" t="s">
        <v>208</v>
      </c>
      <c r="V10" s="7" t="s">
        <v>208</v>
      </c>
      <c r="W10" s="7" t="s">
        <v>212</v>
      </c>
      <c r="AB10" s="7" t="s">
        <v>208</v>
      </c>
      <c r="AC10" s="7" t="s">
        <v>208</v>
      </c>
      <c r="AD10" s="7" t="s">
        <v>213</v>
      </c>
      <c r="AI10" s="7" t="s">
        <v>214</v>
      </c>
      <c r="AJ10" s="7" t="s">
        <v>214</v>
      </c>
      <c r="AK10" s="7" t="s">
        <v>54</v>
      </c>
    </row>
    <row r="11">
      <c r="C11" s="7" t="s">
        <v>221</v>
      </c>
      <c r="D11" s="7" t="s">
        <v>221</v>
      </c>
      <c r="E11" s="7" t="s">
        <v>222</v>
      </c>
      <c r="F11" s="7" t="s">
        <v>223</v>
      </c>
      <c r="K11" s="7" t="s">
        <v>224</v>
      </c>
      <c r="L11" s="7" t="s">
        <v>224</v>
      </c>
      <c r="M11" s="7" t="s">
        <v>221</v>
      </c>
      <c r="N11" s="7" t="s">
        <v>222</v>
      </c>
      <c r="O11" s="7" t="s">
        <v>222</v>
      </c>
      <c r="S11" s="7" t="s">
        <v>222</v>
      </c>
      <c r="T11" s="7" t="s">
        <v>221</v>
      </c>
      <c r="U11" s="7" t="s">
        <v>222</v>
      </c>
      <c r="V11" s="7" t="s">
        <v>222</v>
      </c>
      <c r="W11" s="7" t="s">
        <v>222</v>
      </c>
      <c r="AA11" s="7" t="s">
        <v>224</v>
      </c>
      <c r="AB11" s="7" t="s">
        <v>224</v>
      </c>
      <c r="AC11" s="7" t="s">
        <v>221</v>
      </c>
      <c r="AI11" s="7" t="s">
        <v>222</v>
      </c>
      <c r="AJ11" s="7" t="s">
        <v>222</v>
      </c>
      <c r="AK11" s="7" t="s">
        <v>222</v>
      </c>
    </row>
    <row r="14">
      <c r="A14" s="7" t="s">
        <v>229</v>
      </c>
      <c r="I14" s="7" t="s">
        <v>229</v>
      </c>
      <c r="Q14" s="7" t="s">
        <v>229</v>
      </c>
      <c r="Y14" s="7" t="s">
        <v>229</v>
      </c>
      <c r="AF14" s="7" t="s">
        <v>229</v>
      </c>
    </row>
    <row r="15">
      <c r="A15" s="7">
        <v>1.0</v>
      </c>
      <c r="B15" s="7" t="s">
        <v>230</v>
      </c>
      <c r="C15" s="7">
        <v>219.281</v>
      </c>
      <c r="D15" s="7">
        <v>303.998</v>
      </c>
      <c r="E15" s="7">
        <v>467.822</v>
      </c>
      <c r="F15" s="7">
        <v>0.068</v>
      </c>
      <c r="G15" s="7">
        <v>388.108</v>
      </c>
      <c r="I15" s="7">
        <v>1.0</v>
      </c>
      <c r="J15" s="7" t="s">
        <v>230</v>
      </c>
      <c r="K15" s="7">
        <v>14166.0</v>
      </c>
      <c r="L15" s="7">
        <v>26772.0</v>
      </c>
      <c r="M15" s="7">
        <v>38682.088</v>
      </c>
      <c r="N15" s="7">
        <v>13331.938</v>
      </c>
      <c r="O15" s="7">
        <v>10752.389</v>
      </c>
      <c r="Q15" s="7">
        <v>1.0</v>
      </c>
      <c r="R15" s="7" t="s">
        <v>230</v>
      </c>
      <c r="S15" s="7">
        <v>3585.0</v>
      </c>
      <c r="T15" s="7">
        <v>6100.646</v>
      </c>
      <c r="U15" s="7">
        <v>8336.164</v>
      </c>
      <c r="V15" s="7">
        <v>5940.302</v>
      </c>
      <c r="W15" s="7">
        <v>6421.995</v>
      </c>
      <c r="Y15" s="7">
        <v>1.0</v>
      </c>
      <c r="Z15" s="7" t="s">
        <v>230</v>
      </c>
      <c r="AA15" s="7">
        <v>197.63</v>
      </c>
      <c r="AB15" s="7">
        <v>364.578</v>
      </c>
      <c r="AC15" s="7">
        <v>46.361</v>
      </c>
      <c r="AD15" s="7">
        <v>50.182</v>
      </c>
      <c r="AF15" s="7">
        <v>1.0</v>
      </c>
      <c r="AG15" s="7" t="s">
        <v>230</v>
      </c>
      <c r="AH15" s="7">
        <v>0.0</v>
      </c>
      <c r="AI15" s="7">
        <v>765.951</v>
      </c>
      <c r="AJ15" s="7">
        <v>1011.194</v>
      </c>
      <c r="AK15" s="7">
        <v>101.049</v>
      </c>
    </row>
    <row r="16">
      <c r="A16" s="7">
        <v>3.0</v>
      </c>
      <c r="B16" s="7" t="s">
        <v>232</v>
      </c>
      <c r="C16" s="7">
        <v>0.0</v>
      </c>
      <c r="D16" s="7">
        <v>0.0</v>
      </c>
      <c r="E16" s="7">
        <v>387.652</v>
      </c>
      <c r="F16" s="7">
        <v>0.0</v>
      </c>
      <c r="G16" s="7">
        <v>0.0</v>
      </c>
      <c r="I16" s="7">
        <v>2.0</v>
      </c>
      <c r="J16" s="7" t="s">
        <v>234</v>
      </c>
      <c r="K16" s="7">
        <v>45970.0</v>
      </c>
      <c r="L16" s="7">
        <v>126269.0</v>
      </c>
      <c r="M16" s="7">
        <v>0.0</v>
      </c>
      <c r="N16" s="7">
        <v>0.0</v>
      </c>
      <c r="O16" s="7">
        <v>0.0</v>
      </c>
      <c r="Q16" s="7">
        <v>2.0</v>
      </c>
      <c r="R16" s="7" t="s">
        <v>234</v>
      </c>
      <c r="S16" s="7">
        <v>278.98</v>
      </c>
      <c r="T16" s="7">
        <v>278.84</v>
      </c>
      <c r="U16" s="7">
        <v>278.84</v>
      </c>
      <c r="V16" s="7">
        <v>278.84</v>
      </c>
      <c r="W16" s="7">
        <v>4679.839</v>
      </c>
      <c r="Y16" s="7">
        <v>2.0</v>
      </c>
      <c r="Z16" s="7" t="s">
        <v>234</v>
      </c>
      <c r="AA16" s="7">
        <v>0.0</v>
      </c>
      <c r="AB16" s="7">
        <v>0.0</v>
      </c>
      <c r="AC16" s="7">
        <v>0.0</v>
      </c>
      <c r="AD16" s="7">
        <v>0.0</v>
      </c>
      <c r="AF16" s="7">
        <v>2.0</v>
      </c>
      <c r="AG16" s="7" t="s">
        <v>234</v>
      </c>
      <c r="AH16" s="7">
        <v>4149.0</v>
      </c>
      <c r="AI16" s="7">
        <v>5.914</v>
      </c>
      <c r="AJ16" s="7">
        <v>0.0</v>
      </c>
      <c r="AK16" s="7">
        <v>5.941</v>
      </c>
    </row>
    <row r="17">
      <c r="A17" s="7">
        <v>4.0</v>
      </c>
      <c r="B17" s="7" t="s">
        <v>233</v>
      </c>
      <c r="C17" s="7">
        <v>21211.101</v>
      </c>
      <c r="D17" s="7">
        <v>15227.824</v>
      </c>
      <c r="E17" s="7">
        <v>23900.83</v>
      </c>
      <c r="F17" s="7">
        <v>28045.861</v>
      </c>
      <c r="G17" s="7">
        <v>25171.44</v>
      </c>
      <c r="I17" s="7">
        <v>3.0</v>
      </c>
      <c r="J17" s="7" t="s">
        <v>232</v>
      </c>
      <c r="K17" s="7">
        <v>15066.0</v>
      </c>
      <c r="L17" s="7">
        <v>14499.0</v>
      </c>
      <c r="M17" s="7">
        <v>13337.418</v>
      </c>
      <c r="N17" s="7">
        <v>13468.897</v>
      </c>
      <c r="O17" s="7">
        <v>19104.821</v>
      </c>
      <c r="Q17" s="7">
        <v>3.0</v>
      </c>
      <c r="R17" s="7" t="s">
        <v>232</v>
      </c>
      <c r="S17" s="7">
        <v>14682.0</v>
      </c>
      <c r="T17" s="7">
        <v>17314.2</v>
      </c>
      <c r="U17" s="7">
        <v>25084.24</v>
      </c>
      <c r="V17" s="7">
        <v>28476.013</v>
      </c>
      <c r="W17" s="7">
        <v>25199.921</v>
      </c>
      <c r="Y17" s="7">
        <v>3.0</v>
      </c>
      <c r="Z17" s="7" t="s">
        <v>232</v>
      </c>
      <c r="AA17" s="7">
        <v>0.0</v>
      </c>
      <c r="AB17" s="7">
        <v>0.0</v>
      </c>
      <c r="AC17" s="7">
        <v>0.0</v>
      </c>
      <c r="AD17" s="7">
        <v>0.0</v>
      </c>
      <c r="AF17" s="7">
        <v>3.0</v>
      </c>
      <c r="AG17" s="7" t="s">
        <v>232</v>
      </c>
      <c r="AH17" s="7">
        <v>0.0</v>
      </c>
      <c r="AI17" s="7">
        <v>9294.08</v>
      </c>
      <c r="AJ17" s="7">
        <v>5900.931999999997</v>
      </c>
      <c r="AK17" s="7">
        <v>32253.842</v>
      </c>
    </row>
    <row r="18">
      <c r="A18" s="7">
        <v>5.0</v>
      </c>
      <c r="B18" s="7" t="s">
        <v>235</v>
      </c>
      <c r="C18" s="7">
        <v>0.0</v>
      </c>
      <c r="D18" s="7">
        <v>0.0</v>
      </c>
      <c r="E18" s="7">
        <v>2501.694</v>
      </c>
      <c r="F18" s="7">
        <v>1689.761</v>
      </c>
      <c r="G18" s="7">
        <v>0.0</v>
      </c>
      <c r="I18" s="7">
        <v>4.0</v>
      </c>
      <c r="J18" s="7" t="s">
        <v>233</v>
      </c>
      <c r="K18" s="7">
        <v>224911.0</v>
      </c>
      <c r="L18" s="7">
        <v>204926.0</v>
      </c>
      <c r="M18" s="7">
        <v>475765.905</v>
      </c>
      <c r="N18" s="7">
        <v>556123.836</v>
      </c>
      <c r="O18" s="7">
        <v>409288.497</v>
      </c>
      <c r="Q18" s="7">
        <v>4.0</v>
      </c>
      <c r="R18" s="7" t="s">
        <v>233</v>
      </c>
      <c r="S18" s="7">
        <v>12099.0</v>
      </c>
      <c r="T18" s="7">
        <v>5972.802</v>
      </c>
      <c r="U18" s="7">
        <v>11191.979</v>
      </c>
      <c r="V18" s="7">
        <v>12528.005</v>
      </c>
      <c r="W18" s="7">
        <v>13489.001</v>
      </c>
      <c r="Y18" s="7">
        <v>4.0</v>
      </c>
      <c r="Z18" s="7" t="s">
        <v>233</v>
      </c>
      <c r="AA18" s="7">
        <v>12224.957</v>
      </c>
      <c r="AB18" s="7">
        <v>13252.986</v>
      </c>
      <c r="AC18" s="7">
        <v>31311.08</v>
      </c>
      <c r="AD18" s="7">
        <v>13387.562</v>
      </c>
      <c r="AF18" s="7">
        <v>4.0</v>
      </c>
      <c r="AG18" s="7" t="s">
        <v>233</v>
      </c>
      <c r="AH18" s="7">
        <v>0.0</v>
      </c>
      <c r="AI18" s="7">
        <v>19267.42</v>
      </c>
      <c r="AJ18" s="7">
        <v>20016.31</v>
      </c>
      <c r="AK18" s="7">
        <v>0.0</v>
      </c>
    </row>
    <row r="19">
      <c r="A19" s="7">
        <v>9.0</v>
      </c>
      <c r="B19" s="7" t="s">
        <v>92</v>
      </c>
      <c r="C19" s="7">
        <v>0.054</v>
      </c>
      <c r="D19" s="7">
        <v>0.004</v>
      </c>
      <c r="E19" s="7">
        <v>0.0</v>
      </c>
      <c r="F19" s="7">
        <v>0.0</v>
      </c>
      <c r="G19" s="7">
        <v>0.0</v>
      </c>
      <c r="I19" s="7">
        <v>7.0</v>
      </c>
      <c r="J19" s="7" t="s">
        <v>237</v>
      </c>
      <c r="K19" s="7">
        <v>29830.0</v>
      </c>
      <c r="L19" s="7">
        <v>32500.0</v>
      </c>
      <c r="M19" s="7">
        <v>0.0</v>
      </c>
      <c r="N19" s="7">
        <v>0.0</v>
      </c>
      <c r="O19" s="7">
        <v>0.0</v>
      </c>
      <c r="Q19" s="7">
        <v>5.0</v>
      </c>
      <c r="R19" s="7" t="s">
        <v>235</v>
      </c>
      <c r="S19" s="7">
        <v>4499.0</v>
      </c>
      <c r="T19" s="7">
        <v>0.0</v>
      </c>
      <c r="U19" s="7">
        <v>0.0</v>
      </c>
      <c r="V19" s="7">
        <v>0.0</v>
      </c>
      <c r="W19" s="7">
        <v>7840.422</v>
      </c>
      <c r="Y19" s="7">
        <v>5.0</v>
      </c>
      <c r="Z19" s="7" t="s">
        <v>235</v>
      </c>
      <c r="AA19" s="7">
        <v>0.0</v>
      </c>
      <c r="AB19" s="7">
        <v>0.0</v>
      </c>
      <c r="AC19" s="7">
        <v>0.0</v>
      </c>
      <c r="AD19" s="7">
        <v>0.0</v>
      </c>
      <c r="AF19" s="7">
        <v>5.0</v>
      </c>
      <c r="AG19" s="7" t="s">
        <v>235</v>
      </c>
      <c r="AH19" s="7">
        <v>0.0</v>
      </c>
      <c r="AI19" s="7">
        <v>2184.715</v>
      </c>
      <c r="AJ19" s="7">
        <v>3803.379000000004</v>
      </c>
      <c r="AK19" s="7">
        <v>4915.002</v>
      </c>
    </row>
    <row r="20">
      <c r="A20" s="7">
        <v>12.0</v>
      </c>
      <c r="B20" s="7" t="s">
        <v>249</v>
      </c>
      <c r="C20" s="7">
        <v>0.0</v>
      </c>
      <c r="D20" s="7">
        <v>0.0</v>
      </c>
      <c r="E20" s="7">
        <v>0.0</v>
      </c>
      <c r="F20" s="7">
        <v>452.942</v>
      </c>
      <c r="G20" s="7">
        <v>0.0</v>
      </c>
      <c r="I20" s="7">
        <v>8.0</v>
      </c>
      <c r="J20" s="7" t="s">
        <v>240</v>
      </c>
      <c r="K20" s="7">
        <v>42202.0</v>
      </c>
      <c r="L20" s="7">
        <v>42760.0</v>
      </c>
      <c r="M20" s="7">
        <v>39072.231</v>
      </c>
      <c r="N20" s="7">
        <v>44778.312</v>
      </c>
      <c r="O20" s="7">
        <v>110252.666</v>
      </c>
      <c r="Q20" s="7">
        <v>7.0</v>
      </c>
      <c r="R20" s="7" t="s">
        <v>237</v>
      </c>
      <c r="S20" s="7">
        <v>108635.0</v>
      </c>
      <c r="T20" s="7">
        <v>6074.48</v>
      </c>
      <c r="U20" s="7">
        <v>7179.542</v>
      </c>
      <c r="V20" s="7">
        <v>8529.582</v>
      </c>
      <c r="W20" s="7">
        <v>10283.608</v>
      </c>
      <c r="Y20" s="7">
        <v>6.0</v>
      </c>
      <c r="Z20" s="7" t="s">
        <v>239</v>
      </c>
      <c r="AF20" s="7">
        <v>7.0</v>
      </c>
      <c r="AG20" s="7" t="s">
        <v>237</v>
      </c>
      <c r="AH20" s="7">
        <v>0.0</v>
      </c>
      <c r="AI20" s="7">
        <v>11570.202</v>
      </c>
      <c r="AJ20" s="7">
        <v>3041.632</v>
      </c>
      <c r="AK20" s="7">
        <v>2722.317</v>
      </c>
    </row>
    <row r="21" ht="15.75" customHeight="1">
      <c r="A21" s="7">
        <v>15.0</v>
      </c>
      <c r="B21" s="7" t="s">
        <v>257</v>
      </c>
      <c r="C21" s="7">
        <v>13.44</v>
      </c>
      <c r="D21" s="7">
        <v>615.944</v>
      </c>
      <c r="E21" s="7">
        <v>0.0</v>
      </c>
      <c r="F21" s="7">
        <v>0.0</v>
      </c>
      <c r="G21" s="7">
        <v>3364.291</v>
      </c>
      <c r="I21" s="7">
        <v>9.0</v>
      </c>
      <c r="J21" s="7" t="s">
        <v>92</v>
      </c>
      <c r="K21" s="7">
        <v>82040.0</v>
      </c>
      <c r="L21" s="7">
        <v>69549.0</v>
      </c>
      <c r="M21" s="7">
        <v>58821.594</v>
      </c>
      <c r="N21" s="7">
        <v>60654.179</v>
      </c>
      <c r="O21" s="7">
        <v>152555.974</v>
      </c>
      <c r="Q21" s="7">
        <v>9.0</v>
      </c>
      <c r="R21" s="7" t="s">
        <v>92</v>
      </c>
      <c r="S21" s="7">
        <v>5924.0</v>
      </c>
      <c r="T21" s="7">
        <v>9027.959</v>
      </c>
      <c r="U21" s="7">
        <v>9936.311</v>
      </c>
      <c r="V21" s="7">
        <v>11853.918</v>
      </c>
      <c r="W21" s="7">
        <v>20667.477</v>
      </c>
      <c r="Y21" s="7">
        <v>7.0</v>
      </c>
      <c r="Z21" s="7" t="s">
        <v>237</v>
      </c>
      <c r="AA21" s="7">
        <v>0.0</v>
      </c>
      <c r="AB21" s="7">
        <v>0.0</v>
      </c>
      <c r="AC21" s="7">
        <v>0.0</v>
      </c>
      <c r="AD21" s="7">
        <v>0.0</v>
      </c>
      <c r="AF21" s="7">
        <v>9.0</v>
      </c>
      <c r="AG21" s="7" t="s">
        <v>92</v>
      </c>
      <c r="AH21" s="7">
        <v>0.0</v>
      </c>
      <c r="AI21" s="7">
        <v>3179.649</v>
      </c>
      <c r="AJ21" s="7">
        <v>4199.378</v>
      </c>
      <c r="AK21" s="7">
        <v>2754.552</v>
      </c>
    </row>
    <row r="22" ht="15.75" customHeight="1">
      <c r="A22" s="7">
        <v>16.0</v>
      </c>
      <c r="B22" s="7" t="s">
        <v>250</v>
      </c>
      <c r="C22" s="7">
        <v>21443.876</v>
      </c>
      <c r="D22" s="7">
        <v>16147.77</v>
      </c>
      <c r="E22" s="7">
        <v>27257.998</v>
      </c>
      <c r="F22" s="7">
        <v>30188.632</v>
      </c>
      <c r="G22" s="7">
        <v>28923.839</v>
      </c>
      <c r="I22" s="7">
        <v>11.0</v>
      </c>
      <c r="J22" s="7" t="s">
        <v>245</v>
      </c>
      <c r="K22" s="7">
        <v>30848.0</v>
      </c>
      <c r="L22" s="7">
        <v>30427.0</v>
      </c>
      <c r="M22" s="7">
        <v>22300.368</v>
      </c>
      <c r="N22" s="7">
        <v>34945.174</v>
      </c>
      <c r="O22" s="7">
        <v>0.0</v>
      </c>
      <c r="Q22" s="7">
        <v>10.0</v>
      </c>
      <c r="R22" s="7" t="s">
        <v>246</v>
      </c>
      <c r="S22" s="7">
        <v>0.0</v>
      </c>
      <c r="T22" s="7">
        <v>3140.73</v>
      </c>
      <c r="U22" s="7">
        <v>4404.015</v>
      </c>
      <c r="V22" s="7">
        <v>8225.29</v>
      </c>
      <c r="W22" s="7">
        <v>0.0</v>
      </c>
      <c r="Y22" s="7">
        <v>8.0</v>
      </c>
      <c r="Z22" s="7" t="s">
        <v>240</v>
      </c>
      <c r="AD22" s="7">
        <v>3178.024</v>
      </c>
      <c r="AF22" s="7">
        <v>11.0</v>
      </c>
      <c r="AG22" s="7" t="s">
        <v>245</v>
      </c>
      <c r="AH22" s="7">
        <v>0.0</v>
      </c>
      <c r="AI22" s="7">
        <v>9594.615</v>
      </c>
      <c r="AJ22" s="7">
        <v>9594.615</v>
      </c>
      <c r="AK22" s="7">
        <v>11019.014</v>
      </c>
    </row>
    <row r="23" ht="15.75" customHeight="1">
      <c r="A23" s="7" t="s">
        <v>258</v>
      </c>
      <c r="I23" s="7">
        <v>12.0</v>
      </c>
      <c r="J23" s="7" t="s">
        <v>249</v>
      </c>
      <c r="K23" s="7">
        <v>4138.0</v>
      </c>
      <c r="L23" s="7">
        <v>11471.0</v>
      </c>
      <c r="M23" s="7">
        <v>0.0</v>
      </c>
      <c r="N23" s="7">
        <v>0.0</v>
      </c>
      <c r="O23" s="7">
        <v>0.0</v>
      </c>
      <c r="Q23" s="7">
        <v>11.0</v>
      </c>
      <c r="R23" s="7" t="s">
        <v>245</v>
      </c>
      <c r="S23" s="7">
        <v>7037.0</v>
      </c>
      <c r="T23" s="7">
        <v>2433.912</v>
      </c>
      <c r="U23" s="7">
        <v>2840.836</v>
      </c>
      <c r="V23" s="7">
        <v>4465.012</v>
      </c>
      <c r="W23" s="7">
        <v>0.0</v>
      </c>
      <c r="Y23" s="7">
        <v>9.0</v>
      </c>
      <c r="Z23" s="7" t="s">
        <v>92</v>
      </c>
      <c r="AA23" s="7">
        <v>3481.167</v>
      </c>
      <c r="AB23" s="7">
        <v>2275.958</v>
      </c>
      <c r="AC23" s="7">
        <v>2412.788</v>
      </c>
      <c r="AD23" s="7">
        <v>5320.602</v>
      </c>
      <c r="AF23" s="7">
        <v>16.0</v>
      </c>
      <c r="AG23" s="7" t="s">
        <v>250</v>
      </c>
      <c r="AH23" s="7">
        <v>4149.0</v>
      </c>
      <c r="AI23" s="7">
        <v>55862.54599999999</v>
      </c>
      <c r="AJ23" s="7">
        <v>47567.44</v>
      </c>
      <c r="AK23" s="7">
        <v>53771.717</v>
      </c>
    </row>
    <row r="24" ht="15.75" customHeight="1">
      <c r="A24" s="7">
        <v>30.0</v>
      </c>
      <c r="B24" s="7" t="s">
        <v>259</v>
      </c>
      <c r="C24" s="7">
        <v>0.0</v>
      </c>
      <c r="D24" s="7">
        <v>0.0</v>
      </c>
      <c r="E24" s="7">
        <v>0.0</v>
      </c>
      <c r="F24" s="7">
        <v>0.0</v>
      </c>
      <c r="G24" s="7">
        <v>0.0</v>
      </c>
      <c r="I24" s="7">
        <v>14.0</v>
      </c>
      <c r="J24" s="7" t="s">
        <v>257</v>
      </c>
      <c r="K24" s="7">
        <v>0.0</v>
      </c>
      <c r="L24" s="7">
        <v>0.0</v>
      </c>
      <c r="M24" s="7">
        <v>10409.053</v>
      </c>
      <c r="N24" s="7">
        <v>24411.839</v>
      </c>
      <c r="O24" s="7">
        <v>29587.734</v>
      </c>
      <c r="Q24" s="7">
        <v>13.0</v>
      </c>
      <c r="R24" s="7" t="s">
        <v>249</v>
      </c>
      <c r="S24" s="7">
        <v>0.0</v>
      </c>
      <c r="T24" s="7">
        <v>0.0</v>
      </c>
      <c r="U24" s="7">
        <v>0.0</v>
      </c>
      <c r="V24" s="7">
        <v>0.0</v>
      </c>
      <c r="W24" s="7">
        <v>428.989</v>
      </c>
      <c r="Y24" s="7">
        <v>10.0</v>
      </c>
      <c r="Z24" s="7" t="s">
        <v>238</v>
      </c>
      <c r="AA24" s="7">
        <v>0.0</v>
      </c>
      <c r="AB24" s="7">
        <v>0.0</v>
      </c>
      <c r="AC24" s="7">
        <v>0.0</v>
      </c>
      <c r="AD24" s="7">
        <v>0.0</v>
      </c>
      <c r="AF24" s="7" t="s">
        <v>258</v>
      </c>
    </row>
    <row r="25" ht="15.75" customHeight="1">
      <c r="A25" s="7">
        <v>32.0</v>
      </c>
      <c r="B25" s="7" t="s">
        <v>270</v>
      </c>
      <c r="C25" s="7">
        <v>2944.895</v>
      </c>
      <c r="D25" s="7">
        <v>9056.64</v>
      </c>
      <c r="E25" s="7">
        <v>4863.318</v>
      </c>
      <c r="F25" s="7">
        <v>12874.545</v>
      </c>
      <c r="G25" s="7">
        <v>32998.625</v>
      </c>
      <c r="I25" s="7">
        <v>15.0</v>
      </c>
      <c r="J25" s="7" t="s">
        <v>250</v>
      </c>
      <c r="K25" s="7">
        <v>489171.0</v>
      </c>
      <c r="L25" s="7">
        <v>559173.0</v>
      </c>
      <c r="M25" s="7">
        <v>658388.6570000001</v>
      </c>
      <c r="N25" s="7">
        <v>747714.175</v>
      </c>
      <c r="O25" s="7">
        <v>731542.0810000001</v>
      </c>
      <c r="Q25" s="7">
        <v>15.0</v>
      </c>
      <c r="R25" s="7" t="s">
        <v>250</v>
      </c>
      <c r="S25" s="7">
        <v>156739.98</v>
      </c>
      <c r="T25" s="7">
        <v>50343.569</v>
      </c>
      <c r="U25" s="7">
        <v>69251.92700000001</v>
      </c>
      <c r="V25" s="7">
        <v>80296.96200000001</v>
      </c>
      <c r="W25" s="7">
        <v>89011.252</v>
      </c>
      <c r="Y25" s="7">
        <v>11.0</v>
      </c>
      <c r="Z25" s="7" t="s">
        <v>245</v>
      </c>
      <c r="AA25" s="7">
        <v>0.0</v>
      </c>
      <c r="AB25" s="7">
        <v>3099.5</v>
      </c>
      <c r="AC25" s="7">
        <v>2798.307</v>
      </c>
      <c r="AD25" s="7">
        <v>0.0</v>
      </c>
      <c r="AF25" s="7">
        <v>21.0</v>
      </c>
      <c r="AG25" s="7" t="s">
        <v>241</v>
      </c>
      <c r="AH25" s="7">
        <v>0.0</v>
      </c>
      <c r="AI25" s="7">
        <v>28392.108</v>
      </c>
      <c r="AJ25" s="7">
        <v>28763.889</v>
      </c>
      <c r="AK25" s="7">
        <v>33008.888</v>
      </c>
    </row>
    <row r="26" ht="15.75" customHeight="1">
      <c r="A26" s="7">
        <v>34.0</v>
      </c>
      <c r="B26" s="7" t="s">
        <v>305</v>
      </c>
      <c r="C26" s="7">
        <v>40909.739</v>
      </c>
      <c r="D26" s="7">
        <v>38454.37</v>
      </c>
      <c r="E26" s="7">
        <v>38454.37</v>
      </c>
      <c r="F26" s="7">
        <v>38454.37</v>
      </c>
      <c r="G26" s="7">
        <v>40223.788</v>
      </c>
      <c r="I26" s="7" t="s">
        <v>258</v>
      </c>
      <c r="Q26" s="7" t="s">
        <v>258</v>
      </c>
      <c r="Y26" s="7">
        <v>12.0</v>
      </c>
      <c r="Z26" s="7" t="s">
        <v>249</v>
      </c>
      <c r="AA26" s="7">
        <v>267.691</v>
      </c>
      <c r="AB26" s="7">
        <v>1287.722</v>
      </c>
      <c r="AC26" s="7">
        <v>1566.337</v>
      </c>
      <c r="AD26" s="7">
        <v>0.0</v>
      </c>
      <c r="AF26" s="7">
        <v>26.0</v>
      </c>
      <c r="AG26" s="7" t="s">
        <v>67</v>
      </c>
      <c r="AH26" s="7">
        <v>0.0</v>
      </c>
      <c r="AI26" s="7">
        <v>0.0</v>
      </c>
      <c r="AJ26" s="7">
        <v>0.0</v>
      </c>
      <c r="AK26" s="7">
        <v>165.382</v>
      </c>
    </row>
    <row r="27" ht="15.75" customHeight="1">
      <c r="A27" s="7">
        <v>38.0</v>
      </c>
      <c r="B27" s="7" t="s">
        <v>262</v>
      </c>
      <c r="C27" s="7">
        <v>43854.634</v>
      </c>
      <c r="D27" s="7">
        <v>47511.01</v>
      </c>
      <c r="E27" s="7">
        <v>43317.688</v>
      </c>
      <c r="F27" s="7">
        <v>51328.915</v>
      </c>
      <c r="G27" s="7">
        <v>73222.413</v>
      </c>
      <c r="I27" s="7">
        <v>16.0</v>
      </c>
      <c r="J27" s="7" t="s">
        <v>247</v>
      </c>
      <c r="K27" s="7">
        <v>58054.0</v>
      </c>
      <c r="L27" s="7">
        <v>51873.0</v>
      </c>
      <c r="M27" s="7">
        <v>0.0</v>
      </c>
      <c r="N27" s="7">
        <v>0.0</v>
      </c>
      <c r="O27" s="7">
        <v>0.0</v>
      </c>
      <c r="Q27" s="7">
        <v>16.0</v>
      </c>
      <c r="R27" s="7" t="s">
        <v>269</v>
      </c>
      <c r="S27" s="7">
        <v>10925.0</v>
      </c>
      <c r="T27" s="7">
        <v>26300.778</v>
      </c>
      <c r="U27" s="7">
        <v>23715.271</v>
      </c>
      <c r="V27" s="7">
        <v>28567.047</v>
      </c>
      <c r="W27" s="7">
        <v>29221.778</v>
      </c>
      <c r="Y27" s="7">
        <v>13.0</v>
      </c>
      <c r="Z27" s="7" t="s">
        <v>261</v>
      </c>
      <c r="AF27" s="7">
        <v>28.0</v>
      </c>
      <c r="AG27" s="7" t="s">
        <v>265</v>
      </c>
      <c r="AH27" s="7">
        <v>0.0</v>
      </c>
      <c r="AI27" s="7">
        <v>30400.785</v>
      </c>
      <c r="AJ27" s="7">
        <v>30955.847</v>
      </c>
      <c r="AK27" s="7">
        <v>33174.27</v>
      </c>
    </row>
    <row r="28" ht="15.75" customHeight="1">
      <c r="A28" s="7">
        <v>39.0</v>
      </c>
      <c r="B28" s="7" t="s">
        <v>264</v>
      </c>
      <c r="C28" s="7">
        <v>65298.51</v>
      </c>
      <c r="D28" s="7">
        <v>63658.78</v>
      </c>
      <c r="E28" s="7">
        <v>70575.686</v>
      </c>
      <c r="F28" s="7">
        <v>81517.547</v>
      </c>
      <c r="G28" s="7">
        <v>102146.252</v>
      </c>
      <c r="I28" s="7">
        <v>17.0</v>
      </c>
      <c r="J28" s="7" t="s">
        <v>252</v>
      </c>
      <c r="K28" s="7">
        <v>42183.0</v>
      </c>
      <c r="L28" s="7">
        <v>43456.0</v>
      </c>
      <c r="M28" s="7">
        <v>0.0</v>
      </c>
      <c r="N28" s="7">
        <v>0.0</v>
      </c>
      <c r="O28" s="7">
        <v>0.0</v>
      </c>
      <c r="Q28" s="7">
        <v>27.0</v>
      </c>
      <c r="R28" s="7" t="s">
        <v>265</v>
      </c>
      <c r="S28" s="7">
        <v>25948.0</v>
      </c>
      <c r="T28" s="7">
        <v>26300.778</v>
      </c>
      <c r="U28" s="7">
        <v>23715.271</v>
      </c>
      <c r="V28" s="7">
        <v>28567.047</v>
      </c>
      <c r="W28" s="7">
        <v>29221.778</v>
      </c>
      <c r="Y28" s="7">
        <v>14.0</v>
      </c>
      <c r="Z28" s="7" t="s">
        <v>263</v>
      </c>
      <c r="AA28" s="7">
        <v>947.235</v>
      </c>
      <c r="AB28" s="7">
        <v>2322.586</v>
      </c>
      <c r="AC28" s="7">
        <v>3694.445</v>
      </c>
      <c r="AD28" s="7">
        <v>0.0</v>
      </c>
      <c r="AF28" s="7">
        <v>29.0</v>
      </c>
      <c r="AG28" s="7" t="s">
        <v>260</v>
      </c>
      <c r="AH28" s="7">
        <v>0.0</v>
      </c>
      <c r="AI28" s="7">
        <v>-18449.081</v>
      </c>
      <c r="AJ28" s="7">
        <v>-20298.672</v>
      </c>
      <c r="AK28" s="7">
        <v>-22202.915</v>
      </c>
    </row>
    <row r="29" ht="15.75" customHeight="1">
      <c r="I29" s="7">
        <v>18.0</v>
      </c>
      <c r="J29" s="7" t="s">
        <v>254</v>
      </c>
      <c r="K29" s="7">
        <v>7791.0</v>
      </c>
      <c r="L29" s="7">
        <v>5995.0</v>
      </c>
      <c r="M29" s="7">
        <v>0.0</v>
      </c>
      <c r="N29" s="7">
        <v>0.0</v>
      </c>
      <c r="O29" s="7">
        <v>0.0</v>
      </c>
      <c r="Q29" s="7">
        <v>28.0</v>
      </c>
      <c r="R29" s="7" t="s">
        <v>260</v>
      </c>
      <c r="S29" s="7">
        <v>0.0</v>
      </c>
      <c r="T29" s="7">
        <v>0.0</v>
      </c>
      <c r="U29" s="7">
        <v>0.0</v>
      </c>
      <c r="V29" s="7">
        <v>0.0</v>
      </c>
      <c r="W29" s="7">
        <v>0.0</v>
      </c>
      <c r="Y29" s="7">
        <v>15.0</v>
      </c>
      <c r="Z29" s="7" t="s">
        <v>257</v>
      </c>
      <c r="AA29" s="7">
        <v>0.0</v>
      </c>
      <c r="AB29" s="7">
        <v>0.0</v>
      </c>
      <c r="AC29" s="7">
        <v>0.0</v>
      </c>
      <c r="AD29" s="7">
        <v>71.945</v>
      </c>
      <c r="AF29" s="7">
        <v>30.0</v>
      </c>
      <c r="AG29" s="7" t="s">
        <v>259</v>
      </c>
      <c r="AH29" s="7">
        <v>0.0</v>
      </c>
      <c r="AI29" s="7">
        <v>11951.704</v>
      </c>
      <c r="AJ29" s="7">
        <v>10657.175</v>
      </c>
      <c r="AK29" s="7">
        <v>10971.355</v>
      </c>
    </row>
    <row r="30" ht="15.75" customHeight="1">
      <c r="A30" s="7" t="s">
        <v>267</v>
      </c>
      <c r="I30" s="7">
        <v>20.0</v>
      </c>
      <c r="J30" s="7" t="s">
        <v>241</v>
      </c>
      <c r="K30" s="7">
        <v>142121.0</v>
      </c>
      <c r="L30" s="7">
        <v>124902.0</v>
      </c>
      <c r="M30" s="7">
        <v>183901.697</v>
      </c>
      <c r="N30" s="7">
        <v>221052.018</v>
      </c>
      <c r="O30" s="7">
        <v>95615.30599999963</v>
      </c>
      <c r="Q30" s="7">
        <v>29.0</v>
      </c>
      <c r="R30" s="7" t="s">
        <v>259</v>
      </c>
      <c r="S30" s="7">
        <v>25948.0</v>
      </c>
      <c r="T30" s="7">
        <v>26300.778</v>
      </c>
      <c r="U30" s="7">
        <v>23715.271</v>
      </c>
      <c r="V30" s="7">
        <v>28567.047</v>
      </c>
      <c r="W30" s="7">
        <v>29221.778</v>
      </c>
      <c r="Y30" s="7">
        <v>16.0</v>
      </c>
      <c r="Z30" s="7" t="s">
        <v>250</v>
      </c>
      <c r="AA30" s="7">
        <v>17118.68</v>
      </c>
      <c r="AB30" s="7">
        <v>22603.33</v>
      </c>
      <c r="AC30" s="7">
        <v>41829.318</v>
      </c>
      <c r="AD30" s="7">
        <v>22008.315</v>
      </c>
      <c r="AF30" s="7">
        <v>32.0</v>
      </c>
      <c r="AG30" s="7" t="s">
        <v>270</v>
      </c>
      <c r="AH30" s="7">
        <v>0.0</v>
      </c>
      <c r="AI30" s="7">
        <v>11319.385</v>
      </c>
      <c r="AJ30" s="7">
        <v>20216.327</v>
      </c>
      <c r="AK30" s="7">
        <v>14995.304</v>
      </c>
    </row>
    <row r="31" ht="15.75" customHeight="1">
      <c r="A31" s="7">
        <v>44.0</v>
      </c>
      <c r="B31" s="7" t="s">
        <v>284</v>
      </c>
      <c r="C31" s="7">
        <v>0.0</v>
      </c>
      <c r="D31" s="7">
        <v>0.0</v>
      </c>
      <c r="E31" s="7">
        <v>0.0</v>
      </c>
      <c r="F31" s="7">
        <v>0.0</v>
      </c>
      <c r="G31" s="7">
        <v>352.171</v>
      </c>
      <c r="I31" s="7">
        <v>22.0</v>
      </c>
      <c r="J31" s="7" t="s">
        <v>242</v>
      </c>
      <c r="K31" s="7">
        <v>4450.0</v>
      </c>
      <c r="L31" s="7">
        <v>4298.0</v>
      </c>
      <c r="M31" s="7">
        <v>0.0</v>
      </c>
      <c r="N31" s="7">
        <v>0.0</v>
      </c>
      <c r="O31" s="7">
        <v>0.0</v>
      </c>
      <c r="Q31" s="7">
        <v>30.0</v>
      </c>
      <c r="R31" s="7" t="s">
        <v>282</v>
      </c>
      <c r="S31" s="7">
        <v>30351.0</v>
      </c>
      <c r="T31" s="7">
        <v>30351.24</v>
      </c>
      <c r="U31" s="7">
        <v>30351.24</v>
      </c>
      <c r="V31" s="7">
        <v>30351.24</v>
      </c>
      <c r="W31" s="7">
        <v>30351.24</v>
      </c>
      <c r="Y31" s="7" t="s">
        <v>258</v>
      </c>
      <c r="AF31" s="7">
        <v>38.0</v>
      </c>
      <c r="AG31" s="7" t="s">
        <v>262</v>
      </c>
      <c r="AH31" s="7">
        <v>0.0</v>
      </c>
      <c r="AI31" s="7">
        <v>11319.385</v>
      </c>
      <c r="AJ31" s="7">
        <v>20216.327</v>
      </c>
      <c r="AK31" s="7">
        <v>14995.304</v>
      </c>
    </row>
    <row r="32" ht="15.75" customHeight="1">
      <c r="A32" s="7">
        <v>47.0</v>
      </c>
      <c r="B32" s="7" t="s">
        <v>307</v>
      </c>
      <c r="C32" s="7">
        <v>40675.406</v>
      </c>
      <c r="D32" s="7">
        <v>29714.975</v>
      </c>
      <c r="E32" s="7">
        <v>33648.575</v>
      </c>
      <c r="F32" s="7">
        <v>21083.726</v>
      </c>
      <c r="G32" s="7">
        <v>0.0</v>
      </c>
      <c r="I32" s="7">
        <v>23.0</v>
      </c>
      <c r="J32" s="7" t="s">
        <v>243</v>
      </c>
      <c r="K32" s="7">
        <v>15355.0</v>
      </c>
      <c r="L32" s="7">
        <v>15000.0</v>
      </c>
      <c r="M32" s="7">
        <v>0.0</v>
      </c>
      <c r="N32" s="7">
        <v>0.0</v>
      </c>
      <c r="O32" s="7">
        <v>0.0</v>
      </c>
      <c r="Q32" s="7">
        <v>31.0</v>
      </c>
      <c r="R32" s="7" t="s">
        <v>270</v>
      </c>
      <c r="S32" s="7">
        <v>0.0</v>
      </c>
      <c r="T32" s="7">
        <v>7753.363000000041</v>
      </c>
      <c r="U32" s="7">
        <v>2320.991999999969</v>
      </c>
      <c r="V32" s="7">
        <v>6389.589</v>
      </c>
      <c r="W32" s="7">
        <v>19758.36</v>
      </c>
      <c r="Y32" s="7">
        <v>17.0</v>
      </c>
      <c r="Z32" s="7" t="s">
        <v>247</v>
      </c>
      <c r="AF32" s="7">
        <v>39.0</v>
      </c>
      <c r="AG32" s="7" t="s">
        <v>264</v>
      </c>
      <c r="AH32" s="7">
        <v>4149.0</v>
      </c>
      <c r="AI32" s="7">
        <v>79133.635</v>
      </c>
      <c r="AJ32" s="7">
        <v>78440.942</v>
      </c>
      <c r="AK32" s="7">
        <v>79738.37599999999</v>
      </c>
    </row>
    <row r="33" ht="15.75" customHeight="1">
      <c r="A33" s="7">
        <v>49.0</v>
      </c>
      <c r="B33" s="7" t="s">
        <v>293</v>
      </c>
      <c r="C33" s="7">
        <v>0.0</v>
      </c>
      <c r="D33" s="7">
        <v>167.652</v>
      </c>
      <c r="E33" s="7">
        <v>0.0</v>
      </c>
      <c r="F33" s="7">
        <v>0.0</v>
      </c>
      <c r="G33" s="7">
        <v>29828.915</v>
      </c>
      <c r="I33" s="7">
        <v>24.0</v>
      </c>
      <c r="J33" s="7" t="s">
        <v>244</v>
      </c>
      <c r="K33" s="7">
        <v>39919.0</v>
      </c>
      <c r="L33" s="7">
        <v>40033.0</v>
      </c>
      <c r="M33" s="7">
        <v>0.0</v>
      </c>
      <c r="N33" s="7">
        <v>0.0</v>
      </c>
      <c r="O33" s="7">
        <v>0.0</v>
      </c>
      <c r="Q33" s="7">
        <v>32.0</v>
      </c>
      <c r="R33" s="7" t="s">
        <v>287</v>
      </c>
      <c r="S33" s="7">
        <v>4062.0</v>
      </c>
      <c r="T33" s="7">
        <v>15287.065</v>
      </c>
      <c r="U33" s="7">
        <v>12178.625</v>
      </c>
      <c r="V33" s="7">
        <v>11363.427</v>
      </c>
      <c r="W33" s="7">
        <v>10791.562</v>
      </c>
      <c r="Y33" s="7">
        <v>18.0</v>
      </c>
      <c r="Z33" s="7" t="s">
        <v>252</v>
      </c>
    </row>
    <row r="34" ht="15.75" customHeight="1">
      <c r="A34" s="7">
        <v>51.0</v>
      </c>
      <c r="B34" s="7" t="s">
        <v>281</v>
      </c>
      <c r="C34" s="7">
        <v>117.53</v>
      </c>
      <c r="D34" s="7">
        <v>426.734</v>
      </c>
      <c r="E34" s="7">
        <v>4423.784</v>
      </c>
      <c r="F34" s="7">
        <v>9448.722</v>
      </c>
      <c r="G34" s="7">
        <v>11321.268</v>
      </c>
      <c r="I34" s="7">
        <v>26.0</v>
      </c>
      <c r="J34" s="7" t="s">
        <v>248</v>
      </c>
      <c r="K34" s="7">
        <v>6462.0</v>
      </c>
      <c r="L34" s="7">
        <v>9819.0</v>
      </c>
      <c r="M34" s="7">
        <v>0.0</v>
      </c>
      <c r="N34" s="7">
        <v>0.0</v>
      </c>
      <c r="O34" s="7">
        <v>0.0</v>
      </c>
      <c r="Q34" s="7">
        <v>33.0</v>
      </c>
      <c r="R34" s="7" t="s">
        <v>291</v>
      </c>
      <c r="S34" s="7">
        <v>0.0</v>
      </c>
      <c r="T34" s="7">
        <v>6188.536</v>
      </c>
      <c r="U34" s="7">
        <v>1095.01</v>
      </c>
      <c r="V34" s="7">
        <v>2592.901</v>
      </c>
      <c r="W34" s="7">
        <v>2145.317</v>
      </c>
      <c r="Y34" s="7">
        <v>19.0</v>
      </c>
      <c r="Z34" s="7" t="s">
        <v>254</v>
      </c>
      <c r="AB34" s="7">
        <v>1689.486</v>
      </c>
      <c r="AC34" s="7">
        <v>2505.577</v>
      </c>
      <c r="AF34" s="7" t="s">
        <v>267</v>
      </c>
    </row>
    <row r="35" ht="15.75" customHeight="1">
      <c r="A35" s="7">
        <v>54.0</v>
      </c>
      <c r="B35" s="7" t="s">
        <v>296</v>
      </c>
      <c r="C35" s="7">
        <v>40792.936</v>
      </c>
      <c r="D35" s="7">
        <v>30309.361</v>
      </c>
      <c r="E35" s="7">
        <v>38072.359</v>
      </c>
      <c r="F35" s="7">
        <v>30532.448</v>
      </c>
      <c r="G35" s="7">
        <v>41502.354</v>
      </c>
      <c r="I35" s="7">
        <v>27.0</v>
      </c>
      <c r="J35" s="7" t="s">
        <v>265</v>
      </c>
      <c r="K35" s="7">
        <v>316335.0</v>
      </c>
      <c r="L35" s="7">
        <v>295376.0</v>
      </c>
      <c r="M35" s="7">
        <v>183901.697</v>
      </c>
      <c r="N35" s="7">
        <v>221052.018</v>
      </c>
      <c r="O35" s="7">
        <v>95615.30599999963</v>
      </c>
      <c r="Q35" s="7">
        <v>34.0</v>
      </c>
      <c r="R35" s="7" t="s">
        <v>295</v>
      </c>
      <c r="S35" s="7">
        <v>0.0</v>
      </c>
      <c r="T35" s="7">
        <v>5595.623</v>
      </c>
      <c r="U35" s="7">
        <v>5139.42</v>
      </c>
      <c r="V35" s="7">
        <v>6574.83</v>
      </c>
      <c r="W35" s="7">
        <v>7982.494</v>
      </c>
      <c r="Y35" s="7">
        <v>20.0</v>
      </c>
      <c r="Z35" s="7" t="s">
        <v>272</v>
      </c>
      <c r="AF35" s="7">
        <v>44.0</v>
      </c>
      <c r="AG35" s="7" t="s">
        <v>284</v>
      </c>
      <c r="AH35" s="7">
        <v>0.0</v>
      </c>
      <c r="AI35" s="7">
        <v>9493.161</v>
      </c>
      <c r="AJ35" s="7">
        <v>8845.636</v>
      </c>
      <c r="AK35" s="7">
        <v>11780.171</v>
      </c>
    </row>
    <row r="36" ht="15.75" customHeight="1">
      <c r="A36" s="7" t="s">
        <v>271</v>
      </c>
      <c r="I36" s="7">
        <v>28.0</v>
      </c>
      <c r="J36" s="7" t="s">
        <v>260</v>
      </c>
      <c r="K36" s="7">
        <v>-199056.718</v>
      </c>
      <c r="L36" s="7">
        <v>-190039.0</v>
      </c>
      <c r="M36" s="7">
        <v>0.0</v>
      </c>
      <c r="N36" s="7">
        <v>0.0</v>
      </c>
      <c r="O36" s="7">
        <v>0.0</v>
      </c>
      <c r="Q36" s="7">
        <v>35.0</v>
      </c>
      <c r="R36" s="7" t="s">
        <v>299</v>
      </c>
      <c r="S36" s="7">
        <v>0.0</v>
      </c>
      <c r="T36" s="7">
        <v>1.728</v>
      </c>
      <c r="U36" s="7">
        <v>34.374</v>
      </c>
      <c r="V36" s="7">
        <v>0.0</v>
      </c>
      <c r="W36" s="7">
        <v>0.0</v>
      </c>
      <c r="Y36" s="7">
        <v>21.0</v>
      </c>
      <c r="Z36" s="7" t="s">
        <v>241</v>
      </c>
      <c r="AB36" s="7">
        <v>945.096</v>
      </c>
      <c r="AC36" s="7">
        <v>683.986</v>
      </c>
      <c r="AF36" s="7">
        <v>50.0</v>
      </c>
      <c r="AG36" s="7" t="s">
        <v>277</v>
      </c>
      <c r="AH36" s="7">
        <v>0.0</v>
      </c>
      <c r="AI36" s="7">
        <v>1459.251</v>
      </c>
      <c r="AJ36" s="7">
        <v>1088.722</v>
      </c>
      <c r="AK36" s="7">
        <v>839.323</v>
      </c>
    </row>
    <row r="37" ht="15.75" customHeight="1">
      <c r="A37" s="7">
        <v>57.0</v>
      </c>
      <c r="B37" s="7" t="s">
        <v>268</v>
      </c>
      <c r="C37" s="7">
        <v>0.0</v>
      </c>
      <c r="D37" s="7">
        <v>0.0</v>
      </c>
      <c r="E37" s="7">
        <v>3227.955</v>
      </c>
      <c r="F37" s="7">
        <v>3844.663</v>
      </c>
      <c r="G37" s="7">
        <v>0.0</v>
      </c>
      <c r="I37" s="7">
        <v>29.0</v>
      </c>
      <c r="J37" s="7" t="s">
        <v>259</v>
      </c>
      <c r="K37" s="7">
        <v>117278.282</v>
      </c>
      <c r="L37" s="7">
        <v>105337.0</v>
      </c>
      <c r="M37" s="7">
        <v>183901.697</v>
      </c>
      <c r="N37" s="7">
        <v>221052.018</v>
      </c>
      <c r="O37" s="7">
        <v>95615.30599999963</v>
      </c>
      <c r="Q37" s="7">
        <v>36.0</v>
      </c>
      <c r="R37" s="7" t="s">
        <v>301</v>
      </c>
      <c r="S37" s="7">
        <v>0.0</v>
      </c>
      <c r="T37" s="7">
        <v>97601.242</v>
      </c>
      <c r="U37" s="7">
        <v>97601.242</v>
      </c>
      <c r="V37" s="7">
        <v>97601.242</v>
      </c>
      <c r="W37" s="7">
        <v>97601.242</v>
      </c>
      <c r="Y37" s="7">
        <v>22.0</v>
      </c>
      <c r="Z37" s="7" t="s">
        <v>279</v>
      </c>
      <c r="AF37" s="7">
        <v>51.0</v>
      </c>
      <c r="AG37" s="7" t="s">
        <v>281</v>
      </c>
      <c r="AH37" s="7">
        <v>0.0</v>
      </c>
      <c r="AI37" s="7">
        <v>3379.813999999999</v>
      </c>
      <c r="AJ37" s="7">
        <v>3392.147</v>
      </c>
      <c r="AK37" s="7">
        <v>2034.919</v>
      </c>
    </row>
    <row r="38" ht="15.75" customHeight="1">
      <c r="A38" s="7">
        <v>58.0</v>
      </c>
      <c r="B38" s="7" t="s">
        <v>300</v>
      </c>
      <c r="C38" s="7">
        <v>10181.019</v>
      </c>
      <c r="D38" s="7">
        <v>16090.981</v>
      </c>
      <c r="E38" s="7">
        <v>6822.458</v>
      </c>
      <c r="F38" s="7">
        <v>18468.018</v>
      </c>
      <c r="G38" s="7">
        <v>21738.022</v>
      </c>
      <c r="I38" s="7">
        <v>31.0</v>
      </c>
      <c r="J38" s="7" t="s">
        <v>270</v>
      </c>
      <c r="K38" s="7">
        <v>316380.0</v>
      </c>
      <c r="L38" s="7">
        <v>332106.0</v>
      </c>
      <c r="M38" s="7">
        <v>7311.429</v>
      </c>
      <c r="N38" s="7">
        <v>16609.091</v>
      </c>
      <c r="O38" s="7">
        <v>307871.699</v>
      </c>
      <c r="Q38" s="7">
        <v>37.0</v>
      </c>
      <c r="R38" s="7" t="s">
        <v>262</v>
      </c>
      <c r="S38" s="7">
        <v>34413.0</v>
      </c>
      <c r="T38" s="7">
        <v>162778.797</v>
      </c>
      <c r="U38" s="7">
        <v>148720.903</v>
      </c>
      <c r="V38" s="7">
        <v>154873.229</v>
      </c>
      <c r="W38" s="7">
        <v>168630.215</v>
      </c>
      <c r="Y38" s="7">
        <v>23.0</v>
      </c>
      <c r="Z38" s="7" t="s">
        <v>242</v>
      </c>
      <c r="AF38" s="7">
        <v>54.0</v>
      </c>
      <c r="AG38" s="7" t="s">
        <v>296</v>
      </c>
      <c r="AH38" s="7">
        <v>0.0</v>
      </c>
      <c r="AI38" s="7">
        <v>22040.14</v>
      </c>
      <c r="AJ38" s="7">
        <v>20790.369</v>
      </c>
      <c r="AK38" s="7">
        <v>14654.413</v>
      </c>
    </row>
    <row r="39" ht="15.75" customHeight="1">
      <c r="A39" s="7">
        <v>61.0</v>
      </c>
      <c r="B39" s="7" t="s">
        <v>326</v>
      </c>
      <c r="C39" s="7">
        <v>0.0</v>
      </c>
      <c r="D39" s="7">
        <v>40.0</v>
      </c>
      <c r="E39" s="7">
        <v>0.0</v>
      </c>
      <c r="F39" s="7">
        <v>0.0</v>
      </c>
      <c r="G39" s="7">
        <v>0.0</v>
      </c>
      <c r="I39" s="7">
        <v>35.0</v>
      </c>
      <c r="J39" s="7" t="s">
        <v>303</v>
      </c>
      <c r="K39" s="7">
        <v>0.0</v>
      </c>
      <c r="L39" s="7">
        <v>0.0</v>
      </c>
      <c r="M39" s="7">
        <v>39483.25199999994</v>
      </c>
      <c r="N39" s="7">
        <v>50117.098</v>
      </c>
      <c r="O39" s="7">
        <v>0.0</v>
      </c>
      <c r="Q39" s="7">
        <v>38.0</v>
      </c>
      <c r="R39" s="7" t="s">
        <v>264</v>
      </c>
      <c r="S39" s="7">
        <v>217100.98</v>
      </c>
      <c r="T39" s="7">
        <v>239423.144</v>
      </c>
      <c r="U39" s="7">
        <v>241688.101</v>
      </c>
      <c r="V39" s="7">
        <v>263737.238</v>
      </c>
      <c r="W39" s="7">
        <v>286863.245</v>
      </c>
      <c r="Y39" s="7">
        <v>24.0</v>
      </c>
      <c r="Z39" s="7" t="s">
        <v>243</v>
      </c>
      <c r="AB39" s="7">
        <v>20.875</v>
      </c>
      <c r="AC39" s="7">
        <v>15.342</v>
      </c>
      <c r="AF39" s="7" t="s">
        <v>271</v>
      </c>
    </row>
    <row r="40" ht="15.75" customHeight="1">
      <c r="A40" s="7">
        <v>62.0</v>
      </c>
      <c r="B40" s="7" t="s">
        <v>306</v>
      </c>
      <c r="C40" s="7">
        <v>10181.019</v>
      </c>
      <c r="D40" s="7">
        <v>16130.981</v>
      </c>
      <c r="E40" s="7">
        <v>10050.413</v>
      </c>
      <c r="F40" s="7">
        <v>22312.681</v>
      </c>
      <c r="G40" s="7">
        <v>21738.022</v>
      </c>
      <c r="I40" s="7">
        <v>33.0</v>
      </c>
      <c r="J40" s="7" t="s">
        <v>305</v>
      </c>
      <c r="K40" s="7">
        <v>0.0</v>
      </c>
      <c r="L40" s="7">
        <v>0.0</v>
      </c>
      <c r="M40" s="7">
        <v>134425.41</v>
      </c>
      <c r="N40" s="7">
        <v>134425.41</v>
      </c>
      <c r="O40" s="7">
        <v>134425.41</v>
      </c>
      <c r="Y40" s="7">
        <v>25.0</v>
      </c>
      <c r="Z40" s="7" t="s">
        <v>244</v>
      </c>
      <c r="AB40" s="7">
        <v>5.576</v>
      </c>
      <c r="AC40" s="7">
        <v>3.417</v>
      </c>
      <c r="AF40" s="7">
        <v>55.0</v>
      </c>
      <c r="AG40" s="7" t="s">
        <v>294</v>
      </c>
      <c r="AH40" s="7">
        <v>0.0</v>
      </c>
      <c r="AI40" s="7">
        <v>18958.24</v>
      </c>
      <c r="AJ40" s="7">
        <v>10882.094</v>
      </c>
      <c r="AK40" s="7">
        <v>10884.524</v>
      </c>
    </row>
    <row r="41" ht="15.75" customHeight="1">
      <c r="A41" s="7">
        <v>63.0</v>
      </c>
      <c r="B41" s="7" t="s">
        <v>273</v>
      </c>
      <c r="C41" s="7">
        <v>50973.955</v>
      </c>
      <c r="D41" s="7">
        <v>46440.342</v>
      </c>
      <c r="E41" s="7">
        <v>48122.772</v>
      </c>
      <c r="F41" s="7">
        <v>52845.129</v>
      </c>
      <c r="G41" s="7">
        <v>63240.376</v>
      </c>
      <c r="I41" s="7">
        <v>34.0</v>
      </c>
      <c r="J41" s="7" t="s">
        <v>309</v>
      </c>
      <c r="K41" s="7">
        <v>0.0</v>
      </c>
      <c r="L41" s="7">
        <v>0.0</v>
      </c>
      <c r="M41" s="7">
        <v>88271.098</v>
      </c>
      <c r="N41" s="7">
        <v>81032.767</v>
      </c>
      <c r="O41" s="7">
        <v>0.0</v>
      </c>
      <c r="Q41" s="7" t="s">
        <v>267</v>
      </c>
      <c r="Y41" s="7">
        <v>26.0</v>
      </c>
      <c r="Z41" s="7" t="s">
        <v>67</v>
      </c>
      <c r="AA41" s="7">
        <v>0.0</v>
      </c>
      <c r="AB41" s="7">
        <v>0.0</v>
      </c>
      <c r="AC41" s="7">
        <v>0.0</v>
      </c>
      <c r="AD41" s="7">
        <v>0.0</v>
      </c>
      <c r="AF41" s="7">
        <v>58.0</v>
      </c>
      <c r="AG41" s="7" t="s">
        <v>300</v>
      </c>
      <c r="AH41" s="7">
        <v>0.0</v>
      </c>
      <c r="AI41" s="7">
        <v>818.466</v>
      </c>
      <c r="AJ41" s="7">
        <v>2164.079</v>
      </c>
      <c r="AK41" s="7">
        <v>0.0</v>
      </c>
    </row>
    <row r="42" ht="15.75" customHeight="1">
      <c r="I42" s="7">
        <v>37.0</v>
      </c>
      <c r="J42" s="7" t="s">
        <v>262</v>
      </c>
      <c r="K42" s="7">
        <v>316380.0</v>
      </c>
      <c r="L42" s="7">
        <v>332106.0</v>
      </c>
      <c r="M42" s="7">
        <v>269491.189</v>
      </c>
      <c r="N42" s="7">
        <v>282184.366</v>
      </c>
      <c r="O42" s="7">
        <v>442297.1090000001</v>
      </c>
      <c r="Q42" s="7">
        <v>39.0</v>
      </c>
      <c r="R42" s="7" t="s">
        <v>318</v>
      </c>
      <c r="S42" s="7">
        <v>338.0</v>
      </c>
      <c r="T42" s="7">
        <v>7277.919</v>
      </c>
      <c r="U42" s="7">
        <v>6342.868</v>
      </c>
      <c r="V42" s="7">
        <v>16625.629</v>
      </c>
      <c r="W42" s="7">
        <v>25894.625</v>
      </c>
      <c r="Y42" s="7">
        <v>27.0</v>
      </c>
      <c r="Z42" s="7" t="s">
        <v>248</v>
      </c>
      <c r="AA42" s="7">
        <v>45079.636</v>
      </c>
      <c r="AD42" s="7">
        <v>5083.783</v>
      </c>
      <c r="AF42" s="7">
        <v>60.0</v>
      </c>
      <c r="AG42" s="7" t="s">
        <v>304</v>
      </c>
      <c r="AH42" s="7">
        <v>0.0</v>
      </c>
      <c r="AI42" s="7">
        <v>410.0590000000011</v>
      </c>
      <c r="AJ42" s="7">
        <v>6795.92</v>
      </c>
      <c r="AK42" s="7">
        <v>13575.185</v>
      </c>
    </row>
    <row r="43" ht="15.75" customHeight="1">
      <c r="A43" s="7" t="s">
        <v>331</v>
      </c>
      <c r="I43" s="7">
        <v>38.0</v>
      </c>
      <c r="J43" s="7" t="s">
        <v>264</v>
      </c>
      <c r="K43" s="7">
        <v>922829.282</v>
      </c>
      <c r="L43" s="7">
        <v>996616.0</v>
      </c>
      <c r="M43" s="7">
        <v>1111781.543</v>
      </c>
      <c r="N43" s="7">
        <v>1250950.559</v>
      </c>
      <c r="O43" s="7">
        <v>1269454.496</v>
      </c>
      <c r="Q43" s="7">
        <v>42.0</v>
      </c>
      <c r="R43" s="7" t="s">
        <v>314</v>
      </c>
      <c r="S43" s="7">
        <v>0.0</v>
      </c>
      <c r="T43" s="7">
        <v>0.0</v>
      </c>
      <c r="U43" s="7">
        <v>0.0</v>
      </c>
      <c r="V43" s="7">
        <v>0.0</v>
      </c>
      <c r="W43" s="7">
        <v>23052.958</v>
      </c>
      <c r="Y43" s="7">
        <v>28.0</v>
      </c>
      <c r="Z43" s="7" t="s">
        <v>265</v>
      </c>
      <c r="AA43" s="7">
        <v>45079.636</v>
      </c>
      <c r="AB43" s="7">
        <v>2661.033</v>
      </c>
      <c r="AC43" s="7">
        <v>3208.322</v>
      </c>
      <c r="AD43" s="7">
        <v>5083.783</v>
      </c>
      <c r="AF43" s="7">
        <v>62.0</v>
      </c>
      <c r="AG43" s="7" t="s">
        <v>306</v>
      </c>
      <c r="AH43" s="7">
        <v>0.0</v>
      </c>
      <c r="AI43" s="7">
        <v>20186.765</v>
      </c>
      <c r="AJ43" s="7">
        <v>19842.093</v>
      </c>
      <c r="AK43" s="7">
        <v>24459.709</v>
      </c>
    </row>
    <row r="44" ht="15.75" customHeight="1">
      <c r="A44" s="7">
        <v>64.0</v>
      </c>
      <c r="B44" s="7" t="s">
        <v>332</v>
      </c>
      <c r="C44" s="7">
        <v>0.2</v>
      </c>
      <c r="D44" s="7">
        <v>0.2</v>
      </c>
      <c r="E44" s="7">
        <v>0.2</v>
      </c>
      <c r="F44" s="7">
        <v>0.2</v>
      </c>
      <c r="G44" s="7">
        <v>0.2</v>
      </c>
      <c r="Q44" s="7">
        <v>43.0</v>
      </c>
      <c r="R44" s="7" t="s">
        <v>284</v>
      </c>
      <c r="S44" s="7">
        <v>7409.0</v>
      </c>
      <c r="T44" s="7">
        <v>8841.711</v>
      </c>
      <c r="U44" s="7">
        <v>10580.451</v>
      </c>
      <c r="V44" s="7">
        <v>14254.249</v>
      </c>
      <c r="W44" s="7">
        <v>18722.91</v>
      </c>
      <c r="Y44" s="7">
        <v>29.0</v>
      </c>
      <c r="Z44" s="7" t="s">
        <v>260</v>
      </c>
      <c r="AF44" s="7">
        <v>63.0</v>
      </c>
      <c r="AG44" s="7" t="s">
        <v>273</v>
      </c>
      <c r="AH44" s="7">
        <v>0.0</v>
      </c>
      <c r="AI44" s="7">
        <v>42226.905</v>
      </c>
      <c r="AJ44" s="7">
        <v>40632.462</v>
      </c>
      <c r="AK44" s="7">
        <v>39114.122</v>
      </c>
    </row>
    <row r="45" ht="15.75" customHeight="1">
      <c r="A45" s="7">
        <v>69.0</v>
      </c>
      <c r="B45" s="7" t="s">
        <v>286</v>
      </c>
      <c r="C45" s="7">
        <v>14324.555</v>
      </c>
      <c r="D45" s="7">
        <v>17218.238</v>
      </c>
      <c r="E45" s="7">
        <v>22452.714</v>
      </c>
      <c r="F45" s="7">
        <v>28672.218</v>
      </c>
      <c r="G45" s="7">
        <v>35115.24</v>
      </c>
      <c r="I45" s="7" t="s">
        <v>267</v>
      </c>
      <c r="Q45" s="7">
        <v>46.0</v>
      </c>
      <c r="R45" s="7" t="s">
        <v>307</v>
      </c>
      <c r="S45" s="7">
        <v>0.0</v>
      </c>
      <c r="T45" s="7">
        <v>1885.574</v>
      </c>
      <c r="U45" s="7">
        <v>1350.257</v>
      </c>
      <c r="V45" s="7">
        <v>1506.6</v>
      </c>
      <c r="W45" s="7">
        <v>2543.829000000001</v>
      </c>
      <c r="Y45" s="7">
        <v>30.0</v>
      </c>
      <c r="Z45" s="7" t="s">
        <v>259</v>
      </c>
      <c r="AA45" s="7">
        <v>45079.636</v>
      </c>
      <c r="AB45" s="7">
        <v>2661.033</v>
      </c>
      <c r="AC45" s="7">
        <v>3208.322</v>
      </c>
      <c r="AD45" s="7">
        <v>5083.783</v>
      </c>
    </row>
    <row r="46" ht="15.75" customHeight="1">
      <c r="A46" s="7">
        <v>70.0</v>
      </c>
      <c r="B46" s="7" t="s">
        <v>288</v>
      </c>
      <c r="G46" s="7">
        <v>3790.436</v>
      </c>
      <c r="I46" s="7">
        <v>39.0</v>
      </c>
      <c r="J46" s="7" t="s">
        <v>318</v>
      </c>
      <c r="K46" s="7">
        <v>2640.0</v>
      </c>
      <c r="L46" s="7">
        <v>38448.0</v>
      </c>
      <c r="M46" s="7">
        <v>31408.88</v>
      </c>
      <c r="N46" s="7">
        <v>126630.604</v>
      </c>
      <c r="O46" s="7">
        <v>201022.874</v>
      </c>
      <c r="Q46" s="7">
        <v>49.0</v>
      </c>
      <c r="R46" s="7" t="s">
        <v>277</v>
      </c>
      <c r="S46" s="7">
        <v>1033.0</v>
      </c>
      <c r="T46" s="7">
        <v>428.733</v>
      </c>
      <c r="U46" s="7">
        <v>1763.227</v>
      </c>
      <c r="V46" s="7">
        <v>1185.71</v>
      </c>
      <c r="W46" s="7">
        <v>459.902</v>
      </c>
      <c r="Y46" s="7">
        <v>31.0</v>
      </c>
      <c r="Z46" s="7" t="s">
        <v>275</v>
      </c>
      <c r="AA46" s="7">
        <v>0.0</v>
      </c>
      <c r="AB46" s="7">
        <v>0.0</v>
      </c>
      <c r="AC46" s="7">
        <v>0.0</v>
      </c>
      <c r="AD46" s="7">
        <v>0.0</v>
      </c>
      <c r="AF46" s="7" t="s">
        <v>331</v>
      </c>
    </row>
    <row r="47" ht="15.75" customHeight="1">
      <c r="A47" s="7">
        <v>72.0</v>
      </c>
      <c r="B47" s="7" t="s">
        <v>292</v>
      </c>
      <c r="C47" s="7">
        <v>14324.755</v>
      </c>
      <c r="D47" s="7">
        <v>17218.438</v>
      </c>
      <c r="E47" s="7">
        <v>22452.914</v>
      </c>
      <c r="F47" s="7">
        <v>28672.418</v>
      </c>
      <c r="G47" s="7">
        <v>38905.876</v>
      </c>
      <c r="I47" s="7">
        <v>41.0</v>
      </c>
      <c r="J47" s="7" t="s">
        <v>289</v>
      </c>
      <c r="K47" s="7">
        <v>17064.0</v>
      </c>
      <c r="L47" s="7">
        <v>17731.0</v>
      </c>
      <c r="M47" s="7">
        <v>0.0</v>
      </c>
      <c r="N47" s="7">
        <v>0.0</v>
      </c>
      <c r="O47" s="7">
        <v>0.0</v>
      </c>
      <c r="Q47" s="7">
        <v>50.0</v>
      </c>
      <c r="R47" s="7" t="s">
        <v>281</v>
      </c>
      <c r="S47" s="7">
        <v>24226.0</v>
      </c>
      <c r="T47" s="7">
        <v>24159.699</v>
      </c>
      <c r="U47" s="7">
        <v>33562.051</v>
      </c>
      <c r="V47" s="7">
        <v>28355.10800000001</v>
      </c>
      <c r="W47" s="7">
        <v>15362.339</v>
      </c>
      <c r="Y47" s="7">
        <v>32.0</v>
      </c>
      <c r="Z47" s="7" t="s">
        <v>270</v>
      </c>
      <c r="AA47" s="7">
        <v>0.0</v>
      </c>
      <c r="AB47" s="7">
        <v>0.0</v>
      </c>
      <c r="AC47" s="7">
        <v>0.0</v>
      </c>
      <c r="AD47" s="7">
        <v>31265.551</v>
      </c>
      <c r="AF47" s="7">
        <v>64.0</v>
      </c>
      <c r="AG47" s="7" t="s">
        <v>332</v>
      </c>
      <c r="AH47" s="7">
        <v>0.0</v>
      </c>
      <c r="AI47" s="7">
        <v>20598.0</v>
      </c>
      <c r="AJ47" s="7">
        <v>20598.0</v>
      </c>
      <c r="AK47" s="7">
        <v>20598.0</v>
      </c>
    </row>
    <row r="48" ht="15.75" customHeight="1">
      <c r="I48" s="7">
        <v>42.0</v>
      </c>
      <c r="J48" s="7" t="s">
        <v>314</v>
      </c>
      <c r="K48" s="7">
        <v>59943.0</v>
      </c>
      <c r="L48" s="7">
        <v>103822.0</v>
      </c>
      <c r="M48" s="7">
        <v>0.0</v>
      </c>
      <c r="N48" s="7">
        <v>0.0</v>
      </c>
      <c r="O48" s="7">
        <v>98928.078</v>
      </c>
      <c r="Q48" s="7">
        <v>53.0</v>
      </c>
      <c r="R48" s="7" t="s">
        <v>296</v>
      </c>
      <c r="S48" s="7">
        <v>35006.0</v>
      </c>
      <c r="T48" s="7">
        <v>42593.636</v>
      </c>
      <c r="U48" s="7">
        <v>53598.854</v>
      </c>
      <c r="V48" s="7">
        <v>61927.29600000002</v>
      </c>
      <c r="W48" s="7">
        <v>86036.563</v>
      </c>
      <c r="Y48" s="7">
        <v>33.0</v>
      </c>
      <c r="Z48" s="7" t="s">
        <v>266</v>
      </c>
      <c r="AF48" s="7">
        <v>66.0</v>
      </c>
      <c r="AG48" s="7" t="s">
        <v>283</v>
      </c>
      <c r="AH48" s="7">
        <v>0.0</v>
      </c>
      <c r="AI48" s="7">
        <v>0.0</v>
      </c>
      <c r="AJ48" s="7">
        <v>0.0</v>
      </c>
      <c r="AK48" s="7">
        <v>694.589</v>
      </c>
    </row>
    <row r="49" ht="15.75" customHeight="1">
      <c r="A49" s="7">
        <v>73.0</v>
      </c>
      <c r="B49" s="7" t="s">
        <v>297</v>
      </c>
      <c r="C49" s="7">
        <v>65298.71</v>
      </c>
      <c r="D49" s="7">
        <v>63658.78</v>
      </c>
      <c r="E49" s="7">
        <v>70575.686</v>
      </c>
      <c r="F49" s="7">
        <v>81517.547</v>
      </c>
      <c r="G49" s="7">
        <v>102146.252</v>
      </c>
      <c r="I49" s="7">
        <v>43.0</v>
      </c>
      <c r="J49" s="7" t="s">
        <v>284</v>
      </c>
      <c r="K49" s="7">
        <v>47505.0</v>
      </c>
      <c r="L49" s="7">
        <v>54537.0</v>
      </c>
      <c r="M49" s="7">
        <v>48400.023</v>
      </c>
      <c r="N49" s="7">
        <v>57465.915</v>
      </c>
      <c r="O49" s="7">
        <v>88200.035</v>
      </c>
      <c r="Q49" s="7" t="s">
        <v>271</v>
      </c>
      <c r="Y49" s="7">
        <v>36.0</v>
      </c>
      <c r="Z49" s="7" t="s">
        <v>303</v>
      </c>
      <c r="AA49" s="7">
        <v>0.0</v>
      </c>
      <c r="AB49" s="7">
        <v>0.0</v>
      </c>
      <c r="AC49" s="7">
        <v>0.0</v>
      </c>
      <c r="AD49" s="7">
        <v>0.0</v>
      </c>
      <c r="AF49" s="7">
        <v>68.0</v>
      </c>
      <c r="AG49" s="7" t="s">
        <v>328</v>
      </c>
      <c r="AH49" s="7">
        <v>0.0</v>
      </c>
      <c r="AI49" s="7">
        <v>0.0</v>
      </c>
      <c r="AJ49" s="7">
        <v>0.0</v>
      </c>
      <c r="AK49" s="7">
        <v>5439.5</v>
      </c>
    </row>
    <row r="50" ht="15.75" customHeight="1">
      <c r="I50" s="7">
        <v>46.0</v>
      </c>
      <c r="J50" s="7" t="s">
        <v>307</v>
      </c>
      <c r="K50" s="7">
        <v>17283.0</v>
      </c>
      <c r="L50" s="7">
        <v>27993.0</v>
      </c>
      <c r="M50" s="7">
        <v>35284.999</v>
      </c>
      <c r="N50" s="7">
        <v>27734.63</v>
      </c>
      <c r="O50" s="7">
        <v>30522.469</v>
      </c>
      <c r="Q50" s="7">
        <v>54.0</v>
      </c>
      <c r="R50" s="7" t="s">
        <v>294</v>
      </c>
      <c r="S50" s="7">
        <v>38890.0</v>
      </c>
      <c r="T50" s="7">
        <v>32930.86</v>
      </c>
      <c r="U50" s="7">
        <v>28453.76</v>
      </c>
      <c r="V50" s="7">
        <v>34553.019</v>
      </c>
      <c r="W50" s="7">
        <v>35000.0</v>
      </c>
      <c r="Y50" s="7">
        <v>34.0</v>
      </c>
      <c r="Z50" s="7" t="s">
        <v>305</v>
      </c>
      <c r="AF50" s="7">
        <v>69.0</v>
      </c>
      <c r="AG50" s="7" t="s">
        <v>286</v>
      </c>
      <c r="AH50" s="7">
        <v>0.0</v>
      </c>
      <c r="AI50" s="7">
        <v>16308.73</v>
      </c>
      <c r="AJ50" s="7">
        <v>17210.48</v>
      </c>
      <c r="AK50" s="7">
        <v>10923.642</v>
      </c>
    </row>
    <row r="51" ht="15.75" customHeight="1">
      <c r="C51" s="7">
        <v>0.2</v>
      </c>
      <c r="D51" s="7">
        <v>0.0</v>
      </c>
      <c r="E51" s="7">
        <v>0.0</v>
      </c>
      <c r="F51" s="7">
        <v>0.0</v>
      </c>
      <c r="G51" s="7">
        <v>0.0</v>
      </c>
      <c r="I51" s="7">
        <v>49.0</v>
      </c>
      <c r="J51" s="7" t="s">
        <v>277</v>
      </c>
      <c r="K51" s="7">
        <v>5775.0</v>
      </c>
      <c r="L51" s="7">
        <v>1008.0</v>
      </c>
      <c r="M51" s="7">
        <v>6424.899</v>
      </c>
      <c r="N51" s="7">
        <v>3068.276</v>
      </c>
      <c r="O51" s="7">
        <v>0.0</v>
      </c>
      <c r="Q51" s="7">
        <v>55.0</v>
      </c>
      <c r="R51" s="7" t="s">
        <v>322</v>
      </c>
      <c r="S51" s="7">
        <v>0.0</v>
      </c>
      <c r="T51" s="7">
        <v>7242.997</v>
      </c>
      <c r="U51" s="7">
        <v>1151.796</v>
      </c>
      <c r="V51" s="7">
        <v>2794.944</v>
      </c>
      <c r="W51" s="7">
        <v>2096.878</v>
      </c>
      <c r="Y51" s="7">
        <v>35.0</v>
      </c>
      <c r="Z51" s="7" t="s">
        <v>309</v>
      </c>
      <c r="AF51" s="7">
        <v>70.0</v>
      </c>
      <c r="AG51" s="7" t="s">
        <v>288</v>
      </c>
      <c r="AH51" s="7">
        <v>0.0</v>
      </c>
      <c r="AI51" s="7">
        <v>0.0</v>
      </c>
      <c r="AJ51" s="7">
        <v>0.0</v>
      </c>
      <c r="AK51" s="7">
        <v>2968.523</v>
      </c>
    </row>
    <row r="52" ht="15.75" customHeight="1">
      <c r="I52" s="7">
        <v>50.0</v>
      </c>
      <c r="J52" s="7" t="s">
        <v>281</v>
      </c>
      <c r="K52" s="7">
        <v>12205.0</v>
      </c>
      <c r="L52" s="7">
        <v>24916.0</v>
      </c>
      <c r="M52" s="7">
        <v>113276.368</v>
      </c>
      <c r="N52" s="7">
        <v>62471.406</v>
      </c>
      <c r="O52" s="7">
        <v>24002.99</v>
      </c>
      <c r="Q52" s="7">
        <v>56.0</v>
      </c>
      <c r="R52" s="7" t="s">
        <v>268</v>
      </c>
      <c r="S52" s="7">
        <v>0.0</v>
      </c>
      <c r="T52" s="7">
        <v>4467.323</v>
      </c>
      <c r="U52" s="7">
        <v>5211.23</v>
      </c>
      <c r="V52" s="7">
        <v>5461.158</v>
      </c>
      <c r="W52" s="7">
        <v>5502.549</v>
      </c>
      <c r="Y52" s="7">
        <v>37.0</v>
      </c>
      <c r="Z52" s="7" t="s">
        <v>310</v>
      </c>
      <c r="AF52" s="7">
        <v>72.0</v>
      </c>
      <c r="AG52" s="7" t="s">
        <v>292</v>
      </c>
      <c r="AH52" s="7">
        <v>0.0</v>
      </c>
      <c r="AI52" s="7">
        <v>36906.73</v>
      </c>
      <c r="AJ52" s="7">
        <v>37808.48</v>
      </c>
      <c r="AK52" s="7">
        <v>40624.254</v>
      </c>
    </row>
    <row r="53" ht="15.75" customHeight="1">
      <c r="I53" s="7">
        <v>53.0</v>
      </c>
      <c r="J53" s="7" t="s">
        <v>296</v>
      </c>
      <c r="K53" s="7">
        <v>162415.0</v>
      </c>
      <c r="L53" s="7">
        <v>268455.0</v>
      </c>
      <c r="M53" s="7">
        <v>234795.169</v>
      </c>
      <c r="N53" s="7">
        <v>277370.831</v>
      </c>
      <c r="O53" s="7">
        <v>442676.4459999999</v>
      </c>
      <c r="Q53" s="7">
        <v>57.0</v>
      </c>
      <c r="R53" s="7" t="s">
        <v>300</v>
      </c>
      <c r="S53" s="7">
        <v>7047.0</v>
      </c>
      <c r="T53" s="7">
        <v>961.825</v>
      </c>
      <c r="U53" s="7">
        <v>2942.064</v>
      </c>
      <c r="V53" s="7">
        <v>724.746</v>
      </c>
      <c r="W53" s="7">
        <v>952.399</v>
      </c>
      <c r="Y53" s="7">
        <v>38.0</v>
      </c>
      <c r="Z53" s="7" t="s">
        <v>262</v>
      </c>
      <c r="AA53" s="7">
        <v>0.0</v>
      </c>
      <c r="AB53" s="7">
        <v>0.0</v>
      </c>
      <c r="AC53" s="7">
        <v>0.0</v>
      </c>
      <c r="AD53" s="7">
        <v>31265.551</v>
      </c>
    </row>
    <row r="54" ht="15.75" customHeight="1">
      <c r="I54" s="7" t="s">
        <v>271</v>
      </c>
      <c r="Q54" s="7">
        <v>60.0</v>
      </c>
      <c r="R54" s="7" t="s">
        <v>329</v>
      </c>
      <c r="S54" s="7">
        <v>0.0</v>
      </c>
      <c r="T54" s="7">
        <v>13340.809</v>
      </c>
      <c r="U54" s="7">
        <v>10988.769</v>
      </c>
      <c r="V54" s="7">
        <v>10370.768</v>
      </c>
      <c r="W54" s="7">
        <v>11777.515</v>
      </c>
      <c r="Y54" s="7">
        <v>39.0</v>
      </c>
      <c r="Z54" s="7" t="s">
        <v>264</v>
      </c>
      <c r="AA54" s="7">
        <v>62198.316</v>
      </c>
      <c r="AB54" s="7">
        <v>25264.363</v>
      </c>
      <c r="AC54" s="7">
        <v>45037.64</v>
      </c>
      <c r="AD54" s="7">
        <v>58357.649</v>
      </c>
      <c r="AF54" s="7">
        <v>73.0</v>
      </c>
      <c r="AG54" s="7" t="s">
        <v>297</v>
      </c>
      <c r="AH54" s="7">
        <v>0.0</v>
      </c>
      <c r="AI54" s="7">
        <v>79133.635</v>
      </c>
      <c r="AJ54" s="7">
        <v>78440.942</v>
      </c>
      <c r="AK54" s="7">
        <v>79738.376</v>
      </c>
    </row>
    <row r="55" ht="15.75" customHeight="1">
      <c r="I55" s="7">
        <v>54.0</v>
      </c>
      <c r="J55" s="7" t="s">
        <v>294</v>
      </c>
      <c r="K55" s="7">
        <v>302099.0</v>
      </c>
      <c r="L55" s="7">
        <v>254174.0</v>
      </c>
      <c r="M55" s="7">
        <v>241821.898</v>
      </c>
      <c r="N55" s="7">
        <v>273945.7</v>
      </c>
      <c r="O55" s="7">
        <v>274261.801</v>
      </c>
      <c r="Q55" s="7">
        <v>62.0</v>
      </c>
      <c r="R55" s="7" t="s">
        <v>306</v>
      </c>
      <c r="S55" s="7">
        <v>45937.0</v>
      </c>
      <c r="T55" s="7">
        <v>58943.81400000001</v>
      </c>
      <c r="U55" s="7">
        <v>48747.61899999999</v>
      </c>
      <c r="V55" s="7">
        <v>53904.63500000001</v>
      </c>
      <c r="W55" s="7">
        <v>55329.34099999999</v>
      </c>
    </row>
    <row r="56" ht="15.75" customHeight="1">
      <c r="I56" s="7">
        <v>55.0</v>
      </c>
      <c r="J56" s="7" t="s">
        <v>322</v>
      </c>
      <c r="K56" s="7">
        <v>0.0</v>
      </c>
      <c r="L56" s="7">
        <v>0.0</v>
      </c>
      <c r="M56" s="7">
        <v>8929.365</v>
      </c>
      <c r="N56" s="7">
        <v>17493.707</v>
      </c>
      <c r="O56" s="7">
        <v>0.0</v>
      </c>
      <c r="Q56" s="7">
        <v>63.0</v>
      </c>
      <c r="R56" s="7" t="s">
        <v>273</v>
      </c>
      <c r="S56" s="7">
        <v>80943.0</v>
      </c>
      <c r="T56" s="7">
        <v>101537.45</v>
      </c>
      <c r="U56" s="7">
        <v>102346.473</v>
      </c>
      <c r="V56" s="7">
        <v>115831.931</v>
      </c>
      <c r="W56" s="7">
        <v>141365.904</v>
      </c>
      <c r="Y56" s="7" t="s">
        <v>267</v>
      </c>
      <c r="AH56" s="7">
        <v>-4149.0</v>
      </c>
      <c r="AI56" s="7">
        <v>0.0</v>
      </c>
      <c r="AJ56" s="7">
        <v>0.0</v>
      </c>
      <c r="AK56" s="7">
        <v>0.0</v>
      </c>
    </row>
    <row r="57" ht="15.75" customHeight="1">
      <c r="I57" s="7">
        <v>56.0</v>
      </c>
      <c r="J57" s="7" t="s">
        <v>268</v>
      </c>
      <c r="K57" s="7">
        <v>2698.0</v>
      </c>
      <c r="L57" s="7">
        <v>2006.0</v>
      </c>
      <c r="M57" s="7">
        <v>17662.693</v>
      </c>
      <c r="N57" s="7">
        <v>18017.129</v>
      </c>
      <c r="O57" s="7">
        <v>5366.486</v>
      </c>
      <c r="Y57" s="7">
        <v>40.0</v>
      </c>
      <c r="Z57" s="7" t="s">
        <v>318</v>
      </c>
    </row>
    <row r="58" ht="15.75" customHeight="1">
      <c r="I58" s="7">
        <v>57.0</v>
      </c>
      <c r="J58" s="7" t="s">
        <v>300</v>
      </c>
      <c r="K58" s="7">
        <v>6166.0</v>
      </c>
      <c r="L58" s="7">
        <v>992.0</v>
      </c>
      <c r="M58" s="7">
        <v>1006.26</v>
      </c>
      <c r="N58" s="7">
        <v>23346.268</v>
      </c>
      <c r="O58" s="7">
        <v>35461.92</v>
      </c>
      <c r="Q58" s="7" t="s">
        <v>331</v>
      </c>
      <c r="Y58" s="7">
        <v>41.0</v>
      </c>
      <c r="Z58" s="7" t="s">
        <v>319</v>
      </c>
    </row>
    <row r="59" ht="15.75" customHeight="1">
      <c r="I59" s="7">
        <v>58.0</v>
      </c>
      <c r="J59" s="7" t="s">
        <v>329</v>
      </c>
      <c r="K59" s="7">
        <v>0.0</v>
      </c>
      <c r="L59" s="7">
        <v>0.0</v>
      </c>
      <c r="M59" s="7">
        <v>82034.735</v>
      </c>
      <c r="N59" s="7">
        <v>78759.92</v>
      </c>
      <c r="O59" s="7">
        <v>0.0</v>
      </c>
      <c r="Q59" s="7">
        <v>64.0</v>
      </c>
      <c r="R59" s="7" t="s">
        <v>332</v>
      </c>
      <c r="S59" s="7">
        <v>128348.0</v>
      </c>
      <c r="T59" s="7">
        <v>128370.973</v>
      </c>
      <c r="U59" s="7">
        <v>128397.925</v>
      </c>
      <c r="V59" s="7">
        <v>128397.925</v>
      </c>
      <c r="W59" s="7">
        <v>128414.005</v>
      </c>
      <c r="Y59" s="7">
        <v>42.0</v>
      </c>
      <c r="Z59" s="7" t="s">
        <v>289</v>
      </c>
      <c r="AA59" s="7">
        <v>0.0</v>
      </c>
      <c r="AB59" s="7">
        <v>0.0</v>
      </c>
      <c r="AC59" s="7">
        <v>0.0</v>
      </c>
      <c r="AD59" s="7">
        <v>0.0</v>
      </c>
    </row>
    <row r="60" ht="15.75" customHeight="1">
      <c r="I60" s="7">
        <v>61.0</v>
      </c>
      <c r="J60" s="7" t="s">
        <v>306</v>
      </c>
      <c r="K60" s="7">
        <v>310963.0</v>
      </c>
      <c r="L60" s="7">
        <v>257172.0</v>
      </c>
      <c r="M60" s="7">
        <v>351454.951</v>
      </c>
      <c r="N60" s="7">
        <v>411562.724</v>
      </c>
      <c r="O60" s="7">
        <v>315090.2069999999</v>
      </c>
      <c r="Q60" s="7">
        <v>65.0</v>
      </c>
      <c r="R60" s="7" t="s">
        <v>333</v>
      </c>
      <c r="S60" s="7">
        <v>17.0</v>
      </c>
      <c r="T60" s="7">
        <v>17.0</v>
      </c>
      <c r="U60" s="7">
        <v>17.0</v>
      </c>
      <c r="V60" s="7">
        <v>17.0</v>
      </c>
      <c r="W60" s="7">
        <v>0.0</v>
      </c>
      <c r="Y60" s="7">
        <v>43.0</v>
      </c>
      <c r="Z60" s="7" t="s">
        <v>314</v>
      </c>
      <c r="AA60" s="7">
        <v>0.0</v>
      </c>
      <c r="AB60" s="7">
        <v>0.0</v>
      </c>
      <c r="AC60" s="7">
        <v>0.0</v>
      </c>
      <c r="AD60" s="7">
        <v>0.0</v>
      </c>
    </row>
    <row r="61" ht="15.75" customHeight="1">
      <c r="I61" s="7">
        <v>62.0</v>
      </c>
      <c r="J61" s="7" t="s">
        <v>273</v>
      </c>
      <c r="K61" s="7">
        <v>473378.0</v>
      </c>
      <c r="L61" s="7">
        <v>525627.0</v>
      </c>
      <c r="M61" s="7">
        <v>586250.12</v>
      </c>
      <c r="N61" s="7">
        <v>688933.5549999999</v>
      </c>
      <c r="O61" s="7">
        <v>757766.6529999999</v>
      </c>
      <c r="Q61" s="7">
        <v>66.0</v>
      </c>
      <c r="R61" s="7" t="s">
        <v>334</v>
      </c>
      <c r="S61" s="7">
        <v>3668.0</v>
      </c>
      <c r="T61" s="7">
        <v>3835.227</v>
      </c>
      <c r="U61" s="7">
        <v>4086.595</v>
      </c>
      <c r="V61" s="7">
        <v>4175.852</v>
      </c>
      <c r="W61" s="7">
        <v>4541.229</v>
      </c>
      <c r="Y61" s="7">
        <v>44.0</v>
      </c>
      <c r="Z61" s="7" t="s">
        <v>284</v>
      </c>
      <c r="AA61" s="7">
        <v>0.0</v>
      </c>
      <c r="AB61" s="7">
        <v>0.0</v>
      </c>
      <c r="AC61" s="7">
        <v>0.0</v>
      </c>
      <c r="AD61" s="7">
        <v>2448.012</v>
      </c>
    </row>
    <row r="62" ht="15.75" customHeight="1">
      <c r="Q62" s="7">
        <v>67.0</v>
      </c>
      <c r="R62" s="7" t="s">
        <v>335</v>
      </c>
      <c r="S62" s="7">
        <v>5917.0</v>
      </c>
      <c r="T62" s="7">
        <v>6351.685</v>
      </c>
      <c r="U62" s="7">
        <v>0.0</v>
      </c>
      <c r="V62" s="7">
        <v>0.0</v>
      </c>
      <c r="W62" s="7">
        <v>0.0</v>
      </c>
      <c r="Y62" s="7">
        <v>45.0</v>
      </c>
      <c r="Z62" s="7" t="s">
        <v>315</v>
      </c>
    </row>
    <row r="63" ht="15.75" customHeight="1">
      <c r="I63" s="7" t="s">
        <v>331</v>
      </c>
      <c r="Q63" s="7">
        <v>68.0</v>
      </c>
      <c r="S63" s="7">
        <v>0.0</v>
      </c>
      <c r="T63" s="7">
        <v>0.0</v>
      </c>
      <c r="U63" s="7">
        <v>5242.18</v>
      </c>
      <c r="V63" s="7">
        <v>5636.34</v>
      </c>
      <c r="W63" s="7">
        <v>0.0</v>
      </c>
      <c r="Y63" s="7">
        <v>46.0</v>
      </c>
      <c r="Z63" s="7" t="s">
        <v>316</v>
      </c>
    </row>
    <row r="64" ht="15.75" customHeight="1">
      <c r="I64" s="7">
        <v>63.0</v>
      </c>
      <c r="J64" s="7" t="s">
        <v>332</v>
      </c>
      <c r="K64" s="7">
        <v>114975.0</v>
      </c>
      <c r="L64" s="7">
        <v>114995.0</v>
      </c>
      <c r="M64" s="7">
        <v>114995.0</v>
      </c>
      <c r="N64" s="7">
        <v>114995.0</v>
      </c>
      <c r="O64" s="7">
        <v>114995.0</v>
      </c>
      <c r="Q64" s="7">
        <v>69.0</v>
      </c>
      <c r="R64" s="7" t="s">
        <v>336</v>
      </c>
      <c r="S64" s="7">
        <v>1050.0</v>
      </c>
      <c r="T64" s="7">
        <v>1146.926</v>
      </c>
      <c r="U64" s="7">
        <v>1237.59</v>
      </c>
      <c r="V64" s="7">
        <v>932.485</v>
      </c>
      <c r="W64" s="7">
        <v>0.0</v>
      </c>
      <c r="Y64" s="7">
        <v>47.0</v>
      </c>
      <c r="Z64" s="7" t="s">
        <v>307</v>
      </c>
      <c r="AA64" s="7">
        <v>38811.518</v>
      </c>
      <c r="AB64" s="7">
        <v>3411.621</v>
      </c>
      <c r="AC64" s="7">
        <v>22482.224</v>
      </c>
      <c r="AD64" s="7">
        <v>1198.654</v>
      </c>
    </row>
    <row r="65" ht="15.75" customHeight="1">
      <c r="I65" s="7">
        <v>65.0</v>
      </c>
      <c r="J65" s="7" t="s">
        <v>283</v>
      </c>
      <c r="K65" s="7">
        <v>28309.0</v>
      </c>
      <c r="L65" s="7">
        <v>29652.0</v>
      </c>
      <c r="M65" s="7">
        <v>31064.837</v>
      </c>
      <c r="N65" s="7">
        <v>31778.92</v>
      </c>
      <c r="O65" s="7">
        <v>31778.92</v>
      </c>
      <c r="Q65" s="7">
        <v>70.0</v>
      </c>
      <c r="R65" s="7" t="s">
        <v>337</v>
      </c>
      <c r="S65" s="7">
        <v>-2843.0</v>
      </c>
      <c r="T65" s="7">
        <v>-1836.117</v>
      </c>
      <c r="U65" s="7">
        <v>360.338</v>
      </c>
      <c r="V65" s="7">
        <v>8745.705</v>
      </c>
      <c r="W65" s="7">
        <v>-4538.771</v>
      </c>
      <c r="Y65" s="7">
        <v>48.0</v>
      </c>
      <c r="Z65" s="7" t="s">
        <v>317</v>
      </c>
    </row>
    <row r="66" ht="15.75" customHeight="1">
      <c r="I66" s="7">
        <v>66.0</v>
      </c>
      <c r="J66" s="7" t="s">
        <v>313</v>
      </c>
      <c r="K66" s="7">
        <v>0.0</v>
      </c>
      <c r="L66" s="7">
        <v>0.0</v>
      </c>
      <c r="M66" s="7">
        <v>-6800.427</v>
      </c>
      <c r="N66" s="7">
        <v>22470.203</v>
      </c>
      <c r="O66" s="7">
        <v>0.0</v>
      </c>
      <c r="Q66" s="7">
        <v>72.0</v>
      </c>
      <c r="R66" s="7" t="s">
        <v>338</v>
      </c>
      <c r="S66" s="7">
        <v>0.0</v>
      </c>
      <c r="T66" s="7">
        <v>0.0</v>
      </c>
      <c r="U66" s="7">
        <v>0.0</v>
      </c>
      <c r="V66" s="7">
        <v>0.0</v>
      </c>
      <c r="W66" s="7">
        <v>13986.382</v>
      </c>
      <c r="Y66" s="7">
        <v>49.0</v>
      </c>
      <c r="Z66" s="7" t="s">
        <v>293</v>
      </c>
      <c r="AA66" s="7">
        <v>1385.148</v>
      </c>
      <c r="AB66" s="7">
        <v>2086.333</v>
      </c>
      <c r="AC66" s="7">
        <v>1685.257</v>
      </c>
      <c r="AD66" s="7">
        <v>13982.314</v>
      </c>
    </row>
    <row r="67" ht="15.75" customHeight="1">
      <c r="I67" s="7">
        <v>68.0</v>
      </c>
      <c r="J67" s="7" t="s">
        <v>286</v>
      </c>
      <c r="K67" s="7">
        <v>306165.0</v>
      </c>
      <c r="L67" s="7">
        <v>326342.0</v>
      </c>
      <c r="M67" s="7">
        <v>386272.013</v>
      </c>
      <c r="N67" s="7">
        <v>392772.881</v>
      </c>
      <c r="O67" s="7">
        <v>362761.969</v>
      </c>
      <c r="Q67" s="7">
        <v>73.0</v>
      </c>
      <c r="R67" s="7" t="s">
        <v>339</v>
      </c>
      <c r="S67" s="7">
        <v>0.0</v>
      </c>
      <c r="T67" s="7">
        <v>0.0</v>
      </c>
      <c r="U67" s="7">
        <v>0.0</v>
      </c>
      <c r="V67" s="7">
        <v>0.0</v>
      </c>
      <c r="W67" s="7">
        <v>3094.496</v>
      </c>
      <c r="Y67" s="7">
        <v>50.0</v>
      </c>
      <c r="Z67" s="7" t="s">
        <v>277</v>
      </c>
      <c r="AA67" s="7">
        <v>0.0</v>
      </c>
      <c r="AB67" s="7">
        <v>0.0</v>
      </c>
      <c r="AC67" s="7">
        <v>0.0</v>
      </c>
      <c r="AD67" s="7">
        <v>0.0</v>
      </c>
    </row>
    <row r="68" ht="15.75" customHeight="1">
      <c r="I68" s="7">
        <v>69.0</v>
      </c>
      <c r="J68" s="7" t="s">
        <v>288</v>
      </c>
      <c r="K68" s="7">
        <v>0.0</v>
      </c>
      <c r="L68" s="7">
        <v>0.0</v>
      </c>
      <c r="M68" s="7">
        <v>0.0</v>
      </c>
      <c r="N68" s="7">
        <v>0.0</v>
      </c>
      <c r="O68" s="7">
        <v>2151.954</v>
      </c>
      <c r="Q68" s="7">
        <v>74.0</v>
      </c>
      <c r="R68" s="7" t="s">
        <v>292</v>
      </c>
      <c r="S68" s="7">
        <v>136157.0</v>
      </c>
      <c r="T68" s="7">
        <v>137885.694</v>
      </c>
      <c r="U68" s="7">
        <v>139341.628</v>
      </c>
      <c r="V68" s="7">
        <v>147905.307</v>
      </c>
      <c r="W68" s="7">
        <v>145497.341</v>
      </c>
      <c r="Y68" s="7">
        <v>51.0</v>
      </c>
      <c r="Z68" s="7" t="s">
        <v>281</v>
      </c>
      <c r="AA68" s="7">
        <v>376.263</v>
      </c>
      <c r="AB68" s="7">
        <v>594.344</v>
      </c>
      <c r="AC68" s="7">
        <v>1120.129</v>
      </c>
      <c r="AD68" s="7">
        <v>4314.751</v>
      </c>
    </row>
    <row r="69" ht="15.75" customHeight="1">
      <c r="I69" s="7">
        <v>71.0</v>
      </c>
      <c r="J69" s="7" t="s">
        <v>292</v>
      </c>
      <c r="K69" s="7">
        <v>449449.0</v>
      </c>
      <c r="L69" s="7">
        <v>470989.0</v>
      </c>
      <c r="M69" s="7">
        <v>525531.423</v>
      </c>
      <c r="N69" s="7">
        <v>562017.004</v>
      </c>
      <c r="O69" s="7">
        <v>511687.843</v>
      </c>
      <c r="Y69" s="7">
        <v>52.0</v>
      </c>
      <c r="Z69" s="7" t="s">
        <v>320</v>
      </c>
    </row>
    <row r="70" ht="15.75" customHeight="1">
      <c r="Q70" s="7">
        <v>75.0</v>
      </c>
      <c r="R70" s="7" t="s">
        <v>297</v>
      </c>
      <c r="S70" s="7">
        <v>217100.0</v>
      </c>
      <c r="T70" s="7">
        <v>239423.144</v>
      </c>
      <c r="U70" s="7">
        <v>241688.101</v>
      </c>
      <c r="V70" s="7">
        <v>263737.238</v>
      </c>
      <c r="W70" s="7">
        <v>286863.245</v>
      </c>
      <c r="Y70" s="7">
        <v>53.0</v>
      </c>
      <c r="Z70" s="7" t="s">
        <v>321</v>
      </c>
    </row>
    <row r="71" ht="15.75" customHeight="1">
      <c r="I71" s="7">
        <v>72.0</v>
      </c>
      <c r="J71" s="7" t="s">
        <v>297</v>
      </c>
      <c r="K71" s="7">
        <v>922827.0</v>
      </c>
      <c r="L71" s="7">
        <v>996616.0</v>
      </c>
      <c r="M71" s="7">
        <v>1111781.543</v>
      </c>
      <c r="N71" s="7">
        <v>1250950.559</v>
      </c>
      <c r="O71" s="7">
        <v>1269454.496</v>
      </c>
      <c r="Y71" s="7">
        <v>54.0</v>
      </c>
      <c r="Z71" s="7" t="s">
        <v>296</v>
      </c>
      <c r="AA71" s="7">
        <v>40572.929</v>
      </c>
      <c r="AB71" s="7">
        <v>6092.298</v>
      </c>
      <c r="AC71" s="7">
        <v>25287.61</v>
      </c>
      <c r="AD71" s="7">
        <v>21943.731</v>
      </c>
    </row>
    <row r="72" ht="15.75" customHeight="1">
      <c r="S72" s="7">
        <v>-0.9799999999813735</v>
      </c>
      <c r="T72" s="7">
        <v>0.0</v>
      </c>
      <c r="U72" s="7">
        <v>0.0</v>
      </c>
      <c r="V72" s="7">
        <v>0.0</v>
      </c>
      <c r="W72" s="7">
        <v>0.0</v>
      </c>
      <c r="Y72" s="7" t="s">
        <v>271</v>
      </c>
    </row>
    <row r="73" ht="15.75" customHeight="1">
      <c r="K73" s="7">
        <v>-2.282000000006519</v>
      </c>
      <c r="L73" s="7">
        <v>0.0</v>
      </c>
      <c r="M73" s="7">
        <v>0.0</v>
      </c>
      <c r="N73" s="7">
        <v>0.0</v>
      </c>
      <c r="O73" s="7">
        <v>0.0</v>
      </c>
      <c r="Y73" s="7">
        <v>55.0</v>
      </c>
      <c r="Z73" s="7" t="s">
        <v>294</v>
      </c>
      <c r="AA73" s="7">
        <v>0.0</v>
      </c>
      <c r="AB73" s="7">
        <v>0.0</v>
      </c>
      <c r="AC73" s="7">
        <v>0.0</v>
      </c>
      <c r="AD73" s="7">
        <v>0.0</v>
      </c>
    </row>
    <row r="74" ht="15.75" customHeight="1">
      <c r="Y74" s="7">
        <v>56.0</v>
      </c>
      <c r="Z74" s="7" t="s">
        <v>322</v>
      </c>
      <c r="AA74" s="7">
        <v>0.0</v>
      </c>
      <c r="AB74" s="7">
        <v>0.0</v>
      </c>
      <c r="AC74" s="7">
        <v>0.0</v>
      </c>
      <c r="AD74" s="7">
        <v>0.0</v>
      </c>
    </row>
    <row r="75" ht="15.75" customHeight="1">
      <c r="Y75" s="7">
        <v>57.0</v>
      </c>
      <c r="Z75" s="7" t="s">
        <v>268</v>
      </c>
      <c r="AA75" s="7">
        <v>77.481</v>
      </c>
      <c r="AB75" s="7">
        <v>331.962</v>
      </c>
      <c r="AC75" s="7">
        <v>198.82</v>
      </c>
      <c r="AD75" s="7">
        <v>167.502</v>
      </c>
    </row>
    <row r="76" ht="15.75" customHeight="1">
      <c r="Y76" s="7">
        <v>58.0</v>
      </c>
      <c r="Z76" s="7" t="s">
        <v>300</v>
      </c>
      <c r="AA76" s="7">
        <v>0.0</v>
      </c>
      <c r="AB76" s="7">
        <v>0.0</v>
      </c>
      <c r="AC76" s="7">
        <v>0.0</v>
      </c>
      <c r="AD76" s="7">
        <v>15583.591</v>
      </c>
    </row>
    <row r="77" ht="15.75" customHeight="1">
      <c r="Y77" s="7">
        <v>59.0</v>
      </c>
      <c r="Z77" s="7" t="s">
        <v>329</v>
      </c>
      <c r="AA77" s="7">
        <v>0.0</v>
      </c>
      <c r="AB77" s="7">
        <v>0.0</v>
      </c>
      <c r="AC77" s="7">
        <v>0.0</v>
      </c>
      <c r="AD77" s="7">
        <v>0.0</v>
      </c>
    </row>
    <row r="78" ht="15.75" customHeight="1">
      <c r="Y78" s="7">
        <v>60.0</v>
      </c>
      <c r="Z78" s="7" t="s">
        <v>304</v>
      </c>
      <c r="AA78" s="7">
        <v>0.0</v>
      </c>
      <c r="AB78" s="7">
        <v>0.0</v>
      </c>
      <c r="AC78" s="7">
        <v>0.0</v>
      </c>
      <c r="AD78" s="7">
        <v>0.0</v>
      </c>
    </row>
    <row r="79" ht="15.75" customHeight="1">
      <c r="Y79" s="7">
        <v>61.0</v>
      </c>
      <c r="Z79" s="7" t="s">
        <v>325</v>
      </c>
    </row>
    <row r="80" ht="15.75" customHeight="1">
      <c r="Y80" s="7">
        <v>62.0</v>
      </c>
      <c r="Z80" s="7" t="s">
        <v>306</v>
      </c>
      <c r="AA80" s="7">
        <v>77.481</v>
      </c>
      <c r="AB80" s="7">
        <v>331.962</v>
      </c>
      <c r="AC80" s="7">
        <v>198.82</v>
      </c>
      <c r="AD80" s="7">
        <v>15751.093</v>
      </c>
    </row>
    <row r="81" ht="15.75" customHeight="1">
      <c r="Y81" s="7">
        <v>63.0</v>
      </c>
      <c r="Z81" s="7" t="s">
        <v>273</v>
      </c>
      <c r="AA81" s="7">
        <v>40650.41</v>
      </c>
      <c r="AB81" s="7">
        <v>6424.26</v>
      </c>
      <c r="AC81" s="7">
        <v>25486.43</v>
      </c>
      <c r="AD81" s="7">
        <v>37694.824</v>
      </c>
    </row>
    <row r="82" ht="15.75" customHeight="1"/>
    <row r="83" ht="15.75" customHeight="1">
      <c r="Y83" s="7" t="s">
        <v>331</v>
      </c>
    </row>
    <row r="84" ht="15.75" customHeight="1">
      <c r="Y84" s="7">
        <v>64.0</v>
      </c>
      <c r="Z84" s="7" t="s">
        <v>332</v>
      </c>
      <c r="AA84" s="7">
        <v>21388.0</v>
      </c>
      <c r="AB84" s="7">
        <v>21388.0</v>
      </c>
      <c r="AC84" s="7">
        <v>21388.0</v>
      </c>
      <c r="AD84" s="7">
        <v>21388.0</v>
      </c>
    </row>
    <row r="85" ht="15.75" customHeight="1">
      <c r="Y85" s="7">
        <v>65.0</v>
      </c>
      <c r="Z85" s="7" t="s">
        <v>280</v>
      </c>
    </row>
    <row r="86" ht="15.75" customHeight="1">
      <c r="Y86" s="7">
        <v>66.0</v>
      </c>
      <c r="Z86" s="7" t="s">
        <v>283</v>
      </c>
      <c r="AA86" s="7">
        <v>71.441</v>
      </c>
      <c r="AB86" s="7">
        <v>71.441</v>
      </c>
      <c r="AC86" s="7">
        <v>119.549</v>
      </c>
      <c r="AD86" s="7">
        <v>119.549</v>
      </c>
    </row>
    <row r="87" ht="15.75" customHeight="1">
      <c r="Y87" s="7">
        <v>67.0</v>
      </c>
      <c r="Z87" s="7" t="s">
        <v>313</v>
      </c>
    </row>
    <row r="88" ht="15.75" customHeight="1">
      <c r="Y88" s="7">
        <v>68.0</v>
      </c>
      <c r="Z88" s="7" t="s">
        <v>328</v>
      </c>
    </row>
    <row r="89" ht="15.75" customHeight="1">
      <c r="Y89" s="7">
        <v>69.0</v>
      </c>
      <c r="Z89" s="7" t="s">
        <v>286</v>
      </c>
      <c r="AA89" s="7">
        <v>88.465</v>
      </c>
      <c r="AB89" s="7">
        <v>-2619.893</v>
      </c>
      <c r="AC89" s="7">
        <v>-1956.339</v>
      </c>
      <c r="AD89" s="7">
        <v>-1956.339</v>
      </c>
    </row>
    <row r="90" ht="15.75" customHeight="1">
      <c r="Y90" s="7">
        <v>70.0</v>
      </c>
      <c r="Z90" s="7" t="s">
        <v>288</v>
      </c>
      <c r="AD90" s="7">
        <v>1111.626</v>
      </c>
    </row>
    <row r="91" ht="15.75" customHeight="1">
      <c r="Y91" s="7">
        <v>71.0</v>
      </c>
      <c r="Z91" s="7" t="s">
        <v>73</v>
      </c>
    </row>
    <row r="92" ht="15.75" customHeight="1">
      <c r="Y92" s="7">
        <v>72.0</v>
      </c>
      <c r="Z92" s="7" t="s">
        <v>292</v>
      </c>
      <c r="AA92" s="7">
        <v>21547.906</v>
      </c>
      <c r="AB92" s="7">
        <v>18839.548</v>
      </c>
      <c r="AC92" s="7">
        <v>19551.21</v>
      </c>
      <c r="AD92" s="7">
        <v>20662.836</v>
      </c>
    </row>
    <row r="93" ht="15.75" customHeight="1"/>
    <row r="94" ht="15.75" customHeight="1">
      <c r="Y94" s="7">
        <v>73.0</v>
      </c>
      <c r="Z94" s="7" t="s">
        <v>297</v>
      </c>
      <c r="AA94" s="7">
        <v>62198.316</v>
      </c>
      <c r="AB94" s="7">
        <v>25263.808</v>
      </c>
      <c r="AC94" s="7">
        <v>45037.64</v>
      </c>
      <c r="AD94" s="7">
        <v>58357.66</v>
      </c>
    </row>
    <row r="95" ht="15.75" customHeight="1"/>
    <row r="96" ht="15.75" customHeight="1">
      <c r="AA96" s="7">
        <v>0.0</v>
      </c>
      <c r="AB96" s="7">
        <v>-0.555</v>
      </c>
      <c r="AC96" s="7">
        <v>0.0</v>
      </c>
      <c r="AD96" s="7">
        <v>0.011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90" width="10.57"/>
  </cols>
  <sheetData>
    <row r="1">
      <c r="A1" s="31"/>
      <c r="B1" s="31" t="s">
        <v>171</v>
      </c>
      <c r="C1" s="31"/>
      <c r="D1" s="31"/>
      <c r="E1" s="31"/>
      <c r="F1" s="31"/>
      <c r="G1" s="31"/>
      <c r="H1" s="31"/>
      <c r="I1" s="31" t="s">
        <v>172</v>
      </c>
      <c r="J1" s="31"/>
      <c r="K1" s="31"/>
      <c r="L1" s="31"/>
      <c r="M1" s="31"/>
      <c r="N1" s="31"/>
      <c r="O1" s="31"/>
      <c r="P1" s="31" t="s">
        <v>173</v>
      </c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 t="s">
        <v>200</v>
      </c>
      <c r="AI1" s="31"/>
      <c r="AJ1" s="31"/>
      <c r="AK1" s="31"/>
      <c r="AL1" s="31"/>
      <c r="AM1" s="31"/>
      <c r="AN1" s="31" t="s">
        <v>193</v>
      </c>
      <c r="AO1" s="31"/>
      <c r="AP1" s="31"/>
      <c r="AQ1" s="31"/>
      <c r="AR1" s="31" t="s">
        <v>194</v>
      </c>
      <c r="AS1" s="31"/>
      <c r="AT1" s="31"/>
      <c r="AU1" s="31"/>
      <c r="AV1" s="31"/>
      <c r="AW1" s="31"/>
      <c r="AX1" s="31" t="s">
        <v>195</v>
      </c>
      <c r="AY1" s="31"/>
      <c r="AZ1" s="31"/>
      <c r="BA1" s="31"/>
      <c r="BB1" s="31"/>
      <c r="BC1" s="31" t="s">
        <v>196</v>
      </c>
      <c r="BD1" s="31"/>
      <c r="BE1" s="31"/>
      <c r="BF1" s="31"/>
      <c r="BG1" s="31"/>
      <c r="BH1" s="31" t="s">
        <v>201</v>
      </c>
      <c r="BI1" s="31"/>
      <c r="BJ1" s="31"/>
      <c r="BK1" s="31"/>
      <c r="BL1" s="31"/>
      <c r="BM1" s="31"/>
      <c r="BN1" s="31" t="s">
        <v>202</v>
      </c>
      <c r="BO1" s="31"/>
      <c r="BP1" s="31"/>
      <c r="BQ1" s="31"/>
      <c r="BR1" s="31"/>
      <c r="BS1" s="31"/>
      <c r="BT1" s="31" t="s">
        <v>203</v>
      </c>
      <c r="BU1" s="31"/>
      <c r="BV1" s="31"/>
      <c r="BW1" s="31"/>
      <c r="BX1" s="31"/>
      <c r="BY1" s="31" t="s">
        <v>204</v>
      </c>
      <c r="BZ1" s="31"/>
      <c r="CA1" s="31"/>
      <c r="CB1" s="31"/>
      <c r="CC1" s="33"/>
      <c r="CD1" s="34" t="s">
        <v>14</v>
      </c>
      <c r="CE1" s="34"/>
      <c r="CF1" s="34" t="s">
        <v>15</v>
      </c>
      <c r="CG1" s="34"/>
      <c r="CH1" s="34" t="s">
        <v>199</v>
      </c>
      <c r="CI1" s="33"/>
      <c r="CJ1" s="33"/>
      <c r="CK1" s="33"/>
      <c r="CL1" s="31"/>
    </row>
    <row r="2">
      <c r="A2" s="36"/>
      <c r="B2" s="37">
        <v>2020.0</v>
      </c>
      <c r="C2" s="37">
        <v>2021.0</v>
      </c>
      <c r="D2" s="37">
        <v>2022.0</v>
      </c>
      <c r="E2" s="37">
        <v>2023.0</v>
      </c>
      <c r="F2" s="37">
        <v>2024.0</v>
      </c>
      <c r="G2" s="36"/>
      <c r="H2" s="36"/>
      <c r="I2" s="37">
        <v>2020.0</v>
      </c>
      <c r="J2" s="37">
        <v>2021.0</v>
      </c>
      <c r="K2" s="37">
        <v>2022.0</v>
      </c>
      <c r="L2" s="37">
        <v>2023.0</v>
      </c>
      <c r="M2" s="37">
        <v>2024.0</v>
      </c>
      <c r="N2" s="36"/>
      <c r="O2" s="36"/>
      <c r="P2" s="37">
        <v>2020.0</v>
      </c>
      <c r="Q2" s="37">
        <v>2021.0</v>
      </c>
      <c r="R2" s="37">
        <v>2022.0</v>
      </c>
      <c r="S2" s="37">
        <v>2023.0</v>
      </c>
      <c r="T2" s="37">
        <v>2024.0</v>
      </c>
      <c r="U2" s="36"/>
      <c r="V2" s="36"/>
      <c r="W2" s="37">
        <v>2021.0</v>
      </c>
      <c r="X2" s="37">
        <v>2022.0</v>
      </c>
      <c r="Y2" s="37">
        <v>2023.0</v>
      </c>
      <c r="Z2" s="37">
        <v>2024.0</v>
      </c>
      <c r="AA2" s="36"/>
      <c r="AB2" s="36"/>
      <c r="AC2" s="37">
        <v>2022.0</v>
      </c>
      <c r="AD2" s="37">
        <v>2023.0</v>
      </c>
      <c r="AE2" s="37">
        <v>2024.0</v>
      </c>
      <c r="AF2" s="36"/>
      <c r="AG2" s="36"/>
      <c r="AH2" s="37">
        <v>2021.0</v>
      </c>
      <c r="AI2" s="37">
        <v>2022.0</v>
      </c>
      <c r="AJ2" s="37">
        <v>2023.0</v>
      </c>
      <c r="AK2" s="36"/>
      <c r="AL2" s="36"/>
      <c r="AM2" s="36"/>
      <c r="AN2" s="37">
        <v>2022.0</v>
      </c>
      <c r="AO2" s="37">
        <v>2023.0</v>
      </c>
      <c r="AP2" s="36"/>
      <c r="AQ2" s="36"/>
      <c r="AR2" s="37">
        <v>2020.0</v>
      </c>
      <c r="AS2" s="37">
        <v>2021.0</v>
      </c>
      <c r="AT2" s="37">
        <v>2022.0</v>
      </c>
      <c r="AU2" s="37">
        <v>2023.0</v>
      </c>
      <c r="AV2" s="36"/>
      <c r="AW2" s="36"/>
      <c r="AX2" s="37">
        <v>2022.0</v>
      </c>
      <c r="AY2" s="37">
        <v>2023.0</v>
      </c>
      <c r="AZ2" s="37">
        <v>2024.0</v>
      </c>
      <c r="BA2" s="36"/>
      <c r="BB2" s="36"/>
      <c r="BC2" s="37">
        <v>2022.0</v>
      </c>
      <c r="BD2" s="37">
        <v>2023.0</v>
      </c>
      <c r="BE2" s="37">
        <v>2024.0</v>
      </c>
      <c r="BF2" s="36"/>
      <c r="BG2" s="36"/>
      <c r="BH2" s="37">
        <v>2020.0</v>
      </c>
      <c r="BI2" s="37">
        <v>2021.0</v>
      </c>
      <c r="BJ2" s="37">
        <v>2022.0</v>
      </c>
      <c r="BK2" s="37">
        <v>2023.0</v>
      </c>
      <c r="BL2" s="36"/>
      <c r="BM2" s="36"/>
      <c r="BN2" s="37">
        <v>2021.0</v>
      </c>
      <c r="BO2" s="37">
        <v>2022.0</v>
      </c>
      <c r="BP2" s="37">
        <v>2023.0</v>
      </c>
      <c r="BQ2" s="37">
        <v>2024.0</v>
      </c>
      <c r="BR2" s="36"/>
      <c r="BS2" s="36"/>
      <c r="BT2" s="37">
        <v>2022.0</v>
      </c>
      <c r="BU2" s="37">
        <v>2023.0</v>
      </c>
      <c r="BV2" s="37">
        <v>2024.0</v>
      </c>
      <c r="BW2" s="36"/>
      <c r="BX2" s="36"/>
      <c r="BY2" s="37">
        <v>2021.0</v>
      </c>
      <c r="BZ2" s="37">
        <v>2022.0</v>
      </c>
      <c r="CA2" s="45">
        <v>2023.0</v>
      </c>
      <c r="CB2" s="45"/>
      <c r="CC2" s="38"/>
      <c r="CD2" s="38" t="s">
        <v>18</v>
      </c>
      <c r="CE2" s="38" t="s">
        <v>19</v>
      </c>
      <c r="CF2" s="38"/>
      <c r="CG2" s="38"/>
      <c r="CH2" s="38" t="s">
        <v>18</v>
      </c>
      <c r="CI2" s="38" t="s">
        <v>19</v>
      </c>
      <c r="CJ2" s="38" t="s">
        <v>20</v>
      </c>
      <c r="CK2" s="38" t="s">
        <v>21</v>
      </c>
      <c r="CL2" s="45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40"/>
      <c r="CI3" s="40"/>
      <c r="CJ3" s="40"/>
      <c r="CK3" s="40"/>
      <c r="CL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 t="s">
        <v>27</v>
      </c>
      <c r="AI4" s="11"/>
      <c r="AJ4" s="11"/>
      <c r="AK4" s="11"/>
      <c r="AL4" s="11"/>
      <c r="AM4" s="11"/>
      <c r="AN4" s="11" t="s">
        <v>28</v>
      </c>
      <c r="AO4" s="11"/>
      <c r="AP4" s="11"/>
      <c r="AQ4" s="11"/>
      <c r="AR4" s="11" t="s">
        <v>344</v>
      </c>
      <c r="AS4" s="11"/>
      <c r="AT4" s="11"/>
      <c r="AU4" s="11"/>
      <c r="AV4" s="11"/>
      <c r="AW4" s="11"/>
      <c r="AX4" s="11" t="s">
        <v>29</v>
      </c>
      <c r="AY4" s="11"/>
      <c r="AZ4" s="11"/>
      <c r="BA4" s="11"/>
      <c r="BB4" s="11"/>
      <c r="BC4" s="11" t="s">
        <v>30</v>
      </c>
      <c r="BD4" s="11"/>
      <c r="BE4" s="11"/>
      <c r="BF4" s="11"/>
      <c r="BG4" s="11"/>
      <c r="BH4" s="11" t="s">
        <v>31</v>
      </c>
      <c r="BI4" s="11"/>
      <c r="BJ4" s="11"/>
      <c r="BK4" s="11"/>
      <c r="BL4" s="11"/>
      <c r="BM4" s="11"/>
      <c r="BN4" s="11" t="s">
        <v>32</v>
      </c>
      <c r="BO4" s="11"/>
      <c r="BP4" s="11"/>
      <c r="BQ4" s="11"/>
      <c r="BR4" s="11"/>
      <c r="BS4" s="11"/>
      <c r="BT4" s="11" t="s">
        <v>33</v>
      </c>
      <c r="BU4" s="11"/>
      <c r="BV4" s="11"/>
      <c r="BW4" s="11"/>
      <c r="BX4" s="11"/>
      <c r="BY4" s="11" t="s">
        <v>34</v>
      </c>
      <c r="BZ4" s="11"/>
      <c r="CA4" s="11"/>
      <c r="CB4" s="11"/>
      <c r="CC4" s="40"/>
      <c r="CD4" s="40" t="s">
        <v>14</v>
      </c>
      <c r="CE4" s="40"/>
      <c r="CF4" s="40"/>
      <c r="CG4" s="40"/>
      <c r="CH4" s="40"/>
      <c r="CI4" s="40"/>
      <c r="CJ4" s="40"/>
      <c r="CK4" s="40"/>
      <c r="CL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 t="s">
        <v>40</v>
      </c>
      <c r="AI5" s="11"/>
      <c r="AJ5" s="11"/>
      <c r="AK5" s="11"/>
      <c r="AL5" s="11"/>
      <c r="AM5" s="11"/>
      <c r="AN5" s="11" t="s">
        <v>41</v>
      </c>
      <c r="AO5" s="11"/>
      <c r="AP5" s="11"/>
      <c r="AQ5" s="11"/>
      <c r="AR5" s="11" t="s">
        <v>345</v>
      </c>
      <c r="AS5" s="11"/>
      <c r="AT5" s="11"/>
      <c r="AU5" s="11"/>
      <c r="AV5" s="11"/>
      <c r="AW5" s="11"/>
      <c r="AX5" s="11" t="s">
        <v>42</v>
      </c>
      <c r="AY5" s="11"/>
      <c r="AZ5" s="11"/>
      <c r="BA5" s="11"/>
      <c r="BB5" s="11"/>
      <c r="BC5" s="11" t="s">
        <v>43</v>
      </c>
      <c r="BD5" s="11"/>
      <c r="BE5" s="11"/>
      <c r="BF5" s="11"/>
      <c r="BG5" s="11"/>
      <c r="BH5" s="11" t="s">
        <v>44</v>
      </c>
      <c r="BI5" s="11"/>
      <c r="BJ5" s="11"/>
      <c r="BK5" s="11"/>
      <c r="BL5" s="11"/>
      <c r="BM5" s="11"/>
      <c r="BN5" s="11" t="s">
        <v>45</v>
      </c>
      <c r="BO5" s="11"/>
      <c r="BP5" s="11"/>
      <c r="BQ5" s="11"/>
      <c r="BR5" s="11"/>
      <c r="BS5" s="11"/>
      <c r="BT5" s="11" t="s">
        <v>46</v>
      </c>
      <c r="BU5" s="11"/>
      <c r="BV5" s="11"/>
      <c r="BW5" s="11"/>
      <c r="BX5" s="11"/>
      <c r="BY5" s="11" t="s">
        <v>47</v>
      </c>
      <c r="BZ5" s="11"/>
      <c r="CA5" s="11"/>
      <c r="CB5" s="11"/>
      <c r="CC5" s="40"/>
      <c r="CD5" s="40" t="s">
        <v>48</v>
      </c>
      <c r="CE5" s="40"/>
      <c r="CF5" s="40"/>
      <c r="CG5" s="40"/>
      <c r="CH5" s="40"/>
      <c r="CI5" s="40"/>
      <c r="CJ5" s="40"/>
      <c r="CK5" s="40"/>
      <c r="CL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40"/>
      <c r="CD6" s="46"/>
      <c r="CE6" s="46"/>
      <c r="CF6" s="40"/>
      <c r="CG6" s="40"/>
      <c r="CH6" s="46"/>
      <c r="CI6" s="46"/>
      <c r="CJ6" s="46"/>
      <c r="CK6" s="46"/>
      <c r="CL6" s="11"/>
    </row>
    <row r="7">
      <c r="A7" s="41"/>
      <c r="B7" s="41">
        <v>12.0</v>
      </c>
      <c r="C7" s="41">
        <v>12.0</v>
      </c>
      <c r="D7" s="41">
        <v>12.0</v>
      </c>
      <c r="E7" s="41">
        <v>12.0</v>
      </c>
      <c r="F7" s="41">
        <v>9.0</v>
      </c>
      <c r="G7" s="41"/>
      <c r="H7" s="41"/>
      <c r="I7" s="41">
        <v>12.0</v>
      </c>
      <c r="J7" s="41">
        <v>12.0</v>
      </c>
      <c r="K7" s="41">
        <v>12.0</v>
      </c>
      <c r="L7" s="41">
        <v>12.0</v>
      </c>
      <c r="M7" s="41">
        <v>9.0</v>
      </c>
      <c r="N7" s="41"/>
      <c r="O7" s="41"/>
      <c r="P7" s="41">
        <v>12.0</v>
      </c>
      <c r="Q7" s="41">
        <v>12.0</v>
      </c>
      <c r="R7" s="41">
        <v>12.0</v>
      </c>
      <c r="S7" s="41">
        <v>12.0</v>
      </c>
      <c r="T7" s="41">
        <v>9.0</v>
      </c>
      <c r="U7" s="41"/>
      <c r="V7" s="41"/>
      <c r="W7" s="41">
        <v>12.0</v>
      </c>
      <c r="X7" s="41">
        <v>12.0</v>
      </c>
      <c r="Y7" s="41">
        <v>12.0</v>
      </c>
      <c r="Z7" s="41">
        <v>9.0</v>
      </c>
      <c r="AA7" s="41"/>
      <c r="AB7" s="41"/>
      <c r="AC7" s="41">
        <v>12.0</v>
      </c>
      <c r="AD7" s="41">
        <v>12.0</v>
      </c>
      <c r="AE7" s="41">
        <v>12.0</v>
      </c>
      <c r="AF7" s="41"/>
      <c r="AG7" s="41"/>
      <c r="AH7" s="41">
        <v>12.0</v>
      </c>
      <c r="AI7" s="41">
        <v>12.0</v>
      </c>
      <c r="AJ7" s="41">
        <v>6.0</v>
      </c>
      <c r="AK7" s="41"/>
      <c r="AL7" s="41"/>
      <c r="AM7" s="41"/>
      <c r="AN7" s="41">
        <v>12.0</v>
      </c>
      <c r="AO7" s="41">
        <v>8.0</v>
      </c>
      <c r="AP7" s="41"/>
      <c r="AQ7" s="41"/>
      <c r="AR7" s="41">
        <v>12.0</v>
      </c>
      <c r="AS7" s="41">
        <v>12.0</v>
      </c>
      <c r="AT7" s="41">
        <v>12.0</v>
      </c>
      <c r="AU7" s="41">
        <v>6.0</v>
      </c>
      <c r="AV7" s="41"/>
      <c r="AW7" s="41"/>
      <c r="AX7" s="41">
        <v>12.0</v>
      </c>
      <c r="AY7" s="41">
        <v>12.0</v>
      </c>
      <c r="AZ7" s="41">
        <v>3.0</v>
      </c>
      <c r="BA7" s="41"/>
      <c r="BB7" s="41"/>
      <c r="BC7" s="41">
        <v>12.0</v>
      </c>
      <c r="BD7" s="41">
        <v>12.0</v>
      </c>
      <c r="BE7" s="41">
        <v>12.0</v>
      </c>
      <c r="BF7" s="41"/>
      <c r="BG7" s="41"/>
      <c r="BH7" s="41">
        <v>12.0</v>
      </c>
      <c r="BI7" s="41">
        <v>12.0</v>
      </c>
      <c r="BJ7" s="41">
        <v>12.0</v>
      </c>
      <c r="BK7" s="41">
        <v>12.0</v>
      </c>
      <c r="BL7" s="41"/>
      <c r="BM7" s="41"/>
      <c r="BN7" s="41">
        <v>12.0</v>
      </c>
      <c r="BO7" s="41">
        <v>12.0</v>
      </c>
      <c r="BP7" s="41">
        <v>12.0</v>
      </c>
      <c r="BQ7" s="41">
        <v>12.0</v>
      </c>
      <c r="BR7" s="41"/>
      <c r="BS7" s="41"/>
      <c r="BT7" s="41">
        <v>12.0</v>
      </c>
      <c r="BU7" s="41">
        <v>12.0</v>
      </c>
      <c r="BV7" s="41">
        <v>12.0</v>
      </c>
      <c r="BW7" s="41"/>
      <c r="BX7" s="41"/>
      <c r="BY7" s="41">
        <v>12.0</v>
      </c>
      <c r="BZ7" s="41">
        <v>12.0</v>
      </c>
      <c r="CA7" s="41">
        <v>12.0</v>
      </c>
      <c r="CB7" s="41"/>
      <c r="CC7" s="42"/>
      <c r="CD7" s="47">
        <v>12.0</v>
      </c>
      <c r="CE7" s="47">
        <v>12.0</v>
      </c>
      <c r="CF7" s="42"/>
      <c r="CG7" s="42"/>
      <c r="CH7" s="47">
        <v>12.0</v>
      </c>
      <c r="CI7" s="47">
        <v>12.0</v>
      </c>
      <c r="CJ7" s="47">
        <v>12.0</v>
      </c>
      <c r="CK7" s="47">
        <v>5.0</v>
      </c>
      <c r="CL7" s="41"/>
    </row>
    <row r="8">
      <c r="A8" s="11"/>
      <c r="B8" s="11" t="s">
        <v>22</v>
      </c>
      <c r="C8" s="11" t="s">
        <v>22</v>
      </c>
      <c r="D8" s="11" t="s">
        <v>22</v>
      </c>
      <c r="E8" s="11" t="s">
        <v>22</v>
      </c>
      <c r="F8" s="11" t="s">
        <v>23</v>
      </c>
      <c r="G8" s="11"/>
      <c r="H8" s="11"/>
      <c r="I8" s="11" t="s">
        <v>22</v>
      </c>
      <c r="J8" s="11" t="s">
        <v>22</v>
      </c>
      <c r="K8" s="11" t="s">
        <v>22</v>
      </c>
      <c r="L8" s="11" t="s">
        <v>22</v>
      </c>
      <c r="M8" s="11" t="s">
        <v>23</v>
      </c>
      <c r="N8" s="11"/>
      <c r="O8" s="11"/>
      <c r="P8" s="11" t="s">
        <v>22</v>
      </c>
      <c r="Q8" s="11" t="s">
        <v>22</v>
      </c>
      <c r="R8" s="11" t="s">
        <v>22</v>
      </c>
      <c r="S8" s="11" t="s">
        <v>23</v>
      </c>
      <c r="T8" s="11" t="s">
        <v>23</v>
      </c>
      <c r="U8" s="11"/>
      <c r="V8" s="11"/>
      <c r="W8" s="11" t="s">
        <v>22</v>
      </c>
      <c r="X8" s="11" t="s">
        <v>22</v>
      </c>
      <c r="Y8" s="11" t="s">
        <v>22</v>
      </c>
      <c r="Z8" s="11" t="s">
        <v>23</v>
      </c>
      <c r="AA8" s="11"/>
      <c r="AB8" s="11"/>
      <c r="AC8" s="11" t="s">
        <v>22</v>
      </c>
      <c r="AD8" s="11" t="s">
        <v>22</v>
      </c>
      <c r="AE8" s="11" t="s">
        <v>23</v>
      </c>
      <c r="AF8" s="11"/>
      <c r="AG8" s="11"/>
      <c r="AH8" s="11" t="s">
        <v>22</v>
      </c>
      <c r="AI8" s="11" t="s">
        <v>22</v>
      </c>
      <c r="AJ8" s="11" t="s">
        <v>25</v>
      </c>
      <c r="AK8" s="11"/>
      <c r="AL8" s="11"/>
      <c r="AM8" s="11"/>
      <c r="AN8" s="11" t="s">
        <v>25</v>
      </c>
      <c r="AO8" s="11" t="s">
        <v>25</v>
      </c>
      <c r="AP8" s="11"/>
      <c r="AQ8" s="11"/>
      <c r="AR8" s="11" t="s">
        <v>22</v>
      </c>
      <c r="AS8" s="11" t="s">
        <v>22</v>
      </c>
      <c r="AT8" s="11" t="s">
        <v>22</v>
      </c>
      <c r="AU8" s="11" t="s">
        <v>25</v>
      </c>
      <c r="AV8" s="11"/>
      <c r="AW8" s="11"/>
      <c r="AX8" s="11" t="s">
        <v>25</v>
      </c>
      <c r="AY8" s="11" t="s">
        <v>25</v>
      </c>
      <c r="AZ8" s="11" t="s">
        <v>25</v>
      </c>
      <c r="BA8" s="11"/>
      <c r="BB8" s="11"/>
      <c r="BC8" s="11" t="s">
        <v>22</v>
      </c>
      <c r="BD8" s="11" t="s">
        <v>22</v>
      </c>
      <c r="BE8" s="11" t="s">
        <v>25</v>
      </c>
      <c r="BF8" s="11"/>
      <c r="BG8" s="11"/>
      <c r="BH8" s="11" t="s">
        <v>22</v>
      </c>
      <c r="BI8" s="11" t="s">
        <v>22</v>
      </c>
      <c r="BJ8" s="11" t="s">
        <v>22</v>
      </c>
      <c r="BK8" s="11" t="s">
        <v>22</v>
      </c>
      <c r="BL8" s="11"/>
      <c r="BM8" s="11"/>
      <c r="BN8" s="11" t="s">
        <v>22</v>
      </c>
      <c r="BO8" s="11" t="s">
        <v>22</v>
      </c>
      <c r="BP8" s="11" t="s">
        <v>22</v>
      </c>
      <c r="BQ8" s="11" t="s">
        <v>25</v>
      </c>
      <c r="BR8" s="11"/>
      <c r="BS8" s="11"/>
      <c r="BT8" s="11" t="s">
        <v>22</v>
      </c>
      <c r="BU8" s="11" t="s">
        <v>22</v>
      </c>
      <c r="BV8" s="11" t="s">
        <v>25</v>
      </c>
      <c r="BW8" s="11"/>
      <c r="BX8" s="11"/>
      <c r="BY8" s="11" t="s">
        <v>25</v>
      </c>
      <c r="BZ8" s="11" t="s">
        <v>25</v>
      </c>
      <c r="CA8" s="11" t="s">
        <v>25</v>
      </c>
      <c r="CB8" s="11"/>
      <c r="CC8" s="40"/>
      <c r="CD8" s="40" t="s">
        <v>25</v>
      </c>
      <c r="CE8" s="40" t="s">
        <v>25</v>
      </c>
      <c r="CF8" s="40"/>
      <c r="CG8" s="40"/>
      <c r="CH8" s="40" t="s">
        <v>25</v>
      </c>
      <c r="CI8" s="40" t="s">
        <v>25</v>
      </c>
      <c r="CJ8" s="40" t="s">
        <v>25</v>
      </c>
      <c r="CK8" s="40" t="s">
        <v>25</v>
      </c>
      <c r="CL8" s="11"/>
    </row>
    <row r="9">
      <c r="A9" s="11"/>
      <c r="B9" s="11" t="s">
        <v>208</v>
      </c>
      <c r="C9" s="11" t="s">
        <v>208</v>
      </c>
      <c r="D9" s="11" t="s">
        <v>208</v>
      </c>
      <c r="E9" s="11" t="s">
        <v>208</v>
      </c>
      <c r="F9" s="11" t="s">
        <v>53</v>
      </c>
      <c r="G9" s="11"/>
      <c r="H9" s="11"/>
      <c r="I9" s="11" t="s">
        <v>209</v>
      </c>
      <c r="J9" s="11" t="s">
        <v>209</v>
      </c>
      <c r="K9" s="11" t="s">
        <v>208</v>
      </c>
      <c r="L9" s="11" t="s">
        <v>208</v>
      </c>
      <c r="M9" s="11" t="s">
        <v>210</v>
      </c>
      <c r="N9" s="11"/>
      <c r="O9" s="11"/>
      <c r="P9" s="11" t="s">
        <v>211</v>
      </c>
      <c r="Q9" s="11" t="s">
        <v>208</v>
      </c>
      <c r="R9" s="11" t="s">
        <v>208</v>
      </c>
      <c r="S9" s="11" t="s">
        <v>208</v>
      </c>
      <c r="T9" s="11" t="s">
        <v>212</v>
      </c>
      <c r="U9" s="11"/>
      <c r="V9" s="11"/>
      <c r="W9" s="11"/>
      <c r="X9" s="11" t="s">
        <v>208</v>
      </c>
      <c r="Y9" s="11" t="s">
        <v>208</v>
      </c>
      <c r="Z9" s="11" t="s">
        <v>213</v>
      </c>
      <c r="AA9" s="11"/>
      <c r="AB9" s="11"/>
      <c r="AC9" s="11" t="s">
        <v>214</v>
      </c>
      <c r="AD9" s="11" t="s">
        <v>214</v>
      </c>
      <c r="AE9" s="11" t="s">
        <v>54</v>
      </c>
      <c r="AF9" s="11"/>
      <c r="AG9" s="11"/>
      <c r="AH9" s="11" t="s">
        <v>55</v>
      </c>
      <c r="AI9" s="11" t="s">
        <v>55</v>
      </c>
      <c r="AJ9" s="11" t="s">
        <v>215</v>
      </c>
      <c r="AK9" s="11"/>
      <c r="AL9" s="11"/>
      <c r="AM9" s="11"/>
      <c r="AN9" s="11" t="s">
        <v>56</v>
      </c>
      <c r="AO9" s="11" t="s">
        <v>56</v>
      </c>
      <c r="AP9" s="11"/>
      <c r="AQ9" s="11"/>
      <c r="AR9" s="11" t="s">
        <v>346</v>
      </c>
      <c r="AS9" s="11" t="s">
        <v>216</v>
      </c>
      <c r="AT9" s="11" t="s">
        <v>216</v>
      </c>
      <c r="AU9" s="11" t="s">
        <v>217</v>
      </c>
      <c r="AV9" s="11"/>
      <c r="AW9" s="11"/>
      <c r="AX9" s="11" t="s">
        <v>57</v>
      </c>
      <c r="AY9" s="11" t="s">
        <v>57</v>
      </c>
      <c r="AZ9" s="11" t="s">
        <v>57</v>
      </c>
      <c r="BA9" s="11"/>
      <c r="BB9" s="11"/>
      <c r="BC9" s="11" t="s">
        <v>58</v>
      </c>
      <c r="BD9" s="11" t="s">
        <v>58</v>
      </c>
      <c r="BE9" s="11" t="s">
        <v>218</v>
      </c>
      <c r="BF9" s="11"/>
      <c r="BG9" s="11"/>
      <c r="BH9" s="11" t="s">
        <v>59</v>
      </c>
      <c r="BI9" s="11" t="s">
        <v>59</v>
      </c>
      <c r="BJ9" s="11" t="s">
        <v>59</v>
      </c>
      <c r="BK9" s="11" t="s">
        <v>59</v>
      </c>
      <c r="BL9" s="11"/>
      <c r="BM9" s="11"/>
      <c r="BN9" s="11" t="s">
        <v>60</v>
      </c>
      <c r="BO9" s="11" t="s">
        <v>60</v>
      </c>
      <c r="BP9" s="11" t="s">
        <v>60</v>
      </c>
      <c r="BQ9" s="11" t="s">
        <v>219</v>
      </c>
      <c r="BR9" s="11"/>
      <c r="BS9" s="11"/>
      <c r="BT9" s="11" t="s">
        <v>58</v>
      </c>
      <c r="BU9" s="11" t="s">
        <v>58</v>
      </c>
      <c r="BV9" s="11" t="s">
        <v>220</v>
      </c>
      <c r="BW9" s="11"/>
      <c r="BX9" s="11"/>
      <c r="BY9" s="11" t="s">
        <v>61</v>
      </c>
      <c r="BZ9" s="11" t="s">
        <v>61</v>
      </c>
      <c r="CA9" s="11" t="s">
        <v>61</v>
      </c>
      <c r="CB9" s="11"/>
      <c r="CC9" s="40"/>
      <c r="CD9" s="40" t="s">
        <v>62</v>
      </c>
      <c r="CE9" s="40" t="s">
        <v>62</v>
      </c>
      <c r="CF9" s="40"/>
      <c r="CG9" s="40"/>
      <c r="CH9" s="40" t="s">
        <v>62</v>
      </c>
      <c r="CI9" s="40" t="s">
        <v>62</v>
      </c>
      <c r="CJ9" s="40" t="s">
        <v>62</v>
      </c>
      <c r="CK9" s="40" t="s">
        <v>62</v>
      </c>
      <c r="CL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40"/>
      <c r="CD10" s="40"/>
      <c r="CE10" s="40"/>
      <c r="CF10" s="40"/>
      <c r="CG10" s="40"/>
      <c r="CH10" s="40"/>
      <c r="CI10" s="40"/>
      <c r="CJ10" s="40"/>
      <c r="CK10" s="40"/>
      <c r="CL10" s="11"/>
    </row>
    <row r="11">
      <c r="A11" s="11" t="s">
        <v>347</v>
      </c>
      <c r="B11" s="11">
        <v>23930.151</v>
      </c>
      <c r="C11" s="11">
        <v>23578.78</v>
      </c>
      <c r="D11" s="11">
        <v>29792.243</v>
      </c>
      <c r="E11" s="11">
        <v>32768.103</v>
      </c>
      <c r="F11" s="11">
        <v>24145.584</v>
      </c>
      <c r="G11" s="11"/>
      <c r="H11" s="11" t="s">
        <v>347</v>
      </c>
      <c r="I11" s="11">
        <v>337466.0</v>
      </c>
      <c r="J11" s="11">
        <v>330048.0</v>
      </c>
      <c r="K11" s="11">
        <v>360978.116</v>
      </c>
      <c r="L11" s="11">
        <v>419772.195</v>
      </c>
      <c r="M11" s="11">
        <v>312105.949</v>
      </c>
      <c r="N11" s="11"/>
      <c r="O11" s="11" t="s">
        <v>347</v>
      </c>
      <c r="P11" s="11">
        <v>4317.0</v>
      </c>
      <c r="Q11" s="11">
        <v>70441.169</v>
      </c>
      <c r="R11" s="11">
        <v>103822.194</v>
      </c>
      <c r="S11" s="11">
        <v>109585.884</v>
      </c>
      <c r="T11" s="11">
        <v>75793.97600000001</v>
      </c>
      <c r="U11" s="11"/>
      <c r="V11" s="11" t="s">
        <v>347</v>
      </c>
      <c r="W11" s="11">
        <v>20425.762</v>
      </c>
      <c r="X11" s="11">
        <v>33740.045</v>
      </c>
      <c r="Y11" s="11">
        <v>42955.437</v>
      </c>
      <c r="Z11" s="11">
        <v>33868.198</v>
      </c>
      <c r="AA11" s="11"/>
      <c r="AB11" s="11" t="s">
        <v>347</v>
      </c>
      <c r="AC11" s="11">
        <v>39281.699</v>
      </c>
      <c r="AD11" s="11">
        <v>52097.658</v>
      </c>
      <c r="AE11" s="11">
        <v>54416.681</v>
      </c>
      <c r="AF11" s="11"/>
      <c r="AG11" s="11" t="s">
        <v>347</v>
      </c>
      <c r="AH11" s="11">
        <v>0.0</v>
      </c>
      <c r="AI11" s="11">
        <v>84.33</v>
      </c>
      <c r="AJ11" s="11">
        <v>41.09</v>
      </c>
      <c r="AK11" s="11"/>
      <c r="AL11" s="11"/>
      <c r="AM11" s="11" t="s">
        <v>347</v>
      </c>
      <c r="AN11" s="11">
        <v>0.0</v>
      </c>
      <c r="AO11" s="11">
        <v>7801.08524</v>
      </c>
      <c r="AP11" s="11"/>
      <c r="AQ11" s="11" t="s">
        <v>347</v>
      </c>
      <c r="AR11" s="11">
        <v>62218.091</v>
      </c>
      <c r="AS11" s="11">
        <v>78485.19463</v>
      </c>
      <c r="AT11" s="11">
        <v>87117.63414</v>
      </c>
      <c r="AU11" s="11">
        <v>44163.71813</v>
      </c>
      <c r="AV11" s="11"/>
      <c r="AW11" s="11" t="s">
        <v>347</v>
      </c>
      <c r="AX11" s="11">
        <v>82237.533</v>
      </c>
      <c r="AY11" s="11">
        <v>68840.543</v>
      </c>
      <c r="AZ11" s="11">
        <v>19674.964</v>
      </c>
      <c r="BA11" s="11"/>
      <c r="BB11" s="11" t="s">
        <v>347</v>
      </c>
      <c r="BC11" s="11">
        <v>121315.382</v>
      </c>
      <c r="BD11" s="11">
        <v>202588.232</v>
      </c>
      <c r="BE11" s="11">
        <v>261570.887</v>
      </c>
      <c r="BF11" s="11"/>
      <c r="BG11" s="11" t="s">
        <v>347</v>
      </c>
      <c r="BH11" s="11">
        <v>5447.26547</v>
      </c>
      <c r="BI11" s="11">
        <v>2139.07664</v>
      </c>
      <c r="BJ11" s="11">
        <v>11106.37213</v>
      </c>
      <c r="BK11" s="11">
        <v>24713.03006</v>
      </c>
      <c r="BL11" s="11"/>
      <c r="BM11" s="11" t="s">
        <v>347</v>
      </c>
      <c r="BN11" s="11">
        <v>866642.6220000001</v>
      </c>
      <c r="BO11" s="11">
        <v>1060188.403</v>
      </c>
      <c r="BP11" s="11">
        <v>1102452.657</v>
      </c>
      <c r="BQ11" s="11">
        <v>965922.809</v>
      </c>
      <c r="BR11" s="11"/>
      <c r="BS11" s="11" t="s">
        <v>347</v>
      </c>
      <c r="BT11" s="11">
        <v>1222964.796</v>
      </c>
      <c r="BU11" s="11">
        <v>1675859.329</v>
      </c>
      <c r="BV11" s="11">
        <v>2072384.508</v>
      </c>
      <c r="BW11" s="11"/>
      <c r="BX11" s="11" t="s">
        <v>347</v>
      </c>
      <c r="BY11" s="11">
        <v>15793.65702</v>
      </c>
      <c r="BZ11" s="11">
        <v>20165.22792</v>
      </c>
      <c r="CA11" s="11">
        <v>24153.54173</v>
      </c>
      <c r="CB11" s="11"/>
      <c r="CC11" s="40"/>
      <c r="CD11" s="40" t="s">
        <v>348</v>
      </c>
      <c r="CE11" s="40" t="s">
        <v>348</v>
      </c>
      <c r="CF11" s="40"/>
      <c r="CG11" s="40"/>
      <c r="CH11" s="40" t="s">
        <v>348</v>
      </c>
      <c r="CI11" s="40" t="s">
        <v>348</v>
      </c>
      <c r="CJ11" s="40" t="s">
        <v>348</v>
      </c>
      <c r="CK11" s="40" t="s">
        <v>348</v>
      </c>
      <c r="CL11" s="11"/>
    </row>
    <row r="12">
      <c r="A12" s="11" t="s">
        <v>349</v>
      </c>
      <c r="B12" s="11">
        <v>23930.151</v>
      </c>
      <c r="C12" s="11">
        <v>23578.78</v>
      </c>
      <c r="D12" s="11">
        <v>29792.243</v>
      </c>
      <c r="E12" s="11">
        <v>32768.103</v>
      </c>
      <c r="F12" s="11">
        <v>24145.584</v>
      </c>
      <c r="G12" s="11"/>
      <c r="H12" s="11" t="s">
        <v>349</v>
      </c>
      <c r="I12" s="11">
        <v>337466.0</v>
      </c>
      <c r="J12" s="11">
        <v>330048.0</v>
      </c>
      <c r="K12" s="11">
        <v>360978.116</v>
      </c>
      <c r="L12" s="11">
        <v>419772.195</v>
      </c>
      <c r="M12" s="11">
        <v>312105.949</v>
      </c>
      <c r="N12" s="11"/>
      <c r="O12" s="11" t="s">
        <v>349</v>
      </c>
      <c r="P12" s="11">
        <v>4317.0</v>
      </c>
      <c r="Q12" s="11">
        <v>70441.169</v>
      </c>
      <c r="R12" s="11">
        <v>103822.194</v>
      </c>
      <c r="S12" s="11">
        <v>109585.884</v>
      </c>
      <c r="T12" s="11">
        <v>75793.97600000001</v>
      </c>
      <c r="U12" s="11"/>
      <c r="V12" s="11" t="s">
        <v>349</v>
      </c>
      <c r="W12" s="11">
        <v>20425.762</v>
      </c>
      <c r="X12" s="11">
        <v>33740.045</v>
      </c>
      <c r="Y12" s="11">
        <v>42955.437</v>
      </c>
      <c r="Z12" s="11">
        <v>33868.198</v>
      </c>
      <c r="AA12" s="11"/>
      <c r="AB12" s="11" t="s">
        <v>349</v>
      </c>
      <c r="AC12" s="11">
        <v>39281.699</v>
      </c>
      <c r="AD12" s="11">
        <v>52097.658</v>
      </c>
      <c r="AE12" s="11">
        <v>54416.681</v>
      </c>
      <c r="AF12" s="11"/>
      <c r="AG12" s="11" t="s">
        <v>349</v>
      </c>
      <c r="AH12" s="11">
        <v>0.0</v>
      </c>
      <c r="AI12" s="11">
        <v>84.33</v>
      </c>
      <c r="AJ12" s="11">
        <v>41.09</v>
      </c>
      <c r="AK12" s="11">
        <v>0.0</v>
      </c>
      <c r="AL12" s="11"/>
      <c r="AM12" s="11" t="s">
        <v>349</v>
      </c>
      <c r="AN12" s="11">
        <v>0.0</v>
      </c>
      <c r="AO12" s="11">
        <v>7801.08524</v>
      </c>
      <c r="AP12" s="11"/>
      <c r="AQ12" s="11" t="s">
        <v>349</v>
      </c>
      <c r="AR12" s="11">
        <v>62218.091</v>
      </c>
      <c r="AS12" s="11">
        <v>78485.19463</v>
      </c>
      <c r="AT12" s="11">
        <v>87117.63414</v>
      </c>
      <c r="AU12" s="11">
        <v>44163.71813</v>
      </c>
      <c r="AV12" s="11"/>
      <c r="AW12" s="11" t="s">
        <v>349</v>
      </c>
      <c r="AX12" s="11">
        <v>82237.533</v>
      </c>
      <c r="AY12" s="11">
        <v>68840.543</v>
      </c>
      <c r="AZ12" s="11">
        <v>19674.964</v>
      </c>
      <c r="BA12" s="11"/>
      <c r="BB12" s="11" t="s">
        <v>349</v>
      </c>
      <c r="BC12" s="11">
        <v>121315.382</v>
      </c>
      <c r="BD12" s="11">
        <v>202588.232</v>
      </c>
      <c r="BE12" s="11">
        <v>261570.887</v>
      </c>
      <c r="BF12" s="11"/>
      <c r="BG12" s="11" t="s">
        <v>350</v>
      </c>
      <c r="BH12" s="11"/>
      <c r="BI12" s="11"/>
      <c r="BJ12" s="11"/>
      <c r="BK12" s="11"/>
      <c r="BL12" s="11"/>
      <c r="BM12" s="11" t="s">
        <v>349</v>
      </c>
      <c r="BN12" s="11">
        <v>866642.6220000001</v>
      </c>
      <c r="BO12" s="11">
        <v>1060188.403</v>
      </c>
      <c r="BP12" s="11">
        <v>1102452.657</v>
      </c>
      <c r="BQ12" s="11">
        <v>965922.809</v>
      </c>
      <c r="BR12" s="11"/>
      <c r="BS12" s="11" t="s">
        <v>349</v>
      </c>
      <c r="BT12" s="11">
        <v>1222964.796</v>
      </c>
      <c r="BU12" s="11">
        <v>1675859.329</v>
      </c>
      <c r="BV12" s="11">
        <v>2072384.508</v>
      </c>
      <c r="BW12" s="11"/>
      <c r="BX12" s="11" t="s">
        <v>350</v>
      </c>
      <c r="BY12" s="11"/>
      <c r="BZ12" s="11"/>
      <c r="CA12" s="11"/>
      <c r="CB12" s="11"/>
      <c r="CC12" s="40" t="s">
        <v>347</v>
      </c>
      <c r="CD12" s="43">
        <v>2842.924</v>
      </c>
      <c r="CE12" s="43">
        <v>4509.46493</v>
      </c>
      <c r="CF12" s="40"/>
      <c r="CG12" s="40" t="s">
        <v>347</v>
      </c>
      <c r="CH12" s="43">
        <v>14171.65</v>
      </c>
      <c r="CI12" s="43">
        <v>22085.89693</v>
      </c>
      <c r="CJ12" s="43">
        <v>25741.04766</v>
      </c>
      <c r="CK12" s="43">
        <v>8222.09398</v>
      </c>
      <c r="CL12" s="11"/>
    </row>
    <row r="13">
      <c r="A13" s="11" t="s">
        <v>351</v>
      </c>
      <c r="B13" s="11">
        <v>-15462.805</v>
      </c>
      <c r="C13" s="11">
        <v>-12915.445</v>
      </c>
      <c r="D13" s="11">
        <v>-11598.504</v>
      </c>
      <c r="E13" s="11">
        <v>-11683.729</v>
      </c>
      <c r="F13" s="11">
        <v>-8954.474</v>
      </c>
      <c r="G13" s="11"/>
      <c r="H13" s="11" t="s">
        <v>351</v>
      </c>
      <c r="I13" s="11">
        <v>-151220.0</v>
      </c>
      <c r="J13" s="11">
        <v>-201551.0</v>
      </c>
      <c r="K13" s="11">
        <v>-232949.844</v>
      </c>
      <c r="L13" s="11">
        <v>-245523.443</v>
      </c>
      <c r="M13" s="11">
        <v>-186879.058</v>
      </c>
      <c r="N13" s="11"/>
      <c r="O13" s="11" t="s">
        <v>352</v>
      </c>
      <c r="P13" s="11">
        <v>-2451.0</v>
      </c>
      <c r="Q13" s="11">
        <v>-23875.784</v>
      </c>
      <c r="R13" s="11">
        <v>-33975.261</v>
      </c>
      <c r="S13" s="11">
        <v>-37811.063</v>
      </c>
      <c r="T13" s="11">
        <v>-25528.488</v>
      </c>
      <c r="U13" s="11"/>
      <c r="V13" s="11" t="s">
        <v>351</v>
      </c>
      <c r="W13" s="11">
        <v>-18340.468</v>
      </c>
      <c r="X13" s="11">
        <v>-32279.762</v>
      </c>
      <c r="Y13" s="11">
        <v>-33968.029</v>
      </c>
      <c r="Z13" s="11">
        <v>-25079.993</v>
      </c>
      <c r="AA13" s="11"/>
      <c r="AB13" s="11" t="s">
        <v>351</v>
      </c>
      <c r="AC13" s="11">
        <v>-27621.723</v>
      </c>
      <c r="AD13" s="11">
        <v>-36838.04</v>
      </c>
      <c r="AE13" s="11">
        <v>-36914.725</v>
      </c>
      <c r="AF13" s="11"/>
      <c r="AG13" s="11" t="s">
        <v>353</v>
      </c>
      <c r="AH13" s="11">
        <v>0.0</v>
      </c>
      <c r="AI13" s="11">
        <v>84.33</v>
      </c>
      <c r="AJ13" s="11">
        <v>41.09</v>
      </c>
      <c r="AK13" s="11">
        <v>0.0</v>
      </c>
      <c r="AL13" s="11"/>
      <c r="AM13" s="11" t="s">
        <v>354</v>
      </c>
      <c r="AN13" s="11">
        <v>0.0</v>
      </c>
      <c r="AO13" s="11">
        <v>5584.59541</v>
      </c>
      <c r="AP13" s="11"/>
      <c r="AQ13" s="11" t="s">
        <v>354</v>
      </c>
      <c r="AR13" s="11">
        <v>47754.505</v>
      </c>
      <c r="AS13" s="11">
        <v>55644.14653</v>
      </c>
      <c r="AT13" s="11">
        <v>64267.2701</v>
      </c>
      <c r="AU13" s="11">
        <v>32287.09343</v>
      </c>
      <c r="AV13" s="11"/>
      <c r="AW13" s="11" t="s">
        <v>354</v>
      </c>
      <c r="AX13" s="11">
        <v>65467.094</v>
      </c>
      <c r="AY13" s="11">
        <v>55060.324</v>
      </c>
      <c r="AZ13" s="11">
        <v>14707.705</v>
      </c>
      <c r="BA13" s="11"/>
      <c r="BB13" s="11" t="s">
        <v>353</v>
      </c>
      <c r="BC13" s="11">
        <v>121315.382</v>
      </c>
      <c r="BD13" s="11">
        <v>202588.232</v>
      </c>
      <c r="BE13" s="11">
        <v>261570.887</v>
      </c>
      <c r="BF13" s="11"/>
      <c r="BG13" s="11" t="s">
        <v>349</v>
      </c>
      <c r="BH13" s="11">
        <v>5447.26547</v>
      </c>
      <c r="BI13" s="11">
        <v>2139.07664</v>
      </c>
      <c r="BJ13" s="11">
        <v>11106.37213</v>
      </c>
      <c r="BK13" s="11">
        <v>24713.03006</v>
      </c>
      <c r="BL13" s="11"/>
      <c r="BM13" s="11" t="s">
        <v>354</v>
      </c>
      <c r="BN13" s="11">
        <v>717196.0890000002</v>
      </c>
      <c r="BO13" s="11">
        <v>865604.1369999999</v>
      </c>
      <c r="BP13" s="11">
        <v>909406.2110000001</v>
      </c>
      <c r="BQ13" s="11">
        <v>770554.6475999999</v>
      </c>
      <c r="BR13" s="11"/>
      <c r="BS13" s="11" t="s">
        <v>354</v>
      </c>
      <c r="BT13" s="11">
        <v>979926.675</v>
      </c>
      <c r="BU13" s="11">
        <v>1376748.308</v>
      </c>
      <c r="BV13" s="11">
        <v>1612973.52</v>
      </c>
      <c r="BW13" s="11"/>
      <c r="BX13" s="11" t="s">
        <v>349</v>
      </c>
      <c r="BY13" s="11">
        <v>15793.65702</v>
      </c>
      <c r="BZ13" s="11">
        <v>20165.22792</v>
      </c>
      <c r="CA13" s="11">
        <v>24153.54173</v>
      </c>
      <c r="CB13" s="11"/>
      <c r="CC13" s="40" t="s">
        <v>350</v>
      </c>
      <c r="CD13" s="43">
        <v>0.0</v>
      </c>
      <c r="CE13" s="40"/>
      <c r="CF13" s="40"/>
      <c r="CG13" s="40" t="s">
        <v>349</v>
      </c>
      <c r="CH13" s="43">
        <v>14171.65</v>
      </c>
      <c r="CI13" s="43">
        <v>22085.89693</v>
      </c>
      <c r="CJ13" s="43">
        <v>25741.04766</v>
      </c>
      <c r="CK13" s="43">
        <v>8222.09398</v>
      </c>
      <c r="CL13" s="11"/>
    </row>
    <row r="14">
      <c r="A14" s="11" t="s">
        <v>355</v>
      </c>
      <c r="B14" s="11">
        <v>0.0</v>
      </c>
      <c r="C14" s="11">
        <v>0.0</v>
      </c>
      <c r="D14" s="11">
        <v>0.0</v>
      </c>
      <c r="E14" s="11">
        <v>0.0</v>
      </c>
      <c r="F14" s="11">
        <v>0.0</v>
      </c>
      <c r="G14" s="11"/>
      <c r="H14" s="11" t="s">
        <v>355</v>
      </c>
      <c r="I14" s="11">
        <v>0.0</v>
      </c>
      <c r="J14" s="11">
        <v>0.0</v>
      </c>
      <c r="K14" s="11">
        <v>-55877.684</v>
      </c>
      <c r="L14" s="11">
        <v>-55517.559</v>
      </c>
      <c r="M14" s="11">
        <v>0.0</v>
      </c>
      <c r="N14" s="11"/>
      <c r="O14" s="11" t="s">
        <v>355</v>
      </c>
      <c r="P14" s="11">
        <v>0.0</v>
      </c>
      <c r="Q14" s="11">
        <v>-20888.606</v>
      </c>
      <c r="R14" s="11">
        <v>-31836.604</v>
      </c>
      <c r="S14" s="11">
        <v>-38586.109</v>
      </c>
      <c r="T14" s="11">
        <v>0.0</v>
      </c>
      <c r="U14" s="11"/>
      <c r="V14" s="11" t="s">
        <v>355</v>
      </c>
      <c r="W14" s="11">
        <v>0.0</v>
      </c>
      <c r="X14" s="11">
        <v>0.0</v>
      </c>
      <c r="Y14" s="11">
        <v>0.0</v>
      </c>
      <c r="Z14" s="11">
        <v>0.0</v>
      </c>
      <c r="AA14" s="11"/>
      <c r="AB14" s="11" t="s">
        <v>353</v>
      </c>
      <c r="AC14" s="11">
        <v>11659.976</v>
      </c>
      <c r="AD14" s="11">
        <v>15259.61799999999</v>
      </c>
      <c r="AE14" s="11">
        <v>17501.956</v>
      </c>
      <c r="AF14" s="11"/>
      <c r="AG14" s="11" t="s">
        <v>356</v>
      </c>
      <c r="AH14" s="11">
        <v>0.0</v>
      </c>
      <c r="AI14" s="11">
        <v>78.43871</v>
      </c>
      <c r="AJ14" s="11">
        <v>39.23816</v>
      </c>
      <c r="AK14" s="11"/>
      <c r="AL14" s="11"/>
      <c r="AM14" s="11" t="s">
        <v>353</v>
      </c>
      <c r="AN14" s="11">
        <v>0.0</v>
      </c>
      <c r="AO14" s="11">
        <v>2216.48983</v>
      </c>
      <c r="AP14" s="11"/>
      <c r="AQ14" s="11" t="s">
        <v>353</v>
      </c>
      <c r="AR14" s="11">
        <v>14463.586</v>
      </c>
      <c r="AS14" s="11">
        <v>22841.0481</v>
      </c>
      <c r="AT14" s="11">
        <v>22850.36403999999</v>
      </c>
      <c r="AU14" s="11">
        <v>11876.6247</v>
      </c>
      <c r="AV14" s="11"/>
      <c r="AW14" s="11" t="s">
        <v>353</v>
      </c>
      <c r="AX14" s="11">
        <v>16770.439</v>
      </c>
      <c r="AY14" s="11">
        <v>13780.219</v>
      </c>
      <c r="AZ14" s="11">
        <v>4967.259</v>
      </c>
      <c r="BA14" s="11"/>
      <c r="BB14" s="11" t="s">
        <v>357</v>
      </c>
      <c r="BC14" s="11">
        <v>710.921</v>
      </c>
      <c r="BD14" s="11">
        <v>954.858</v>
      </c>
      <c r="BE14" s="11">
        <v>1511.089</v>
      </c>
      <c r="BF14" s="11"/>
      <c r="BG14" s="11" t="s">
        <v>354</v>
      </c>
      <c r="BH14" s="11">
        <v>3622.43154</v>
      </c>
      <c r="BI14" s="11">
        <v>1723.02624</v>
      </c>
      <c r="BJ14" s="11">
        <v>8404.19179</v>
      </c>
      <c r="BK14" s="11">
        <v>18754.71854</v>
      </c>
      <c r="BL14" s="11"/>
      <c r="BM14" s="11" t="s">
        <v>353</v>
      </c>
      <c r="BN14" s="11">
        <v>149446.5329999999</v>
      </c>
      <c r="BO14" s="11">
        <v>194584.2660000003</v>
      </c>
      <c r="BP14" s="11">
        <v>193046.446</v>
      </c>
      <c r="BQ14" s="11">
        <v>195368.1614000001</v>
      </c>
      <c r="BR14" s="11"/>
      <c r="BS14" s="11" t="s">
        <v>353</v>
      </c>
      <c r="BT14" s="11">
        <v>243038.121</v>
      </c>
      <c r="BU14" s="11">
        <v>299111.0209999999</v>
      </c>
      <c r="BV14" s="11">
        <v>459410.9879999999</v>
      </c>
      <c r="BW14" s="11"/>
      <c r="BX14" s="11" t="s">
        <v>354</v>
      </c>
      <c r="BY14" s="11">
        <v>10710.19139</v>
      </c>
      <c r="BZ14" s="11">
        <v>13076.1972</v>
      </c>
      <c r="CA14" s="11">
        <v>15680.54376</v>
      </c>
      <c r="CB14" s="11"/>
      <c r="CC14" s="40" t="s">
        <v>349</v>
      </c>
      <c r="CD14" s="43">
        <v>2842.924</v>
      </c>
      <c r="CE14" s="43">
        <v>4509.46493</v>
      </c>
      <c r="CF14" s="40"/>
      <c r="CG14" s="40" t="s">
        <v>354</v>
      </c>
      <c r="CH14" s="43">
        <v>8604.127</v>
      </c>
      <c r="CI14" s="43">
        <v>10604.47322</v>
      </c>
      <c r="CJ14" s="43">
        <v>11055.69728</v>
      </c>
      <c r="CK14" s="43">
        <v>4026.44984</v>
      </c>
      <c r="CL14" s="11"/>
    </row>
    <row r="15">
      <c r="A15" s="11" t="s">
        <v>353</v>
      </c>
      <c r="B15" s="11">
        <v>8467.346</v>
      </c>
      <c r="C15" s="11">
        <v>10663.335</v>
      </c>
      <c r="D15" s="11">
        <v>18193.739</v>
      </c>
      <c r="E15" s="11">
        <v>21084.374</v>
      </c>
      <c r="F15" s="11">
        <v>15191.11</v>
      </c>
      <c r="G15" s="11"/>
      <c r="H15" s="11" t="s">
        <v>353</v>
      </c>
      <c r="I15" s="11">
        <v>186246.0</v>
      </c>
      <c r="J15" s="11">
        <v>128497.0</v>
      </c>
      <c r="K15" s="11">
        <v>72150.58799999996</v>
      </c>
      <c r="L15" s="11">
        <v>118731.193</v>
      </c>
      <c r="M15" s="11">
        <v>125226.891</v>
      </c>
      <c r="N15" s="11"/>
      <c r="O15" s="11" t="s">
        <v>353</v>
      </c>
      <c r="P15" s="11">
        <v>1866.0</v>
      </c>
      <c r="Q15" s="11">
        <v>25676.77899999999</v>
      </c>
      <c r="R15" s="11">
        <v>38010.32900000001</v>
      </c>
      <c r="S15" s="11">
        <v>33188.712</v>
      </c>
      <c r="T15" s="11">
        <v>50265.48800000001</v>
      </c>
      <c r="U15" s="11"/>
      <c r="V15" s="11" t="s">
        <v>353</v>
      </c>
      <c r="W15" s="11">
        <v>2085.294</v>
      </c>
      <c r="X15" s="11">
        <v>1460.283</v>
      </c>
      <c r="Y15" s="11">
        <v>8987.408</v>
      </c>
      <c r="Z15" s="11">
        <v>8788.205</v>
      </c>
      <c r="AA15" s="11"/>
      <c r="AB15" s="11" t="s">
        <v>357</v>
      </c>
      <c r="AC15" s="11">
        <v>-2685.732</v>
      </c>
      <c r="AD15" s="11">
        <v>-2686.578</v>
      </c>
      <c r="AE15" s="11">
        <v>-2729.234</v>
      </c>
      <c r="AF15" s="11"/>
      <c r="AG15" s="11" t="s">
        <v>358</v>
      </c>
      <c r="AH15" s="11">
        <v>0.0</v>
      </c>
      <c r="AI15" s="11">
        <v>78.43871</v>
      </c>
      <c r="AJ15" s="11">
        <v>39.23816</v>
      </c>
      <c r="AK15" s="11">
        <v>0.0</v>
      </c>
      <c r="AL15" s="11"/>
      <c r="AM15" s="11" t="s">
        <v>357</v>
      </c>
      <c r="AN15" s="11">
        <v>0.0</v>
      </c>
      <c r="AO15" s="11"/>
      <c r="AP15" s="11"/>
      <c r="AQ15" s="11" t="s">
        <v>357</v>
      </c>
      <c r="AR15" s="11"/>
      <c r="AS15" s="11">
        <v>2745.6346</v>
      </c>
      <c r="AT15" s="11">
        <v>3022.57135</v>
      </c>
      <c r="AU15" s="11">
        <v>1504.6245</v>
      </c>
      <c r="AV15" s="11"/>
      <c r="AW15" s="11" t="s">
        <v>356</v>
      </c>
      <c r="AX15" s="11">
        <v>6167.267</v>
      </c>
      <c r="AY15" s="11">
        <v>6029.469</v>
      </c>
      <c r="AZ15" s="11">
        <v>2603.424</v>
      </c>
      <c r="BA15" s="11"/>
      <c r="BB15" s="11" t="s">
        <v>356</v>
      </c>
      <c r="BC15" s="11">
        <v>71345.801</v>
      </c>
      <c r="BD15" s="11">
        <v>130092.242</v>
      </c>
      <c r="BE15" s="11">
        <v>171178.549</v>
      </c>
      <c r="BF15" s="11"/>
      <c r="BG15" s="11" t="s">
        <v>353</v>
      </c>
      <c r="BH15" s="11">
        <v>1824.83393</v>
      </c>
      <c r="BI15" s="11">
        <v>416.0504000000001</v>
      </c>
      <c r="BJ15" s="11">
        <v>2702.180339999999</v>
      </c>
      <c r="BK15" s="11">
        <v>5958.311519999999</v>
      </c>
      <c r="BL15" s="11"/>
      <c r="BM15" s="11" t="s">
        <v>357</v>
      </c>
      <c r="BN15" s="11">
        <v>32369.525</v>
      </c>
      <c r="BO15" s="11">
        <v>37068.18</v>
      </c>
      <c r="BP15" s="11">
        <v>33617.194</v>
      </c>
      <c r="BQ15" s="11">
        <v>24837.878</v>
      </c>
      <c r="BR15" s="11"/>
      <c r="BS15" s="11" t="s">
        <v>357</v>
      </c>
      <c r="BT15" s="11">
        <v>1869.808</v>
      </c>
      <c r="BU15" s="11">
        <v>6969.464</v>
      </c>
      <c r="BV15" s="11"/>
      <c r="BW15" s="11"/>
      <c r="BX15" s="11" t="s">
        <v>353</v>
      </c>
      <c r="BY15" s="11">
        <v>5083.465630000001</v>
      </c>
      <c r="BZ15" s="11">
        <v>7089.030720000001</v>
      </c>
      <c r="CA15" s="11">
        <v>8472.99797</v>
      </c>
      <c r="CB15" s="11"/>
      <c r="CC15" s="40" t="s">
        <v>354</v>
      </c>
      <c r="CD15" s="43">
        <v>1789.497</v>
      </c>
      <c r="CE15" s="43">
        <v>2392.45625</v>
      </c>
      <c r="CF15" s="40"/>
      <c r="CG15" s="40" t="s">
        <v>353</v>
      </c>
      <c r="CH15" s="43">
        <v>5567.522999999999</v>
      </c>
      <c r="CI15" s="43">
        <v>11481.42371</v>
      </c>
      <c r="CJ15" s="43">
        <v>14685.35038</v>
      </c>
      <c r="CK15" s="43">
        <v>4195.644139999999</v>
      </c>
      <c r="CL15" s="11"/>
    </row>
    <row r="16">
      <c r="A16" s="11" t="s">
        <v>357</v>
      </c>
      <c r="B16" s="11">
        <v>0.0</v>
      </c>
      <c r="C16" s="11">
        <v>0.0</v>
      </c>
      <c r="D16" s="11">
        <v>0.0</v>
      </c>
      <c r="E16" s="11">
        <v>0.0</v>
      </c>
      <c r="F16" s="11">
        <v>0.0</v>
      </c>
      <c r="G16" s="11"/>
      <c r="H16" s="11" t="s">
        <v>357</v>
      </c>
      <c r="I16" s="11">
        <v>-121127.0</v>
      </c>
      <c r="J16" s="11">
        <v>-71779.0</v>
      </c>
      <c r="K16" s="11">
        <v>0.0</v>
      </c>
      <c r="L16" s="11">
        <v>0.0</v>
      </c>
      <c r="M16" s="11">
        <v>0.0</v>
      </c>
      <c r="N16" s="11"/>
      <c r="O16" s="11" t="s">
        <v>357</v>
      </c>
      <c r="P16" s="11">
        <v>-2638.0</v>
      </c>
      <c r="Q16" s="11">
        <v>0.0</v>
      </c>
      <c r="R16" s="11">
        <v>0.0</v>
      </c>
      <c r="S16" s="11">
        <v>0.0</v>
      </c>
      <c r="T16" s="11">
        <v>0.0</v>
      </c>
      <c r="U16" s="11"/>
      <c r="V16" s="11" t="s">
        <v>357</v>
      </c>
      <c r="W16" s="11">
        <v>0.0</v>
      </c>
      <c r="X16" s="11">
        <v>0.0</v>
      </c>
      <c r="Y16" s="11">
        <v>0.0</v>
      </c>
      <c r="Z16" s="11">
        <v>0.0</v>
      </c>
      <c r="AA16" s="11"/>
      <c r="AB16" s="11" t="s">
        <v>356</v>
      </c>
      <c r="AC16" s="11">
        <v>-4964.617</v>
      </c>
      <c r="AD16" s="11">
        <v>-6716.534</v>
      </c>
      <c r="AE16" s="11">
        <v>-7394.33</v>
      </c>
      <c r="AF16" s="11"/>
      <c r="AG16" s="11" t="s">
        <v>359</v>
      </c>
      <c r="AH16" s="11">
        <v>0.0</v>
      </c>
      <c r="AI16" s="11">
        <v>5.89129</v>
      </c>
      <c r="AJ16" s="11">
        <v>1.85184</v>
      </c>
      <c r="AK16" s="11">
        <v>0.0</v>
      </c>
      <c r="AL16" s="11"/>
      <c r="AM16" s="11" t="s">
        <v>356</v>
      </c>
      <c r="AN16" s="11">
        <v>0.0</v>
      </c>
      <c r="AO16" s="11">
        <v>939.50873</v>
      </c>
      <c r="AP16" s="11"/>
      <c r="AQ16" s="11" t="s">
        <v>356</v>
      </c>
      <c r="AR16" s="11">
        <v>8953.837</v>
      </c>
      <c r="AS16" s="11">
        <v>12355.00963</v>
      </c>
      <c r="AT16" s="11">
        <v>11595.02364</v>
      </c>
      <c r="AU16" s="11">
        <v>7274.92404</v>
      </c>
      <c r="AV16" s="11"/>
      <c r="AW16" s="11" t="s">
        <v>358</v>
      </c>
      <c r="AX16" s="11">
        <v>6167.267</v>
      </c>
      <c r="AY16" s="11">
        <v>6029.469</v>
      </c>
      <c r="AZ16" s="11">
        <v>2603.424</v>
      </c>
      <c r="BA16" s="11"/>
      <c r="BB16" s="11" t="s">
        <v>360</v>
      </c>
      <c r="BC16" s="11">
        <v>10881.87</v>
      </c>
      <c r="BD16" s="11">
        <v>12581.331</v>
      </c>
      <c r="BE16" s="11">
        <v>11029.677</v>
      </c>
      <c r="BF16" s="11"/>
      <c r="BG16" s="11" t="s">
        <v>357</v>
      </c>
      <c r="BH16" s="11">
        <v>234.632106</v>
      </c>
      <c r="BI16" s="11">
        <v>119.17087</v>
      </c>
      <c r="BJ16" s="11">
        <v>588.63772</v>
      </c>
      <c r="BK16" s="11">
        <v>1669.40436</v>
      </c>
      <c r="BL16" s="11"/>
      <c r="BM16" s="11" t="s">
        <v>356</v>
      </c>
      <c r="BN16" s="11">
        <v>39193.065</v>
      </c>
      <c r="BO16" s="11">
        <v>47336.08199999999</v>
      </c>
      <c r="BP16" s="11">
        <v>50465.75599999999</v>
      </c>
      <c r="BQ16" s="11">
        <v>66903.19</v>
      </c>
      <c r="BR16" s="11"/>
      <c r="BS16" s="11" t="s">
        <v>356</v>
      </c>
      <c r="BT16" s="11">
        <v>238988.187</v>
      </c>
      <c r="BU16" s="11">
        <v>315936.731</v>
      </c>
      <c r="BV16" s="11">
        <v>420878.859</v>
      </c>
      <c r="BW16" s="11"/>
      <c r="BX16" s="11" t="s">
        <v>356</v>
      </c>
      <c r="BY16" s="11">
        <v>2730.86537</v>
      </c>
      <c r="BZ16" s="11">
        <v>3812.00406</v>
      </c>
      <c r="CA16" s="11">
        <v>3565.2331</v>
      </c>
      <c r="CB16" s="11"/>
      <c r="CC16" s="40" t="s">
        <v>353</v>
      </c>
      <c r="CD16" s="43">
        <v>1053.427</v>
      </c>
      <c r="CE16" s="43">
        <v>2117.00868</v>
      </c>
      <c r="CF16" s="40"/>
      <c r="CG16" s="40" t="s">
        <v>357</v>
      </c>
      <c r="CH16" s="40"/>
      <c r="CI16" s="43">
        <v>222.75491</v>
      </c>
      <c r="CJ16" s="40"/>
      <c r="CK16" s="40"/>
      <c r="CL16" s="11"/>
    </row>
    <row r="17">
      <c r="A17" s="11" t="s">
        <v>356</v>
      </c>
      <c r="B17" s="11">
        <v>-5280.811</v>
      </c>
      <c r="C17" s="11">
        <v>-7727.857</v>
      </c>
      <c r="D17" s="11">
        <v>-13232.878</v>
      </c>
      <c r="E17" s="11">
        <v>-14878.945</v>
      </c>
      <c r="F17" s="11">
        <v>0.0</v>
      </c>
      <c r="G17" s="11"/>
      <c r="H17" s="11" t="s">
        <v>356</v>
      </c>
      <c r="I17" s="11">
        <v>0.0</v>
      </c>
      <c r="J17" s="11">
        <v>0.0</v>
      </c>
      <c r="K17" s="11">
        <v>-47750.816</v>
      </c>
      <c r="L17" s="11">
        <v>-35870.766</v>
      </c>
      <c r="M17" s="11">
        <v>-68485.369</v>
      </c>
      <c r="N17" s="11"/>
      <c r="O17" s="11" t="s">
        <v>361</v>
      </c>
      <c r="P17" s="11">
        <v>-1363.0</v>
      </c>
      <c r="Q17" s="11">
        <v>-19654.592</v>
      </c>
      <c r="R17" s="11">
        <v>-25045.563</v>
      </c>
      <c r="S17" s="11">
        <v>-17485.196</v>
      </c>
      <c r="T17" s="11">
        <v>0.0</v>
      </c>
      <c r="U17" s="11"/>
      <c r="V17" s="11" t="s">
        <v>356</v>
      </c>
      <c r="W17" s="11">
        <v>0.0</v>
      </c>
      <c r="X17" s="11">
        <v>0.0</v>
      </c>
      <c r="Y17" s="11">
        <v>0.0</v>
      </c>
      <c r="Z17" s="11">
        <v>0.0</v>
      </c>
      <c r="AA17" s="11"/>
      <c r="AB17" s="11" t="s">
        <v>358</v>
      </c>
      <c r="AC17" s="11">
        <v>-7650.349</v>
      </c>
      <c r="AD17" s="11">
        <v>-9403.112</v>
      </c>
      <c r="AE17" s="11">
        <v>-10123.564</v>
      </c>
      <c r="AF17" s="11"/>
      <c r="AG17" s="11" t="s">
        <v>362</v>
      </c>
      <c r="AH17" s="11">
        <v>0.28</v>
      </c>
      <c r="AI17" s="11">
        <v>0.36</v>
      </c>
      <c r="AJ17" s="11">
        <v>0.0</v>
      </c>
      <c r="AK17" s="11"/>
      <c r="AL17" s="11"/>
      <c r="AM17" s="11" t="s">
        <v>358</v>
      </c>
      <c r="AN17" s="11">
        <v>0.0</v>
      </c>
      <c r="AO17" s="11">
        <v>939.50873</v>
      </c>
      <c r="AP17" s="11"/>
      <c r="AQ17" s="11" t="s">
        <v>358</v>
      </c>
      <c r="AR17" s="11">
        <v>8953.837</v>
      </c>
      <c r="AS17" s="11">
        <v>15100.64423</v>
      </c>
      <c r="AT17" s="11">
        <v>14617.59499</v>
      </c>
      <c r="AU17" s="11">
        <v>8779.54854</v>
      </c>
      <c r="AV17" s="11"/>
      <c r="AW17" s="11" t="s">
        <v>359</v>
      </c>
      <c r="AX17" s="11">
        <v>10603.172</v>
      </c>
      <c r="AY17" s="11">
        <v>7750.750000000005</v>
      </c>
      <c r="AZ17" s="11">
        <v>2363.835</v>
      </c>
      <c r="BA17" s="11"/>
      <c r="BB17" s="11" t="s">
        <v>358</v>
      </c>
      <c r="BC17" s="11">
        <v>82938.592</v>
      </c>
      <c r="BD17" s="11">
        <v>143628.431</v>
      </c>
      <c r="BE17" s="11">
        <v>183719.315</v>
      </c>
      <c r="BF17" s="11"/>
      <c r="BG17" s="11" t="s">
        <v>356</v>
      </c>
      <c r="BH17" s="11">
        <v>253.91693</v>
      </c>
      <c r="BI17" s="11">
        <v>81.83588999999999</v>
      </c>
      <c r="BJ17" s="11">
        <v>166.44379</v>
      </c>
      <c r="BK17" s="11">
        <v>642.57648</v>
      </c>
      <c r="BL17" s="11"/>
      <c r="BM17" s="11" t="s">
        <v>360</v>
      </c>
      <c r="BN17" s="11">
        <v>749.898</v>
      </c>
      <c r="BO17" s="11">
        <v>548.346</v>
      </c>
      <c r="BP17" s="11">
        <v>524.113</v>
      </c>
      <c r="BQ17" s="11"/>
      <c r="BR17" s="11"/>
      <c r="BS17" s="11" t="s">
        <v>360</v>
      </c>
      <c r="BT17" s="11">
        <v>1385.32</v>
      </c>
      <c r="BU17" s="11">
        <v>1661.278</v>
      </c>
      <c r="BV17" s="11"/>
      <c r="BW17" s="11"/>
      <c r="BX17" s="11" t="s">
        <v>358</v>
      </c>
      <c r="BY17" s="11">
        <v>2730.86537</v>
      </c>
      <c r="BZ17" s="11">
        <v>3812.00406</v>
      </c>
      <c r="CA17" s="11">
        <v>3565.2331</v>
      </c>
      <c r="CB17" s="11"/>
      <c r="CC17" s="40" t="s">
        <v>357</v>
      </c>
      <c r="CD17" s="43">
        <v>128.61</v>
      </c>
      <c r="CE17" s="43">
        <v>218.96791</v>
      </c>
      <c r="CF17" s="40"/>
      <c r="CG17" s="40" t="s">
        <v>356</v>
      </c>
      <c r="CH17" s="43">
        <v>5000.495</v>
      </c>
      <c r="CI17" s="43">
        <v>9028.395900000001</v>
      </c>
      <c r="CJ17" s="43">
        <v>11109.6464</v>
      </c>
      <c r="CK17" s="43">
        <v>3656.22518</v>
      </c>
      <c r="CL17" s="11"/>
    </row>
    <row r="18">
      <c r="A18" s="11" t="s">
        <v>363</v>
      </c>
      <c r="B18" s="11">
        <v>0.0</v>
      </c>
      <c r="C18" s="11">
        <v>0.0</v>
      </c>
      <c r="D18" s="11">
        <v>0.0</v>
      </c>
      <c r="E18" s="11">
        <v>0.0</v>
      </c>
      <c r="F18" s="11">
        <v>-9665.694</v>
      </c>
      <c r="G18" s="11"/>
      <c r="H18" s="11" t="s">
        <v>358</v>
      </c>
      <c r="I18" s="11">
        <v>-121127.0</v>
      </c>
      <c r="J18" s="11">
        <v>-71779.0</v>
      </c>
      <c r="K18" s="11">
        <v>-47750.816</v>
      </c>
      <c r="L18" s="11">
        <v>-35870.766</v>
      </c>
      <c r="M18" s="11">
        <v>-68485.369</v>
      </c>
      <c r="N18" s="11"/>
      <c r="O18" s="11" t="s">
        <v>364</v>
      </c>
      <c r="P18" s="11">
        <v>0.0</v>
      </c>
      <c r="Q18" s="11">
        <v>0.0</v>
      </c>
      <c r="R18" s="11">
        <v>0.0</v>
      </c>
      <c r="S18" s="11">
        <v>0.0</v>
      </c>
      <c r="T18" s="11">
        <v>-41790.343</v>
      </c>
      <c r="U18" s="11"/>
      <c r="V18" s="11" t="s">
        <v>363</v>
      </c>
      <c r="W18" s="11">
        <v>-2123.984</v>
      </c>
      <c r="X18" s="11">
        <v>-3785.491</v>
      </c>
      <c r="Y18" s="11">
        <v>-7594.94</v>
      </c>
      <c r="Z18" s="11">
        <v>-7747.944</v>
      </c>
      <c r="AA18" s="11"/>
      <c r="AB18" s="11" t="s">
        <v>359</v>
      </c>
      <c r="AC18" s="11">
        <v>4009.626999999999</v>
      </c>
      <c r="AD18" s="11">
        <v>5856.505999999996</v>
      </c>
      <c r="AE18" s="11">
        <v>7378.391999999998</v>
      </c>
      <c r="AF18" s="11"/>
      <c r="AG18" s="11" t="s">
        <v>365</v>
      </c>
      <c r="AH18" s="11">
        <v>-0.28</v>
      </c>
      <c r="AI18" s="11">
        <v>-0.36</v>
      </c>
      <c r="AJ18" s="11">
        <v>0.0</v>
      </c>
      <c r="AK18" s="11">
        <v>0.0</v>
      </c>
      <c r="AL18" s="11"/>
      <c r="AM18" s="11" t="s">
        <v>359</v>
      </c>
      <c r="AN18" s="11">
        <v>0.0</v>
      </c>
      <c r="AO18" s="11">
        <v>1276.9811</v>
      </c>
      <c r="AP18" s="11"/>
      <c r="AQ18" s="11" t="s">
        <v>359</v>
      </c>
      <c r="AR18" s="11">
        <v>5509.749000000003</v>
      </c>
      <c r="AS18" s="11">
        <v>7740.40387</v>
      </c>
      <c r="AT18" s="11">
        <v>8232.769049999994</v>
      </c>
      <c r="AU18" s="11">
        <v>3097.076160000001</v>
      </c>
      <c r="AV18" s="11"/>
      <c r="AW18" s="11" t="s">
        <v>366</v>
      </c>
      <c r="AX18" s="11">
        <v>258.192</v>
      </c>
      <c r="AY18" s="11">
        <v>440.024</v>
      </c>
      <c r="AZ18" s="11">
        <v>62.775</v>
      </c>
      <c r="BA18" s="11"/>
      <c r="BB18" s="11" t="s">
        <v>359</v>
      </c>
      <c r="BC18" s="11">
        <v>38376.78999999999</v>
      </c>
      <c r="BD18" s="11">
        <v>58959.80100000004</v>
      </c>
      <c r="BE18" s="11">
        <v>77851.57199999999</v>
      </c>
      <c r="BF18" s="11"/>
      <c r="BG18" s="11" t="s">
        <v>360</v>
      </c>
      <c r="BH18" s="11">
        <v>138.1091</v>
      </c>
      <c r="BI18" s="11">
        <v>194.37665</v>
      </c>
      <c r="BJ18" s="11">
        <v>364.04457</v>
      </c>
      <c r="BK18" s="11">
        <v>205.01908</v>
      </c>
      <c r="BL18" s="11"/>
      <c r="BM18" s="11" t="s">
        <v>358</v>
      </c>
      <c r="BN18" s="11">
        <v>72312.488</v>
      </c>
      <c r="BO18" s="11">
        <v>84952.608</v>
      </c>
      <c r="BP18" s="11">
        <v>84607.063</v>
      </c>
      <c r="BQ18" s="11">
        <v>91741.068</v>
      </c>
      <c r="BR18" s="11"/>
      <c r="BS18" s="11" t="s">
        <v>358</v>
      </c>
      <c r="BT18" s="11">
        <v>242243.315</v>
      </c>
      <c r="BU18" s="11">
        <v>324567.473</v>
      </c>
      <c r="BV18" s="11">
        <v>420878.859</v>
      </c>
      <c r="BW18" s="11"/>
      <c r="BX18" s="11" t="s">
        <v>359</v>
      </c>
      <c r="BY18" s="11">
        <v>2352.600260000001</v>
      </c>
      <c r="BZ18" s="11">
        <v>3277.02666</v>
      </c>
      <c r="CA18" s="11">
        <v>4907.764870000001</v>
      </c>
      <c r="CB18" s="11"/>
      <c r="CC18" s="40" t="s">
        <v>367</v>
      </c>
      <c r="CD18" s="40"/>
      <c r="CE18" s="40"/>
      <c r="CF18" s="40"/>
      <c r="CG18" s="40" t="s">
        <v>360</v>
      </c>
      <c r="CH18" s="43">
        <v>49.481</v>
      </c>
      <c r="CI18" s="43">
        <v>53.14669</v>
      </c>
      <c r="CJ18" s="43">
        <v>19.21379</v>
      </c>
      <c r="CK18" s="43">
        <v>50.70217</v>
      </c>
      <c r="CL18" s="11"/>
    </row>
    <row r="19">
      <c r="A19" s="11" t="s">
        <v>358</v>
      </c>
      <c r="B19" s="11">
        <v>-5280.811</v>
      </c>
      <c r="C19" s="11">
        <v>-7727.857</v>
      </c>
      <c r="D19" s="11">
        <v>-13232.878</v>
      </c>
      <c r="E19" s="11">
        <v>-14878.945</v>
      </c>
      <c r="F19" s="11">
        <v>-9665.694</v>
      </c>
      <c r="G19" s="11"/>
      <c r="H19" s="11" t="s">
        <v>359</v>
      </c>
      <c r="I19" s="11">
        <v>65119.0</v>
      </c>
      <c r="J19" s="11">
        <v>56718.0</v>
      </c>
      <c r="K19" s="11">
        <v>24399.77199999996</v>
      </c>
      <c r="L19" s="11">
        <v>82860.427</v>
      </c>
      <c r="M19" s="11">
        <v>56741.52200000003</v>
      </c>
      <c r="N19" s="11"/>
      <c r="O19" s="11" t="s">
        <v>360</v>
      </c>
      <c r="P19" s="11">
        <v>0.0</v>
      </c>
      <c r="Q19" s="11">
        <v>0.0</v>
      </c>
      <c r="R19" s="11">
        <v>0.0</v>
      </c>
      <c r="S19" s="11">
        <v>0.0</v>
      </c>
      <c r="T19" s="11">
        <v>-892.218</v>
      </c>
      <c r="U19" s="11"/>
      <c r="V19" s="11" t="s">
        <v>368</v>
      </c>
      <c r="W19" s="11">
        <v>0.0</v>
      </c>
      <c r="X19" s="11">
        <v>0.0</v>
      </c>
      <c r="Y19" s="11">
        <v>0.0</v>
      </c>
      <c r="Z19" s="11">
        <v>0.0</v>
      </c>
      <c r="AA19" s="11"/>
      <c r="AB19" s="11" t="s">
        <v>366</v>
      </c>
      <c r="AC19" s="11">
        <v>28.825</v>
      </c>
      <c r="AD19" s="11">
        <v>36.26</v>
      </c>
      <c r="AE19" s="11">
        <v>1510.771</v>
      </c>
      <c r="AF19" s="11"/>
      <c r="AG19" s="11" t="s">
        <v>369</v>
      </c>
      <c r="AH19" s="11">
        <v>-0.28</v>
      </c>
      <c r="AI19" s="11">
        <v>5.53129</v>
      </c>
      <c r="AJ19" s="11">
        <v>1.85184</v>
      </c>
      <c r="AK19" s="11">
        <v>0.0</v>
      </c>
      <c r="AL19" s="11"/>
      <c r="AM19" s="11" t="s">
        <v>366</v>
      </c>
      <c r="AN19" s="11">
        <v>29.718</v>
      </c>
      <c r="AO19" s="11"/>
      <c r="AP19" s="11"/>
      <c r="AQ19" s="11" t="s">
        <v>366</v>
      </c>
      <c r="AR19" s="11"/>
      <c r="AS19" s="11">
        <v>309.3447</v>
      </c>
      <c r="AT19" s="11">
        <v>1219.10495</v>
      </c>
      <c r="AU19" s="11">
        <v>805.85127</v>
      </c>
      <c r="AV19" s="11"/>
      <c r="AW19" s="11" t="s">
        <v>370</v>
      </c>
      <c r="AX19" s="11">
        <v>2662.058</v>
      </c>
      <c r="AY19" s="11">
        <v>3257.101</v>
      </c>
      <c r="AZ19" s="11">
        <v>836.491</v>
      </c>
      <c r="BA19" s="11"/>
      <c r="BB19" s="11" t="s">
        <v>366</v>
      </c>
      <c r="BC19" s="11">
        <v>675.08</v>
      </c>
      <c r="BD19" s="11">
        <v>266.949</v>
      </c>
      <c r="BE19" s="11">
        <v>172.354</v>
      </c>
      <c r="BF19" s="11"/>
      <c r="BG19" s="11" t="s">
        <v>371</v>
      </c>
      <c r="BH19" s="11">
        <v>185.1426</v>
      </c>
      <c r="BI19" s="11">
        <v>185.1456</v>
      </c>
      <c r="BJ19" s="11">
        <v>185.1456</v>
      </c>
      <c r="BK19" s="11">
        <v>77.144</v>
      </c>
      <c r="BL19" s="11"/>
      <c r="BM19" s="11" t="s">
        <v>359</v>
      </c>
      <c r="BN19" s="11">
        <v>77134.04499999994</v>
      </c>
      <c r="BO19" s="11">
        <v>109631.6580000003</v>
      </c>
      <c r="BP19" s="11">
        <v>108439.383</v>
      </c>
      <c r="BQ19" s="11">
        <v>103627.0934000001</v>
      </c>
      <c r="BR19" s="11"/>
      <c r="BS19" s="11" t="s">
        <v>359</v>
      </c>
      <c r="BT19" s="11">
        <v>794.8060000000405</v>
      </c>
      <c r="BU19" s="11">
        <v>-25456.45200000005</v>
      </c>
      <c r="BV19" s="11">
        <v>38532.1289999999</v>
      </c>
      <c r="BW19" s="11"/>
      <c r="BX19" s="11" t="s">
        <v>362</v>
      </c>
      <c r="BY19" s="11">
        <v>0.0</v>
      </c>
      <c r="BZ19" s="11">
        <v>0.0</v>
      </c>
      <c r="CA19" s="11">
        <v>0.0</v>
      </c>
      <c r="CB19" s="11"/>
      <c r="CC19" s="40" t="s">
        <v>372</v>
      </c>
      <c r="CD19" s="40"/>
      <c r="CE19" s="40"/>
      <c r="CF19" s="40"/>
      <c r="CG19" s="40" t="s">
        <v>371</v>
      </c>
      <c r="CH19" s="43">
        <v>4.43</v>
      </c>
      <c r="CI19" s="40"/>
      <c r="CJ19" s="40"/>
      <c r="CK19" s="40"/>
      <c r="CL19" s="11"/>
    </row>
    <row r="20" ht="15.75" customHeight="1">
      <c r="A20" s="11" t="s">
        <v>359</v>
      </c>
      <c r="B20" s="11">
        <v>3186.535</v>
      </c>
      <c r="C20" s="11">
        <v>2935.478</v>
      </c>
      <c r="D20" s="11">
        <v>4960.861</v>
      </c>
      <c r="E20" s="11">
        <v>6205.429</v>
      </c>
      <c r="F20" s="11">
        <v>5525.416</v>
      </c>
      <c r="G20" s="11"/>
      <c r="H20" s="11" t="s">
        <v>373</v>
      </c>
      <c r="I20" s="11">
        <v>-9697.0</v>
      </c>
      <c r="J20" s="11">
        <v>-7491.0</v>
      </c>
      <c r="K20" s="11">
        <v>11096.432</v>
      </c>
      <c r="L20" s="11">
        <v>-48207.211</v>
      </c>
      <c r="M20" s="11">
        <v>-12947.056</v>
      </c>
      <c r="N20" s="11"/>
      <c r="O20" s="11" t="s">
        <v>371</v>
      </c>
      <c r="P20" s="11">
        <v>0.0</v>
      </c>
      <c r="Q20" s="11">
        <v>0.0</v>
      </c>
      <c r="R20" s="11">
        <v>0.0</v>
      </c>
      <c r="S20" s="11">
        <v>0.0</v>
      </c>
      <c r="T20" s="11">
        <v>-710.364</v>
      </c>
      <c r="U20" s="11"/>
      <c r="V20" s="11" t="s">
        <v>360</v>
      </c>
      <c r="W20" s="11">
        <v>0.0</v>
      </c>
      <c r="X20" s="11">
        <v>0.0</v>
      </c>
      <c r="Y20" s="11">
        <v>0.0</v>
      </c>
      <c r="Z20" s="11">
        <v>0.0</v>
      </c>
      <c r="AA20" s="11"/>
      <c r="AB20" s="11" t="s">
        <v>362</v>
      </c>
      <c r="AC20" s="11">
        <v>0.0</v>
      </c>
      <c r="AD20" s="11">
        <v>0.0</v>
      </c>
      <c r="AE20" s="11">
        <v>-372.01</v>
      </c>
      <c r="AF20" s="11"/>
      <c r="AG20" s="11" t="s">
        <v>374</v>
      </c>
      <c r="AH20" s="11"/>
      <c r="AI20" s="11"/>
      <c r="AJ20" s="11"/>
      <c r="AK20" s="11"/>
      <c r="AL20" s="11"/>
      <c r="AM20" s="11" t="s">
        <v>362</v>
      </c>
      <c r="AN20" s="11">
        <v>435.83222</v>
      </c>
      <c r="AO20" s="11">
        <v>44.82959</v>
      </c>
      <c r="AP20" s="11"/>
      <c r="AQ20" s="11" t="s">
        <v>362</v>
      </c>
      <c r="AR20" s="11">
        <v>1877.687</v>
      </c>
      <c r="AS20" s="11">
        <v>448.3314</v>
      </c>
      <c r="AT20" s="11">
        <v>423.28874</v>
      </c>
      <c r="AU20" s="11">
        <v>207.40788</v>
      </c>
      <c r="AV20" s="11"/>
      <c r="AW20" s="11" t="s">
        <v>365</v>
      </c>
      <c r="AX20" s="11">
        <v>-2403.866</v>
      </c>
      <c r="AY20" s="11">
        <v>-2817.077</v>
      </c>
      <c r="AZ20" s="11">
        <v>-773.716</v>
      </c>
      <c r="BA20" s="11"/>
      <c r="BB20" s="11" t="s">
        <v>362</v>
      </c>
      <c r="BC20" s="11">
        <v>226.743</v>
      </c>
      <c r="BD20" s="11">
        <v>160.635</v>
      </c>
      <c r="BE20" s="11">
        <v>4820.574</v>
      </c>
      <c r="BF20" s="11"/>
      <c r="BG20" s="11" t="s">
        <v>358</v>
      </c>
      <c r="BH20" s="11">
        <v>811.800736</v>
      </c>
      <c r="BI20" s="11">
        <v>580.52901</v>
      </c>
      <c r="BJ20" s="11">
        <v>1304.27168</v>
      </c>
      <c r="BK20" s="11">
        <v>2594.14392</v>
      </c>
      <c r="BL20" s="11"/>
      <c r="BM20" s="11" t="s">
        <v>366</v>
      </c>
      <c r="BN20" s="11">
        <v>19235.121</v>
      </c>
      <c r="BO20" s="11">
        <v>19101.276</v>
      </c>
      <c r="BP20" s="11">
        <v>45379.513</v>
      </c>
      <c r="BQ20" s="11">
        <v>17378.707</v>
      </c>
      <c r="BR20" s="11"/>
      <c r="BS20" s="11" t="s">
        <v>366</v>
      </c>
      <c r="BT20" s="11">
        <v>3149.494</v>
      </c>
      <c r="BU20" s="11">
        <v>-2288.598</v>
      </c>
      <c r="BV20" s="11">
        <v>5028.472</v>
      </c>
      <c r="BW20" s="11"/>
      <c r="BX20" s="11" t="s">
        <v>365</v>
      </c>
      <c r="BY20" s="11">
        <v>0.0</v>
      </c>
      <c r="BZ20" s="11">
        <v>0.0</v>
      </c>
      <c r="CA20" s="11">
        <v>0.0</v>
      </c>
      <c r="CB20" s="11"/>
      <c r="CC20" s="40" t="s">
        <v>375</v>
      </c>
      <c r="CD20" s="40"/>
      <c r="CE20" s="40"/>
      <c r="CF20" s="40"/>
      <c r="CG20" s="40" t="s">
        <v>358</v>
      </c>
      <c r="CH20" s="43">
        <v>5054.406</v>
      </c>
      <c r="CI20" s="43">
        <v>9304.2975</v>
      </c>
      <c r="CJ20" s="43">
        <v>11128.86019</v>
      </c>
      <c r="CK20" s="43">
        <v>3706.92735</v>
      </c>
      <c r="CL20" s="11"/>
    </row>
    <row r="21" ht="15.75" customHeight="1">
      <c r="A21" s="11" t="s">
        <v>373</v>
      </c>
      <c r="B21" s="11">
        <v>11232.151</v>
      </c>
      <c r="C21" s="11">
        <v>-41.595</v>
      </c>
      <c r="D21" s="11">
        <v>273.615</v>
      </c>
      <c r="E21" s="11">
        <v>14.075</v>
      </c>
      <c r="F21" s="11">
        <v>-1734.978</v>
      </c>
      <c r="G21" s="11"/>
      <c r="H21" s="11" t="s">
        <v>370</v>
      </c>
      <c r="I21" s="11">
        <v>0.0</v>
      </c>
      <c r="J21" s="11">
        <v>0.0</v>
      </c>
      <c r="K21" s="11">
        <v>0.0</v>
      </c>
      <c r="L21" s="11">
        <v>0.0</v>
      </c>
      <c r="M21" s="11">
        <v>-41642.513</v>
      </c>
      <c r="N21" s="11"/>
      <c r="O21" s="11" t="s">
        <v>358</v>
      </c>
      <c r="P21" s="11">
        <v>-4001.0</v>
      </c>
      <c r="Q21" s="11">
        <v>-19654.592</v>
      </c>
      <c r="R21" s="11">
        <v>-25045.563</v>
      </c>
      <c r="S21" s="11">
        <v>-17485.196</v>
      </c>
      <c r="T21" s="11">
        <v>-43392.925</v>
      </c>
      <c r="U21" s="11"/>
      <c r="V21" s="11" t="s">
        <v>371</v>
      </c>
      <c r="W21" s="11">
        <v>0.0</v>
      </c>
      <c r="X21" s="11">
        <v>0.0</v>
      </c>
      <c r="Y21" s="11">
        <v>0.0</v>
      </c>
      <c r="Z21" s="11">
        <v>0.0</v>
      </c>
      <c r="AA21" s="11"/>
      <c r="AB21" s="11" t="s">
        <v>370</v>
      </c>
      <c r="AC21" s="11">
        <v>-2401.992</v>
      </c>
      <c r="AD21" s="11">
        <v>-4478.469</v>
      </c>
      <c r="AE21" s="11">
        <v>-5548.633</v>
      </c>
      <c r="AF21" s="11"/>
      <c r="AG21" s="11" t="s">
        <v>376</v>
      </c>
      <c r="AH21" s="11">
        <v>-0.28</v>
      </c>
      <c r="AI21" s="11">
        <v>5.53129</v>
      </c>
      <c r="AJ21" s="11">
        <v>1.85184</v>
      </c>
      <c r="AK21" s="11">
        <v>0.0</v>
      </c>
      <c r="AL21" s="11"/>
      <c r="AM21" s="11" t="s">
        <v>370</v>
      </c>
      <c r="AN21" s="11">
        <v>97.95022</v>
      </c>
      <c r="AO21" s="11"/>
      <c r="AP21" s="11"/>
      <c r="AQ21" s="11" t="s">
        <v>370</v>
      </c>
      <c r="AR21" s="11">
        <v>3292.853</v>
      </c>
      <c r="AS21" s="11">
        <v>3220.77047</v>
      </c>
      <c r="AT21" s="11">
        <v>4462.97606</v>
      </c>
      <c r="AU21" s="11">
        <v>1629.59051</v>
      </c>
      <c r="AV21" s="11"/>
      <c r="AW21" s="11" t="s">
        <v>369</v>
      </c>
      <c r="AX21" s="11">
        <v>8199.305999999999</v>
      </c>
      <c r="AY21" s="11">
        <v>4933.673000000004</v>
      </c>
      <c r="AZ21" s="11">
        <v>1590.119</v>
      </c>
      <c r="BA21" s="11"/>
      <c r="BB21" s="11" t="s">
        <v>370</v>
      </c>
      <c r="BC21" s="11">
        <v>21182.343</v>
      </c>
      <c r="BD21" s="11">
        <v>26849.967</v>
      </c>
      <c r="BE21" s="11">
        <v>26683.788</v>
      </c>
      <c r="BF21" s="11"/>
      <c r="BG21" s="11" t="s">
        <v>359</v>
      </c>
      <c r="BH21" s="11">
        <v>1013.033194</v>
      </c>
      <c r="BI21" s="11">
        <v>-164.4786099999999</v>
      </c>
      <c r="BJ21" s="11">
        <v>1397.908659999999</v>
      </c>
      <c r="BK21" s="11">
        <v>3364.167599999999</v>
      </c>
      <c r="BL21" s="11"/>
      <c r="BM21" s="11" t="s">
        <v>362</v>
      </c>
      <c r="BN21" s="11">
        <v>1453.247</v>
      </c>
      <c r="BO21" s="11">
        <v>2956.875</v>
      </c>
      <c r="BP21" s="11">
        <v>0.0</v>
      </c>
      <c r="BQ21" s="11">
        <v>0.0</v>
      </c>
      <c r="BR21" s="11"/>
      <c r="BS21" s="11" t="s">
        <v>362</v>
      </c>
      <c r="BT21" s="11">
        <v>2576.768</v>
      </c>
      <c r="BU21" s="11">
        <v>-3154.905</v>
      </c>
      <c r="BV21" s="11">
        <v>6770.971</v>
      </c>
      <c r="BW21" s="11"/>
      <c r="BX21" s="11" t="s">
        <v>369</v>
      </c>
      <c r="BY21" s="11">
        <v>2352.600260000001</v>
      </c>
      <c r="BZ21" s="11">
        <v>3277.02666</v>
      </c>
      <c r="CA21" s="11">
        <v>4907.764870000001</v>
      </c>
      <c r="CB21" s="11"/>
      <c r="CC21" s="40" t="s">
        <v>356</v>
      </c>
      <c r="CD21" s="43">
        <v>861.65296</v>
      </c>
      <c r="CE21" s="43">
        <v>1625.35796</v>
      </c>
      <c r="CF21" s="40"/>
      <c r="CG21" s="40" t="s">
        <v>359</v>
      </c>
      <c r="CH21" s="43">
        <v>513.1169999999993</v>
      </c>
      <c r="CI21" s="43">
        <v>2177.126209999999</v>
      </c>
      <c r="CJ21" s="43">
        <v>3556.490189999999</v>
      </c>
      <c r="CK21" s="43">
        <v>488.7167899999995</v>
      </c>
      <c r="CL21" s="11"/>
    </row>
    <row r="22" ht="15.75" customHeight="1">
      <c r="A22" s="11" t="s">
        <v>377</v>
      </c>
      <c r="B22" s="11">
        <v>11232.151</v>
      </c>
      <c r="C22" s="11">
        <v>-41.595</v>
      </c>
      <c r="D22" s="11">
        <v>273.615</v>
      </c>
      <c r="E22" s="11">
        <v>14.075</v>
      </c>
      <c r="F22" s="11">
        <v>-1734.978</v>
      </c>
      <c r="G22" s="11"/>
      <c r="H22" s="11" t="s">
        <v>378</v>
      </c>
      <c r="I22" s="11">
        <v>-28859.0</v>
      </c>
      <c r="J22" s="11">
        <v>-22736.0</v>
      </c>
      <c r="K22" s="11">
        <v>-23429.493</v>
      </c>
      <c r="L22" s="11">
        <v>-24862.069</v>
      </c>
      <c r="M22" s="11">
        <v>0.0</v>
      </c>
      <c r="N22" s="11"/>
      <c r="O22" s="11" t="s">
        <v>359</v>
      </c>
      <c r="P22" s="11">
        <v>-2135.0</v>
      </c>
      <c r="Q22" s="11">
        <v>6022.186999999994</v>
      </c>
      <c r="R22" s="11">
        <v>12964.76600000001</v>
      </c>
      <c r="S22" s="11">
        <v>15703.516</v>
      </c>
      <c r="T22" s="11">
        <v>6872.563000000009</v>
      </c>
      <c r="U22" s="11"/>
      <c r="V22" s="11" t="s">
        <v>358</v>
      </c>
      <c r="W22" s="11">
        <v>-2123.984</v>
      </c>
      <c r="X22" s="11">
        <v>-3785.491</v>
      </c>
      <c r="Y22" s="11">
        <v>-7594.94</v>
      </c>
      <c r="Z22" s="11">
        <v>-7747.944</v>
      </c>
      <c r="AA22" s="11"/>
      <c r="AB22" s="11" t="s">
        <v>377</v>
      </c>
      <c r="AC22" s="11">
        <v>-2373.167</v>
      </c>
      <c r="AD22" s="11">
        <v>-4442.209</v>
      </c>
      <c r="AE22" s="11">
        <v>-4409.871999999999</v>
      </c>
      <c r="AF22" s="11"/>
      <c r="AG22" s="11" t="s">
        <v>379</v>
      </c>
      <c r="AH22" s="11"/>
      <c r="AI22" s="11"/>
      <c r="AJ22" s="11"/>
      <c r="AK22" s="11"/>
      <c r="AL22" s="11"/>
      <c r="AM22" s="11" t="s">
        <v>380</v>
      </c>
      <c r="AN22" s="11">
        <v>15.071</v>
      </c>
      <c r="AO22" s="11"/>
      <c r="AP22" s="11"/>
      <c r="AQ22" s="11" t="s">
        <v>365</v>
      </c>
      <c r="AR22" s="11">
        <v>-5170.54</v>
      </c>
      <c r="AS22" s="11">
        <v>-3359.75717</v>
      </c>
      <c r="AT22" s="11">
        <v>-3667.15985</v>
      </c>
      <c r="AU22" s="11">
        <v>-1031.14712</v>
      </c>
      <c r="AV22" s="11"/>
      <c r="AW22" s="11" t="s">
        <v>374</v>
      </c>
      <c r="AX22" s="11">
        <v>371.283</v>
      </c>
      <c r="AY22" s="11">
        <v>217.98</v>
      </c>
      <c r="AZ22" s="11"/>
      <c r="BA22" s="11"/>
      <c r="BB22" s="11" t="s">
        <v>365</v>
      </c>
      <c r="BC22" s="11">
        <v>-20734.006</v>
      </c>
      <c r="BD22" s="11">
        <v>-26743.653</v>
      </c>
      <c r="BE22" s="11">
        <v>-31332.008</v>
      </c>
      <c r="BF22" s="11"/>
      <c r="BG22" s="11" t="s">
        <v>366</v>
      </c>
      <c r="BH22" s="11"/>
      <c r="BI22" s="11">
        <v>2205.59635</v>
      </c>
      <c r="BJ22" s="11">
        <v>3105.53394</v>
      </c>
      <c r="BK22" s="11">
        <v>3636.27895</v>
      </c>
      <c r="BL22" s="11"/>
      <c r="BM22" s="11" t="s">
        <v>381</v>
      </c>
      <c r="BN22" s="11">
        <v>6182.908</v>
      </c>
      <c r="BO22" s="11">
        <v>-12677.887</v>
      </c>
      <c r="BP22" s="11">
        <v>837.476</v>
      </c>
      <c r="BQ22" s="11">
        <v>9009.692</v>
      </c>
      <c r="BR22" s="11"/>
      <c r="BS22" s="11" t="s">
        <v>370</v>
      </c>
      <c r="BT22" s="11">
        <v>12224.562</v>
      </c>
      <c r="BU22" s="11">
        <v>12016.582</v>
      </c>
      <c r="BV22" s="11">
        <v>22305.002</v>
      </c>
      <c r="BW22" s="11"/>
      <c r="BX22" s="11" t="s">
        <v>374</v>
      </c>
      <c r="BY22" s="11"/>
      <c r="BZ22" s="11"/>
      <c r="CA22" s="11"/>
      <c r="CB22" s="11"/>
      <c r="CC22" s="40" t="s">
        <v>363</v>
      </c>
      <c r="CD22" s="40"/>
      <c r="CE22" s="40"/>
      <c r="CF22" s="40"/>
      <c r="CG22" s="40" t="s">
        <v>366</v>
      </c>
      <c r="CH22" s="43">
        <v>8.654</v>
      </c>
      <c r="CI22" s="43">
        <v>0.01609</v>
      </c>
      <c r="CJ22" s="40"/>
      <c r="CK22" s="40"/>
      <c r="CL22" s="11"/>
    </row>
    <row r="23" ht="15.75" customHeight="1">
      <c r="A23" s="11" t="s">
        <v>369</v>
      </c>
      <c r="B23" s="11">
        <v>14418.686</v>
      </c>
      <c r="C23" s="11">
        <v>2893.883</v>
      </c>
      <c r="D23" s="11">
        <v>5234.476</v>
      </c>
      <c r="E23" s="11">
        <v>6219.504</v>
      </c>
      <c r="F23" s="11">
        <v>3790.438</v>
      </c>
      <c r="G23" s="11"/>
      <c r="H23" s="11" t="s">
        <v>380</v>
      </c>
      <c r="I23" s="11">
        <v>0.0</v>
      </c>
      <c r="J23" s="11">
        <v>0.0</v>
      </c>
      <c r="K23" s="11">
        <v>0.0</v>
      </c>
      <c r="L23" s="11">
        <v>0.0</v>
      </c>
      <c r="M23" s="11">
        <v>0.0</v>
      </c>
      <c r="N23" s="11"/>
      <c r="O23" s="11" t="s">
        <v>382</v>
      </c>
      <c r="P23" s="11">
        <v>47.0</v>
      </c>
      <c r="Q23" s="11">
        <v>0.0</v>
      </c>
      <c r="R23" s="11">
        <v>0.0</v>
      </c>
      <c r="S23" s="11">
        <v>0.0</v>
      </c>
      <c r="T23" s="11">
        <v>0.0</v>
      </c>
      <c r="U23" s="11"/>
      <c r="V23" s="11" t="s">
        <v>359</v>
      </c>
      <c r="W23" s="11">
        <v>-38.69</v>
      </c>
      <c r="X23" s="11">
        <v>-2325.208</v>
      </c>
      <c r="Y23" s="11">
        <v>1392.468</v>
      </c>
      <c r="Z23" s="11">
        <v>1040.261</v>
      </c>
      <c r="AA23" s="11"/>
      <c r="AB23" s="11" t="s">
        <v>369</v>
      </c>
      <c r="AC23" s="11">
        <v>1636.459999999998</v>
      </c>
      <c r="AD23" s="11">
        <v>1414.296999999996</v>
      </c>
      <c r="AE23" s="11">
        <v>2968.519999999999</v>
      </c>
      <c r="AF23" s="11"/>
      <c r="AG23" s="11" t="s">
        <v>383</v>
      </c>
      <c r="AH23" s="11">
        <v>-0.28</v>
      </c>
      <c r="AI23" s="11">
        <v>5.53129</v>
      </c>
      <c r="AJ23" s="11">
        <v>1.85184</v>
      </c>
      <c r="AK23" s="11">
        <v>0.0</v>
      </c>
      <c r="AL23" s="11"/>
      <c r="AM23" s="11" t="s">
        <v>365</v>
      </c>
      <c r="AN23" s="11">
        <v>-519.13544</v>
      </c>
      <c r="AO23" s="11">
        <v>-44.82959</v>
      </c>
      <c r="AP23" s="11"/>
      <c r="AQ23" s="11" t="s">
        <v>369</v>
      </c>
      <c r="AR23" s="11">
        <v>339.2090000000035</v>
      </c>
      <c r="AS23" s="11">
        <v>4380.6467</v>
      </c>
      <c r="AT23" s="11">
        <v>4565.609199999994</v>
      </c>
      <c r="AU23" s="11">
        <v>2065.92904</v>
      </c>
      <c r="AV23" s="11"/>
      <c r="AW23" s="11" t="s">
        <v>376</v>
      </c>
      <c r="AX23" s="11">
        <v>7828.022999999998</v>
      </c>
      <c r="AY23" s="11">
        <v>4715.693000000005</v>
      </c>
      <c r="AZ23" s="11">
        <v>1590.119</v>
      </c>
      <c r="BA23" s="11"/>
      <c r="BB23" s="11" t="s">
        <v>369</v>
      </c>
      <c r="BC23" s="11">
        <v>17642.78399999999</v>
      </c>
      <c r="BD23" s="11">
        <v>32216.14800000003</v>
      </c>
      <c r="BE23" s="11">
        <v>46519.56399999998</v>
      </c>
      <c r="BF23" s="11"/>
      <c r="BG23" s="11" t="s">
        <v>384</v>
      </c>
      <c r="BH23" s="11">
        <v>-987.52938</v>
      </c>
      <c r="BI23" s="11">
        <v>-1399.95087</v>
      </c>
      <c r="BJ23" s="11">
        <v>-1734.55164</v>
      </c>
      <c r="BK23" s="11">
        <v>-1898.90882</v>
      </c>
      <c r="BL23" s="11"/>
      <c r="BM23" s="11" t="s">
        <v>370</v>
      </c>
      <c r="BN23" s="11">
        <v>80689.029</v>
      </c>
      <c r="BO23" s="11">
        <v>84845.782</v>
      </c>
      <c r="BP23" s="11">
        <v>94909.285</v>
      </c>
      <c r="BQ23" s="11">
        <v>107530.879</v>
      </c>
      <c r="BR23" s="11"/>
      <c r="BS23" s="11" t="s">
        <v>365</v>
      </c>
      <c r="BT23" s="11">
        <v>-11651.836</v>
      </c>
      <c r="BU23" s="11">
        <v>-11150.275</v>
      </c>
      <c r="BV23" s="11">
        <v>-24047.501</v>
      </c>
      <c r="BW23" s="11"/>
      <c r="BX23" s="11" t="s">
        <v>376</v>
      </c>
      <c r="BY23" s="11">
        <v>2352.600260000001</v>
      </c>
      <c r="BZ23" s="11">
        <v>3277.02666</v>
      </c>
      <c r="CA23" s="11">
        <v>4907.764870000001</v>
      </c>
      <c r="CB23" s="11"/>
      <c r="CC23" s="40" t="s">
        <v>368</v>
      </c>
      <c r="CD23" s="40"/>
      <c r="CE23" s="40"/>
      <c r="CF23" s="40"/>
      <c r="CG23" s="40" t="s">
        <v>370</v>
      </c>
      <c r="CH23" s="40"/>
      <c r="CI23" s="40"/>
      <c r="CJ23" s="43">
        <v>787.67722</v>
      </c>
      <c r="CK23" s="43">
        <v>186.48426</v>
      </c>
      <c r="CL23" s="11"/>
    </row>
    <row r="24" ht="15.75" customHeight="1">
      <c r="A24" s="11" t="s">
        <v>374</v>
      </c>
      <c r="B24" s="11">
        <v>0.0</v>
      </c>
      <c r="C24" s="11">
        <v>0.0</v>
      </c>
      <c r="D24" s="11">
        <v>0.0</v>
      </c>
      <c r="E24" s="11">
        <v>0.0</v>
      </c>
      <c r="F24" s="11">
        <v>0.0</v>
      </c>
      <c r="G24" s="11"/>
      <c r="H24" s="11" t="s">
        <v>377</v>
      </c>
      <c r="I24" s="11">
        <v>-38556.0</v>
      </c>
      <c r="J24" s="11">
        <v>-30227.0</v>
      </c>
      <c r="K24" s="11">
        <v>-12333.061</v>
      </c>
      <c r="L24" s="11">
        <v>-73069.28</v>
      </c>
      <c r="M24" s="11">
        <v>-54589.569</v>
      </c>
      <c r="N24" s="11"/>
      <c r="O24" s="11" t="s">
        <v>362</v>
      </c>
      <c r="P24" s="11">
        <v>-393.0</v>
      </c>
      <c r="Q24" s="11">
        <v>0.0</v>
      </c>
      <c r="R24" s="11">
        <v>-6972.309</v>
      </c>
      <c r="S24" s="11">
        <v>-6928.491</v>
      </c>
      <c r="T24" s="11">
        <v>0.0</v>
      </c>
      <c r="U24" s="11"/>
      <c r="V24" s="11" t="s">
        <v>366</v>
      </c>
      <c r="W24" s="11">
        <v>0.0</v>
      </c>
      <c r="X24" s="11">
        <v>0.0</v>
      </c>
      <c r="Y24" s="11">
        <v>0.0</v>
      </c>
      <c r="Z24" s="11">
        <v>0.0</v>
      </c>
      <c r="AA24" s="11"/>
      <c r="AB24" s="11" t="s">
        <v>376</v>
      </c>
      <c r="AC24" s="11">
        <v>1636.459999999998</v>
      </c>
      <c r="AD24" s="11">
        <v>1414.296999999996</v>
      </c>
      <c r="AE24" s="11">
        <v>2968.519999999999</v>
      </c>
      <c r="AF24" s="11"/>
      <c r="AG24" s="11"/>
      <c r="AH24" s="11"/>
      <c r="AI24" s="11"/>
      <c r="AJ24" s="11"/>
      <c r="AK24" s="11"/>
      <c r="AL24" s="11"/>
      <c r="AM24" s="11" t="s">
        <v>369</v>
      </c>
      <c r="AN24" s="11">
        <v>-519.13544</v>
      </c>
      <c r="AO24" s="11">
        <v>1232.15151</v>
      </c>
      <c r="AP24" s="11"/>
      <c r="AQ24" s="11" t="s">
        <v>374</v>
      </c>
      <c r="AR24" s="11"/>
      <c r="AS24" s="11"/>
      <c r="AT24" s="11"/>
      <c r="AU24" s="11"/>
      <c r="AV24" s="11"/>
      <c r="AW24" s="11" t="s">
        <v>379</v>
      </c>
      <c r="AX24" s="11">
        <v>773.647</v>
      </c>
      <c r="AY24" s="11">
        <v>574.075</v>
      </c>
      <c r="AZ24" s="11">
        <v>254.419</v>
      </c>
      <c r="BA24" s="11"/>
      <c r="BB24" s="11" t="s">
        <v>374</v>
      </c>
      <c r="BC24" s="11"/>
      <c r="BD24" s="11"/>
      <c r="BE24" s="11"/>
      <c r="BF24" s="11"/>
      <c r="BG24" s="11" t="s">
        <v>365</v>
      </c>
      <c r="BH24" s="11">
        <v>-991.3544999999999</v>
      </c>
      <c r="BI24" s="11">
        <v>805.6454799999999</v>
      </c>
      <c r="BJ24" s="11">
        <v>1370.9823</v>
      </c>
      <c r="BK24" s="11">
        <v>1737.37013</v>
      </c>
      <c r="BL24" s="11"/>
      <c r="BM24" s="11" t="s">
        <v>365</v>
      </c>
      <c r="BN24" s="11">
        <v>-56724.247</v>
      </c>
      <c r="BO24" s="11">
        <v>-81379.26800000001</v>
      </c>
      <c r="BP24" s="11">
        <v>-48692.296</v>
      </c>
      <c r="BQ24" s="11">
        <v>-81142.48000000001</v>
      </c>
      <c r="BR24" s="11"/>
      <c r="BS24" s="11" t="s">
        <v>369</v>
      </c>
      <c r="BT24" s="11">
        <v>-10857.02999999996</v>
      </c>
      <c r="BU24" s="11">
        <v>-36606.72700000004</v>
      </c>
      <c r="BV24" s="11">
        <v>14484.6279999999</v>
      </c>
      <c r="BW24" s="11"/>
      <c r="BX24" s="11" t="s">
        <v>379</v>
      </c>
      <c r="BY24" s="11">
        <v>588.16582</v>
      </c>
      <c r="BZ24" s="11">
        <v>819.25667</v>
      </c>
      <c r="CA24" s="11">
        <v>1226.94122</v>
      </c>
      <c r="CB24" s="11"/>
      <c r="CC24" s="40" t="s">
        <v>360</v>
      </c>
      <c r="CD24" s="43">
        <v>0.83304</v>
      </c>
      <c r="CE24" s="43">
        <v>4.0311</v>
      </c>
      <c r="CF24" s="40"/>
      <c r="CG24" s="40" t="s">
        <v>365</v>
      </c>
      <c r="CH24" s="43">
        <v>8.654</v>
      </c>
      <c r="CI24" s="43">
        <v>0.01609</v>
      </c>
      <c r="CJ24" s="43">
        <v>-787.67722</v>
      </c>
      <c r="CK24" s="43">
        <v>-186.48426</v>
      </c>
      <c r="CL24" s="11"/>
    </row>
    <row r="25" ht="15.75" customHeight="1">
      <c r="A25" s="11" t="s">
        <v>376</v>
      </c>
      <c r="B25" s="11">
        <v>14418.686</v>
      </c>
      <c r="C25" s="11">
        <v>2893.883</v>
      </c>
      <c r="D25" s="11">
        <v>5234.476</v>
      </c>
      <c r="E25" s="11">
        <v>6219.504</v>
      </c>
      <c r="F25" s="11">
        <v>3790.438</v>
      </c>
      <c r="G25" s="11"/>
      <c r="H25" s="11" t="s">
        <v>369</v>
      </c>
      <c r="I25" s="11">
        <v>26563.0</v>
      </c>
      <c r="J25" s="11">
        <v>26491.0</v>
      </c>
      <c r="K25" s="11">
        <v>12066.71099999996</v>
      </c>
      <c r="L25" s="11">
        <v>9791.146999999997</v>
      </c>
      <c r="M25" s="11">
        <v>2151.953000000023</v>
      </c>
      <c r="N25" s="11"/>
      <c r="O25" s="11" t="s">
        <v>373</v>
      </c>
      <c r="P25" s="11">
        <v>0.0</v>
      </c>
      <c r="Q25" s="11">
        <v>0.0</v>
      </c>
      <c r="R25" s="11">
        <v>0.0</v>
      </c>
      <c r="S25" s="11">
        <v>0.0</v>
      </c>
      <c r="T25" s="11">
        <v>-2425.693</v>
      </c>
      <c r="U25" s="11"/>
      <c r="V25" s="11" t="s">
        <v>362</v>
      </c>
      <c r="W25" s="11">
        <v>0.0</v>
      </c>
      <c r="X25" s="11">
        <v>0.0</v>
      </c>
      <c r="Y25" s="11">
        <v>0.0</v>
      </c>
      <c r="Z25" s="11">
        <v>0.0</v>
      </c>
      <c r="AA25" s="11"/>
      <c r="AB25" s="11" t="s">
        <v>379</v>
      </c>
      <c r="AC25" s="11">
        <v>-476.188</v>
      </c>
      <c r="AD25" s="11">
        <v>-527.059</v>
      </c>
      <c r="AE25" s="11">
        <v>0.0</v>
      </c>
      <c r="AF25" s="11"/>
      <c r="AG25" s="11" t="s">
        <v>385</v>
      </c>
      <c r="AH25" s="11">
        <v>0.0</v>
      </c>
      <c r="AI25" s="11">
        <v>0.0</v>
      </c>
      <c r="AJ25" s="11">
        <v>0.0</v>
      </c>
      <c r="AK25" s="11">
        <v>-5941.0</v>
      </c>
      <c r="AL25" s="11"/>
      <c r="AM25" s="11" t="s">
        <v>374</v>
      </c>
      <c r="AN25" s="11"/>
      <c r="AO25" s="11"/>
      <c r="AP25" s="11"/>
      <c r="AQ25" s="11" t="s">
        <v>376</v>
      </c>
      <c r="AR25" s="11">
        <v>339.2090000000035</v>
      </c>
      <c r="AS25" s="11">
        <v>4380.6467</v>
      </c>
      <c r="AT25" s="11">
        <v>4565.609199999994</v>
      </c>
      <c r="AU25" s="11">
        <v>2065.92904</v>
      </c>
      <c r="AV25" s="11"/>
      <c r="AW25" s="11" t="s">
        <v>383</v>
      </c>
      <c r="AX25" s="11">
        <v>7054.375999999998</v>
      </c>
      <c r="AY25" s="11">
        <v>4141.618000000005</v>
      </c>
      <c r="AZ25" s="11">
        <v>1335.7</v>
      </c>
      <c r="BA25" s="11"/>
      <c r="BB25" s="11" t="s">
        <v>376</v>
      </c>
      <c r="BC25" s="11">
        <v>17642.78399999999</v>
      </c>
      <c r="BD25" s="11">
        <v>32216.14800000003</v>
      </c>
      <c r="BE25" s="11">
        <v>46519.56399999998</v>
      </c>
      <c r="BF25" s="11"/>
      <c r="BG25" s="11" t="s">
        <v>369</v>
      </c>
      <c r="BH25" s="11">
        <v>21.67869400000029</v>
      </c>
      <c r="BI25" s="11">
        <v>641.16687</v>
      </c>
      <c r="BJ25" s="11">
        <v>2768.890959999999</v>
      </c>
      <c r="BK25" s="11">
        <v>5101.537729999998</v>
      </c>
      <c r="BL25" s="11"/>
      <c r="BM25" s="11" t="s">
        <v>369</v>
      </c>
      <c r="BN25" s="11">
        <v>20409.79799999994</v>
      </c>
      <c r="BO25" s="11">
        <v>28252.39000000029</v>
      </c>
      <c r="BP25" s="11">
        <v>59747.087</v>
      </c>
      <c r="BQ25" s="11">
        <v>22484.61340000009</v>
      </c>
      <c r="BR25" s="11"/>
      <c r="BS25" s="11" t="s">
        <v>376</v>
      </c>
      <c r="BT25" s="11">
        <v>-10857.02999999996</v>
      </c>
      <c r="BU25" s="11">
        <v>-36606.72700000004</v>
      </c>
      <c r="BV25" s="11">
        <v>14484.6279999999</v>
      </c>
      <c r="BW25" s="11"/>
      <c r="BX25" s="11" t="s">
        <v>383</v>
      </c>
      <c r="BY25" s="11">
        <v>1764.43444</v>
      </c>
      <c r="BZ25" s="11">
        <v>2457.769990000001</v>
      </c>
      <c r="CA25" s="11">
        <v>3680.823650000001</v>
      </c>
      <c r="CB25" s="11"/>
      <c r="CC25" s="40" t="s">
        <v>371</v>
      </c>
      <c r="CD25" s="40"/>
      <c r="CE25" s="40"/>
      <c r="CF25" s="40"/>
      <c r="CG25" s="40" t="s">
        <v>369</v>
      </c>
      <c r="CH25" s="43">
        <v>521.7709999999993</v>
      </c>
      <c r="CI25" s="43">
        <v>2177.142299999999</v>
      </c>
      <c r="CJ25" s="43">
        <v>2768.812969999999</v>
      </c>
      <c r="CK25" s="43">
        <v>302.2325299999995</v>
      </c>
      <c r="CL25" s="11"/>
    </row>
    <row r="26" ht="15.75" customHeight="1">
      <c r="A26" s="11" t="s">
        <v>383</v>
      </c>
      <c r="B26" s="11">
        <v>14418.686</v>
      </c>
      <c r="C26" s="11">
        <v>2893.883</v>
      </c>
      <c r="D26" s="11">
        <v>5234.476</v>
      </c>
      <c r="E26" s="11">
        <v>6219.504</v>
      </c>
      <c r="F26" s="11">
        <v>3790.438</v>
      </c>
      <c r="G26" s="11"/>
      <c r="H26" s="11" t="s">
        <v>374</v>
      </c>
      <c r="I26" s="11">
        <v>0.0</v>
      </c>
      <c r="J26" s="11">
        <v>0.0</v>
      </c>
      <c r="K26" s="11">
        <v>0.0</v>
      </c>
      <c r="L26" s="11">
        <v>0.0</v>
      </c>
      <c r="M26" s="11">
        <v>0.0</v>
      </c>
      <c r="N26" s="11"/>
      <c r="O26" s="11" t="s">
        <v>386</v>
      </c>
      <c r="P26" s="11">
        <v>0.0</v>
      </c>
      <c r="Q26" s="11">
        <v>61.147</v>
      </c>
      <c r="R26" s="11">
        <v>11.521</v>
      </c>
      <c r="S26" s="11">
        <v>0.0</v>
      </c>
      <c r="T26" s="11">
        <v>0.0</v>
      </c>
      <c r="U26" s="11"/>
      <c r="V26" s="11" t="s">
        <v>373</v>
      </c>
      <c r="W26" s="11">
        <v>3.186</v>
      </c>
      <c r="X26" s="11">
        <v>-383.15</v>
      </c>
      <c r="Y26" s="11">
        <v>-430.325</v>
      </c>
      <c r="Z26" s="11">
        <v>71.365</v>
      </c>
      <c r="AA26" s="11"/>
      <c r="AB26" s="11" t="s">
        <v>383</v>
      </c>
      <c r="AC26" s="11">
        <v>1160.271999999998</v>
      </c>
      <c r="AD26" s="11">
        <v>887.237999999996</v>
      </c>
      <c r="AE26" s="11">
        <v>2968.519999999999</v>
      </c>
      <c r="AF26" s="11"/>
      <c r="AG26" s="11"/>
      <c r="AH26" s="11"/>
      <c r="AI26" s="11"/>
      <c r="AJ26" s="11"/>
      <c r="AK26" s="11"/>
      <c r="AL26" s="11"/>
      <c r="AM26" s="11" t="s">
        <v>376</v>
      </c>
      <c r="AN26" s="11">
        <v>-519.13544</v>
      </c>
      <c r="AO26" s="11">
        <v>1232.15151</v>
      </c>
      <c r="AP26" s="11"/>
      <c r="AQ26" s="11" t="s">
        <v>379</v>
      </c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 t="s">
        <v>379</v>
      </c>
      <c r="BC26" s="11">
        <v>4794.497</v>
      </c>
      <c r="BD26" s="11">
        <v>8603.048</v>
      </c>
      <c r="BE26" s="11">
        <v>12559.581</v>
      </c>
      <c r="BF26" s="11"/>
      <c r="BG26" s="11" t="s">
        <v>374</v>
      </c>
      <c r="BH26" s="11">
        <v>1.08378</v>
      </c>
      <c r="BI26" s="11">
        <v>32.05834</v>
      </c>
      <c r="BJ26" s="11">
        <v>0.0</v>
      </c>
      <c r="BK26" s="11">
        <v>73.26294</v>
      </c>
      <c r="BL26" s="11"/>
      <c r="BM26" s="11" t="s">
        <v>374</v>
      </c>
      <c r="BN26" s="11"/>
      <c r="BO26" s="11"/>
      <c r="BP26" s="11"/>
      <c r="BQ26" s="11"/>
      <c r="BR26" s="11"/>
      <c r="BS26" s="11" t="s">
        <v>379</v>
      </c>
      <c r="BT26" s="11">
        <v>-34.219</v>
      </c>
      <c r="BU26" s="11">
        <v>578.102</v>
      </c>
      <c r="BV26" s="11">
        <v>2545.087</v>
      </c>
      <c r="BW26" s="11"/>
      <c r="BX26" s="11"/>
      <c r="BY26" s="11"/>
      <c r="BZ26" s="11"/>
      <c r="CA26" s="11"/>
      <c r="CB26" s="11"/>
      <c r="CC26" s="40" t="s">
        <v>358</v>
      </c>
      <c r="CD26" s="43">
        <v>991.096</v>
      </c>
      <c r="CE26" s="43">
        <v>1848.35697</v>
      </c>
      <c r="CF26" s="40"/>
      <c r="CG26" s="40" t="s">
        <v>374</v>
      </c>
      <c r="CH26" s="43">
        <v>19.566</v>
      </c>
      <c r="CI26" s="43">
        <v>0.0</v>
      </c>
      <c r="CJ26" s="40"/>
      <c r="CK26" s="43">
        <v>0.0</v>
      </c>
      <c r="CL26" s="11"/>
    </row>
    <row r="27" ht="15.75" customHeight="1">
      <c r="A27" s="11"/>
      <c r="B27" s="11"/>
      <c r="C27" s="11"/>
      <c r="D27" s="11"/>
      <c r="E27" s="11"/>
      <c r="F27" s="11"/>
      <c r="G27" s="11"/>
      <c r="H27" s="11" t="s">
        <v>376</v>
      </c>
      <c r="I27" s="11">
        <v>26563.0</v>
      </c>
      <c r="J27" s="11">
        <v>26491.0</v>
      </c>
      <c r="K27" s="11">
        <v>12066.71099999996</v>
      </c>
      <c r="L27" s="11">
        <v>9791.146999999997</v>
      </c>
      <c r="M27" s="11">
        <v>2151.953000000023</v>
      </c>
      <c r="N27" s="11"/>
      <c r="O27" s="11" t="s">
        <v>370</v>
      </c>
      <c r="P27" s="11">
        <v>-360.0</v>
      </c>
      <c r="Q27" s="11">
        <v>-3182.04</v>
      </c>
      <c r="R27" s="11">
        <v>-3111.028</v>
      </c>
      <c r="S27" s="11">
        <v>-3208.625</v>
      </c>
      <c r="T27" s="11">
        <v>-3621.007</v>
      </c>
      <c r="U27" s="11"/>
      <c r="V27" s="11" t="s">
        <v>381</v>
      </c>
      <c r="W27" s="11">
        <v>0.0</v>
      </c>
      <c r="X27" s="11">
        <v>0.0</v>
      </c>
      <c r="Y27" s="11">
        <v>0.0</v>
      </c>
      <c r="Z27" s="11">
        <v>0.0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 t="s">
        <v>379</v>
      </c>
      <c r="AN27" s="11"/>
      <c r="AO27" s="11"/>
      <c r="AP27" s="11"/>
      <c r="AQ27" s="11"/>
      <c r="AR27" s="11"/>
      <c r="AS27" s="11"/>
      <c r="AT27" s="11"/>
      <c r="AU27" s="11"/>
      <c r="AV27" s="11"/>
      <c r="AW27" s="11" t="s">
        <v>385</v>
      </c>
      <c r="AX27" s="11">
        <v>65467.094</v>
      </c>
      <c r="AY27" s="11">
        <v>60172.049</v>
      </c>
      <c r="AZ27" s="11">
        <v>12736.9</v>
      </c>
      <c r="BA27" s="11"/>
      <c r="BB27" s="11" t="s">
        <v>383</v>
      </c>
      <c r="BC27" s="11">
        <v>12848.28699999999</v>
      </c>
      <c r="BD27" s="11">
        <v>23613.10000000003</v>
      </c>
      <c r="BE27" s="11">
        <v>33959.98299999999</v>
      </c>
      <c r="BF27" s="11"/>
      <c r="BG27" s="11" t="s">
        <v>376</v>
      </c>
      <c r="BH27" s="11">
        <v>20.59491400000029</v>
      </c>
      <c r="BI27" s="11">
        <v>609.10853</v>
      </c>
      <c r="BJ27" s="11">
        <v>2768.890959999999</v>
      </c>
      <c r="BK27" s="11">
        <v>5028.274789999999</v>
      </c>
      <c r="BL27" s="11"/>
      <c r="BM27" s="11" t="s">
        <v>376</v>
      </c>
      <c r="BN27" s="11">
        <v>20409.79799999994</v>
      </c>
      <c r="BO27" s="11">
        <v>28252.39000000029</v>
      </c>
      <c r="BP27" s="11">
        <v>59747.087</v>
      </c>
      <c r="BQ27" s="11">
        <v>22484.61340000009</v>
      </c>
      <c r="BR27" s="11"/>
      <c r="BS27" s="11" t="s">
        <v>383</v>
      </c>
      <c r="BT27" s="11">
        <v>-10822.81099999996</v>
      </c>
      <c r="BU27" s="11">
        <v>-37184.82900000004</v>
      </c>
      <c r="BV27" s="11">
        <v>11939.5409999999</v>
      </c>
      <c r="BW27" s="11"/>
      <c r="BX27" s="11" t="s">
        <v>385</v>
      </c>
      <c r="BY27" s="11">
        <v>10710.19139</v>
      </c>
      <c r="BZ27" s="11">
        <v>13201.1972</v>
      </c>
      <c r="CA27" s="11">
        <v>18340.59485</v>
      </c>
      <c r="CB27" s="11"/>
      <c r="CC27" s="40" t="s">
        <v>359</v>
      </c>
      <c r="CD27" s="43">
        <v>62.3309999999999</v>
      </c>
      <c r="CE27" s="43">
        <v>268.6517099999999</v>
      </c>
      <c r="CF27" s="40"/>
      <c r="CG27" s="40" t="s">
        <v>376</v>
      </c>
      <c r="CH27" s="43">
        <v>502.2049999999993</v>
      </c>
      <c r="CI27" s="43">
        <v>2177.142299999999</v>
      </c>
      <c r="CJ27" s="43">
        <v>2768.812969999999</v>
      </c>
      <c r="CK27" s="43">
        <v>302.2325299999995</v>
      </c>
      <c r="CL27" s="11"/>
    </row>
    <row r="28" ht="15.75" customHeight="1">
      <c r="A28" s="11" t="s">
        <v>387</v>
      </c>
      <c r="B28" s="11">
        <v>14418.686</v>
      </c>
      <c r="C28" s="11">
        <v>2893.883</v>
      </c>
      <c r="D28" s="11">
        <v>5234.476</v>
      </c>
      <c r="E28" s="11">
        <v>6219.504</v>
      </c>
      <c r="F28" s="11">
        <v>3790.438</v>
      </c>
      <c r="G28" s="11"/>
      <c r="H28" s="11" t="s">
        <v>379</v>
      </c>
      <c r="I28" s="11">
        <v>-7128.0</v>
      </c>
      <c r="J28" s="11">
        <v>-5077.0</v>
      </c>
      <c r="K28" s="11">
        <v>0.0</v>
      </c>
      <c r="L28" s="11">
        <v>0.0</v>
      </c>
      <c r="M28" s="11">
        <v>0.0</v>
      </c>
      <c r="N28" s="11"/>
      <c r="O28" s="11" t="s">
        <v>388</v>
      </c>
      <c r="P28" s="11">
        <v>0.0</v>
      </c>
      <c r="Q28" s="11">
        <v>0.0</v>
      </c>
      <c r="R28" s="11">
        <v>0.0</v>
      </c>
      <c r="S28" s="11">
        <v>0.0</v>
      </c>
      <c r="T28" s="11">
        <v>-3470.576</v>
      </c>
      <c r="U28" s="11"/>
      <c r="V28" s="11" t="s">
        <v>389</v>
      </c>
      <c r="W28" s="11">
        <v>0.0</v>
      </c>
      <c r="X28" s="11">
        <v>0.0</v>
      </c>
      <c r="Y28" s="11">
        <v>0.0</v>
      </c>
      <c r="Z28" s="11">
        <v>0.0</v>
      </c>
      <c r="AA28" s="11"/>
      <c r="AB28" s="11" t="s">
        <v>387</v>
      </c>
      <c r="AC28" s="11">
        <v>1160.271999999998</v>
      </c>
      <c r="AD28" s="11">
        <v>887.237999999996</v>
      </c>
      <c r="AE28" s="11">
        <v>2968.519999999999</v>
      </c>
      <c r="AF28" s="11"/>
      <c r="AG28" s="11"/>
      <c r="AH28" s="11"/>
      <c r="AI28" s="11"/>
      <c r="AJ28" s="11"/>
      <c r="AK28" s="11"/>
      <c r="AL28" s="11"/>
      <c r="AM28" s="11" t="s">
        <v>383</v>
      </c>
      <c r="AN28" s="11">
        <v>-519.13544</v>
      </c>
      <c r="AO28" s="11">
        <v>1232.15151</v>
      </c>
      <c r="AP28" s="11"/>
      <c r="AQ28" s="11" t="s">
        <v>385</v>
      </c>
      <c r="AR28" s="11">
        <v>47754.505</v>
      </c>
      <c r="AS28" s="11">
        <v>55858.78584</v>
      </c>
      <c r="AT28" s="11">
        <v>65045.08174000001</v>
      </c>
      <c r="AU28" s="11">
        <v>33766.42868</v>
      </c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 t="s">
        <v>383</v>
      </c>
      <c r="BH28" s="11">
        <v>20.59491400000029</v>
      </c>
      <c r="BI28" s="11">
        <v>609.10853</v>
      </c>
      <c r="BJ28" s="11">
        <v>2768.890959999999</v>
      </c>
      <c r="BK28" s="11">
        <v>5028.274789999999</v>
      </c>
      <c r="BL28" s="11"/>
      <c r="BM28" s="11" t="s">
        <v>379</v>
      </c>
      <c r="BN28" s="11">
        <v>13326.375</v>
      </c>
      <c r="BO28" s="11">
        <v>10649.714</v>
      </c>
      <c r="BP28" s="11">
        <v>14803.677</v>
      </c>
      <c r="BQ28" s="11">
        <v>19265.483</v>
      </c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40" t="s">
        <v>366</v>
      </c>
      <c r="CD28" s="43">
        <v>7.98</v>
      </c>
      <c r="CE28" s="43">
        <v>0.36264</v>
      </c>
      <c r="CF28" s="40"/>
      <c r="CG28" s="40" t="s">
        <v>379</v>
      </c>
      <c r="CH28" s="43">
        <v>130.442</v>
      </c>
      <c r="CI28" s="40"/>
      <c r="CJ28" s="43">
        <v>692.20131</v>
      </c>
      <c r="CK28" s="40"/>
      <c r="CL28" s="11"/>
    </row>
    <row r="29" ht="15.75" customHeight="1">
      <c r="A29" s="11"/>
      <c r="B29" s="11"/>
      <c r="C29" s="11"/>
      <c r="D29" s="11"/>
      <c r="E29" s="11"/>
      <c r="F29" s="11"/>
      <c r="G29" s="11"/>
      <c r="H29" s="11" t="s">
        <v>390</v>
      </c>
      <c r="I29" s="11">
        <v>0.0</v>
      </c>
      <c r="J29" s="11">
        <v>0.0</v>
      </c>
      <c r="K29" s="11">
        <v>0.0</v>
      </c>
      <c r="L29" s="11">
        <v>-3998.758</v>
      </c>
      <c r="M29" s="11">
        <v>0.0</v>
      </c>
      <c r="N29" s="11"/>
      <c r="O29" s="11" t="s">
        <v>377</v>
      </c>
      <c r="P29" s="11">
        <v>-706.0</v>
      </c>
      <c r="Q29" s="11">
        <v>-3120.893</v>
      </c>
      <c r="R29" s="11">
        <v>-10071.816</v>
      </c>
      <c r="S29" s="11">
        <v>-10137.116</v>
      </c>
      <c r="T29" s="11">
        <v>-9517.276000000002</v>
      </c>
      <c r="U29" s="11"/>
      <c r="V29" s="11" t="s">
        <v>386</v>
      </c>
      <c r="W29" s="11">
        <v>0.0</v>
      </c>
      <c r="X29" s="11">
        <v>0.0</v>
      </c>
      <c r="Y29" s="11">
        <v>0.0</v>
      </c>
      <c r="Z29" s="11">
        <v>0.0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 t="s">
        <v>385</v>
      </c>
      <c r="BC29" s="11">
        <v>0.0</v>
      </c>
      <c r="BD29" s="11">
        <v>0.0</v>
      </c>
      <c r="BE29" s="11">
        <v>0.0</v>
      </c>
      <c r="BF29" s="11"/>
      <c r="BG29" s="11"/>
      <c r="BH29" s="11"/>
      <c r="BI29" s="11"/>
      <c r="BJ29" s="11"/>
      <c r="BK29" s="11"/>
      <c r="BL29" s="11"/>
      <c r="BM29" s="11" t="s">
        <v>383</v>
      </c>
      <c r="BN29" s="11">
        <v>7083.422999999944</v>
      </c>
      <c r="BO29" s="11">
        <v>17602.67600000029</v>
      </c>
      <c r="BP29" s="11">
        <v>44943.41</v>
      </c>
      <c r="BQ29" s="11">
        <v>3219.130400000089</v>
      </c>
      <c r="BR29" s="11"/>
      <c r="BS29" s="11" t="s">
        <v>385</v>
      </c>
      <c r="BT29" s="11">
        <v>979926.675</v>
      </c>
      <c r="BU29" s="11">
        <v>1439578.384</v>
      </c>
      <c r="BV29" s="11">
        <v>1660592.671</v>
      </c>
      <c r="BW29" s="11"/>
      <c r="BX29" s="11"/>
      <c r="BY29" s="11"/>
      <c r="BZ29" s="11"/>
      <c r="CA29" s="11"/>
      <c r="CB29" s="11"/>
      <c r="CC29" s="40" t="s">
        <v>362</v>
      </c>
      <c r="CD29" s="40"/>
      <c r="CE29" s="40"/>
      <c r="CF29" s="40"/>
      <c r="CG29" s="40" t="s">
        <v>383</v>
      </c>
      <c r="CH29" s="43">
        <v>371.7629999999993</v>
      </c>
      <c r="CI29" s="43">
        <v>2177.142299999999</v>
      </c>
      <c r="CJ29" s="43">
        <v>2076.611659999999</v>
      </c>
      <c r="CK29" s="43">
        <v>302.2325299999995</v>
      </c>
      <c r="CL29" s="11"/>
    </row>
    <row r="30" ht="15.75" customHeight="1">
      <c r="A30" s="11" t="s">
        <v>385</v>
      </c>
      <c r="B30" s="11">
        <v>15462.859</v>
      </c>
      <c r="C30" s="11">
        <v>12915.395</v>
      </c>
      <c r="D30" s="11">
        <v>11598.5</v>
      </c>
      <c r="E30" s="11">
        <v>11683.729</v>
      </c>
      <c r="F30" s="11">
        <v>8954.474</v>
      </c>
      <c r="G30" s="11"/>
      <c r="H30" s="11" t="s">
        <v>391</v>
      </c>
      <c r="I30" s="11">
        <v>0.0</v>
      </c>
      <c r="J30" s="11">
        <v>0.0</v>
      </c>
      <c r="K30" s="11">
        <v>4056.259</v>
      </c>
      <c r="L30" s="11">
        <v>1422.562</v>
      </c>
      <c r="M30" s="11">
        <v>0.0</v>
      </c>
      <c r="N30" s="11"/>
      <c r="O30" s="11" t="s">
        <v>369</v>
      </c>
      <c r="P30" s="11">
        <v>-2841.0</v>
      </c>
      <c r="Q30" s="11">
        <v>2901.293999999994</v>
      </c>
      <c r="R30" s="11">
        <v>2892.950000000006</v>
      </c>
      <c r="S30" s="11">
        <v>5566.4</v>
      </c>
      <c r="T30" s="11">
        <v>-2644.712999999992</v>
      </c>
      <c r="U30" s="11"/>
      <c r="V30" s="11" t="s">
        <v>370</v>
      </c>
      <c r="W30" s="11">
        <v>0.0</v>
      </c>
      <c r="X30" s="11">
        <v>0.0</v>
      </c>
      <c r="Y30" s="11">
        <v>0.0</v>
      </c>
      <c r="Z30" s="11">
        <v>0.0</v>
      </c>
      <c r="AA30" s="11"/>
      <c r="AB30" s="11" t="s">
        <v>385</v>
      </c>
      <c r="AC30" s="11">
        <v>40395.987</v>
      </c>
      <c r="AD30" s="11">
        <v>37857.769</v>
      </c>
      <c r="AE30" s="11">
        <v>36894.298</v>
      </c>
      <c r="AF30" s="11"/>
      <c r="AG30" s="11"/>
      <c r="AH30" s="11"/>
      <c r="AI30" s="11"/>
      <c r="AJ30" s="11"/>
      <c r="AK30" s="11"/>
      <c r="AL30" s="11"/>
      <c r="AM30" s="11" t="s">
        <v>385</v>
      </c>
      <c r="AN30" s="11">
        <v>0.0</v>
      </c>
      <c r="AO30" s="11">
        <v>7020.65705</v>
      </c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 t="s">
        <v>385</v>
      </c>
      <c r="BH30" s="11">
        <v>3622.43154</v>
      </c>
      <c r="BI30" s="11">
        <v>1154.61011</v>
      </c>
      <c r="BJ30" s="11">
        <v>9596.18979</v>
      </c>
      <c r="BK30" s="11">
        <v>23391.59256</v>
      </c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40" t="s">
        <v>381</v>
      </c>
      <c r="CD30" s="40"/>
      <c r="CE30" s="40"/>
      <c r="CF30" s="40"/>
      <c r="CG30" s="40"/>
      <c r="CH30" s="40"/>
      <c r="CI30" s="40"/>
      <c r="CJ30" s="40"/>
      <c r="CK30" s="40"/>
      <c r="CL30" s="11"/>
    </row>
    <row r="31" ht="15.75" customHeight="1">
      <c r="A31" s="11"/>
      <c r="B31" s="11"/>
      <c r="C31" s="11"/>
      <c r="D31" s="11"/>
      <c r="E31" s="11"/>
      <c r="F31" s="11"/>
      <c r="G31" s="11"/>
      <c r="H31" s="11" t="s">
        <v>383</v>
      </c>
      <c r="I31" s="11">
        <v>19435.0</v>
      </c>
      <c r="J31" s="11">
        <v>21414.0</v>
      </c>
      <c r="K31" s="11">
        <v>16122.96999999996</v>
      </c>
      <c r="L31" s="11">
        <v>7214.950999999997</v>
      </c>
      <c r="M31" s="11">
        <v>2151.953000000023</v>
      </c>
      <c r="N31" s="11"/>
      <c r="O31" s="11" t="s">
        <v>374</v>
      </c>
      <c r="P31" s="11">
        <v>0.0</v>
      </c>
      <c r="Q31" s="11">
        <v>0.0</v>
      </c>
      <c r="R31" s="11">
        <v>0.0</v>
      </c>
      <c r="S31" s="11">
        <v>0.0</v>
      </c>
      <c r="T31" s="11">
        <v>0.0</v>
      </c>
      <c r="U31" s="11"/>
      <c r="V31" s="11" t="s">
        <v>378</v>
      </c>
      <c r="W31" s="11">
        <v>0.0</v>
      </c>
      <c r="X31" s="11">
        <v>0.0</v>
      </c>
      <c r="Y31" s="11">
        <v>0.0</v>
      </c>
      <c r="Z31" s="11">
        <v>0.0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 t="s">
        <v>385</v>
      </c>
      <c r="BN31" s="11">
        <v>717196.0890000002</v>
      </c>
      <c r="BO31" s="11">
        <v>900699.5129999998</v>
      </c>
      <c r="BP31" s="11">
        <v>975481.1220000002</v>
      </c>
      <c r="BQ31" s="11">
        <v>986547.7617799998</v>
      </c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40" t="s">
        <v>389</v>
      </c>
      <c r="CD31" s="40"/>
      <c r="CE31" s="40"/>
      <c r="CF31" s="40"/>
      <c r="CG31" s="40" t="s">
        <v>385</v>
      </c>
      <c r="CH31" s="43">
        <v>10327.471</v>
      </c>
      <c r="CI31" s="43">
        <v>15188.59792</v>
      </c>
      <c r="CJ31" s="43">
        <v>14813.05972</v>
      </c>
      <c r="CK31" s="43">
        <v>3689.194710000002</v>
      </c>
      <c r="CL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 t="s">
        <v>376</v>
      </c>
      <c r="P32" s="11">
        <v>-2841.0</v>
      </c>
      <c r="Q32" s="11">
        <v>2901.293999999994</v>
      </c>
      <c r="R32" s="11">
        <v>2892.950000000006</v>
      </c>
      <c r="S32" s="11">
        <v>5566.4</v>
      </c>
      <c r="T32" s="11">
        <v>-2644.712999999992</v>
      </c>
      <c r="U32" s="11"/>
      <c r="V32" s="11" t="s">
        <v>380</v>
      </c>
      <c r="W32" s="11">
        <v>0.0</v>
      </c>
      <c r="X32" s="11">
        <v>0.0</v>
      </c>
      <c r="Y32" s="11">
        <v>0.0</v>
      </c>
      <c r="Z32" s="11">
        <v>0.0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40" t="s">
        <v>384</v>
      </c>
      <c r="CD32" s="40"/>
      <c r="CE32" s="40"/>
      <c r="CF32" s="40"/>
      <c r="CG32" s="40"/>
      <c r="CH32" s="40"/>
      <c r="CI32" s="40"/>
      <c r="CJ32" s="40"/>
      <c r="CK32" s="40"/>
      <c r="CL32" s="11"/>
    </row>
    <row r="33" ht="15.75" customHeight="1">
      <c r="A33" s="11"/>
      <c r="B33" s="11"/>
      <c r="C33" s="11"/>
      <c r="D33" s="11"/>
      <c r="E33" s="11"/>
      <c r="F33" s="11"/>
      <c r="G33" s="11"/>
      <c r="H33" s="11" t="s">
        <v>392</v>
      </c>
      <c r="I33" s="11">
        <v>0.0</v>
      </c>
      <c r="J33" s="11">
        <v>0.0</v>
      </c>
      <c r="K33" s="11">
        <v>-690.114</v>
      </c>
      <c r="L33" s="11">
        <v>814.917</v>
      </c>
      <c r="M33" s="11">
        <v>0.0</v>
      </c>
      <c r="N33" s="11"/>
      <c r="O33" s="11" t="s">
        <v>379</v>
      </c>
      <c r="P33" s="11">
        <v>-155.0</v>
      </c>
      <c r="Q33" s="11">
        <v>-1625.338</v>
      </c>
      <c r="R33" s="11">
        <v>-306.746</v>
      </c>
      <c r="S33" s="11">
        <v>-995.089</v>
      </c>
      <c r="T33" s="11">
        <v>-191.149</v>
      </c>
      <c r="U33" s="11"/>
      <c r="V33" s="11" t="s">
        <v>377</v>
      </c>
      <c r="W33" s="11">
        <v>3.186</v>
      </c>
      <c r="X33" s="11">
        <v>-383.15</v>
      </c>
      <c r="Y33" s="11">
        <v>-430.325</v>
      </c>
      <c r="Z33" s="11">
        <v>71.365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40" t="s">
        <v>370</v>
      </c>
      <c r="CD33" s="43">
        <v>6.0</v>
      </c>
      <c r="CE33" s="40"/>
      <c r="CF33" s="40"/>
      <c r="CG33" s="40"/>
      <c r="CH33" s="40"/>
      <c r="CI33" s="40"/>
      <c r="CJ33" s="40"/>
      <c r="CK33" s="40"/>
      <c r="CL33" s="11"/>
    </row>
    <row r="34" ht="15.75" customHeight="1">
      <c r="A34" s="11"/>
      <c r="B34" s="11"/>
      <c r="C34" s="11"/>
      <c r="D34" s="11"/>
      <c r="E34" s="11"/>
      <c r="F34" s="11"/>
      <c r="G34" s="11"/>
      <c r="H34" s="11" t="s">
        <v>338</v>
      </c>
      <c r="I34" s="11">
        <v>0.0</v>
      </c>
      <c r="J34" s="11">
        <v>0.0</v>
      </c>
      <c r="K34" s="11">
        <v>0.0</v>
      </c>
      <c r="L34" s="11">
        <v>38442.628</v>
      </c>
      <c r="M34" s="11">
        <v>0.0</v>
      </c>
      <c r="N34" s="11"/>
      <c r="O34" s="11" t="s">
        <v>383</v>
      </c>
      <c r="P34" s="11">
        <v>-2996.0</v>
      </c>
      <c r="Q34" s="11">
        <v>1275.955999999994</v>
      </c>
      <c r="R34" s="11">
        <v>2586.204000000006</v>
      </c>
      <c r="S34" s="11">
        <v>4571.311</v>
      </c>
      <c r="T34" s="11">
        <v>-2835.861999999992</v>
      </c>
      <c r="U34" s="11"/>
      <c r="V34" s="11" t="s">
        <v>369</v>
      </c>
      <c r="W34" s="11">
        <v>-35.504</v>
      </c>
      <c r="X34" s="11">
        <v>-2708.358</v>
      </c>
      <c r="Y34" s="11">
        <v>962.143</v>
      </c>
      <c r="Z34" s="11">
        <v>1111.626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40" t="s">
        <v>380</v>
      </c>
      <c r="CD34" s="40"/>
      <c r="CE34" s="40"/>
      <c r="CF34" s="40"/>
      <c r="CG34" s="40"/>
      <c r="CH34" s="40"/>
      <c r="CI34" s="40"/>
      <c r="CJ34" s="40"/>
      <c r="CK34" s="40"/>
      <c r="CL34" s="11"/>
    </row>
    <row r="35" ht="15.75" customHeight="1">
      <c r="A35" s="11"/>
      <c r="B35" s="11"/>
      <c r="C35" s="11"/>
      <c r="D35" s="11"/>
      <c r="E35" s="11"/>
      <c r="F35" s="11"/>
      <c r="G35" s="11"/>
      <c r="H35" s="11" t="s">
        <v>308</v>
      </c>
      <c r="I35" s="11">
        <v>0.0</v>
      </c>
      <c r="J35" s="11">
        <v>0.0</v>
      </c>
      <c r="K35" s="11">
        <v>172.528</v>
      </c>
      <c r="L35" s="11">
        <v>-9986.915</v>
      </c>
      <c r="M35" s="11">
        <v>0.0</v>
      </c>
      <c r="N35" s="11"/>
      <c r="O35" s="11"/>
      <c r="P35" s="11"/>
      <c r="Q35" s="11"/>
      <c r="R35" s="11"/>
      <c r="S35" s="11"/>
      <c r="T35" s="11"/>
      <c r="U35" s="11"/>
      <c r="V35" s="11" t="s">
        <v>374</v>
      </c>
      <c r="W35" s="11">
        <v>0.0</v>
      </c>
      <c r="X35" s="11">
        <v>0.0</v>
      </c>
      <c r="Y35" s="11">
        <v>0.0</v>
      </c>
      <c r="Z35" s="11">
        <v>0.0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40" t="s">
        <v>365</v>
      </c>
      <c r="CD35" s="43">
        <v>1.98</v>
      </c>
      <c r="CE35" s="43">
        <v>0.36264</v>
      </c>
      <c r="CF35" s="40"/>
      <c r="CG35" s="40"/>
      <c r="CH35" s="40"/>
      <c r="CI35" s="40"/>
      <c r="CJ35" s="40"/>
      <c r="CK35" s="40"/>
      <c r="CL35" s="11"/>
    </row>
    <row r="36" ht="15.75" customHeight="1">
      <c r="A36" s="11"/>
      <c r="B36" s="11"/>
      <c r="C36" s="11"/>
      <c r="D36" s="11"/>
      <c r="E36" s="11"/>
      <c r="F36" s="11"/>
      <c r="G36" s="11"/>
      <c r="H36" s="11" t="s">
        <v>387</v>
      </c>
      <c r="I36" s="11">
        <v>19435.0</v>
      </c>
      <c r="J36" s="11">
        <v>21414.0</v>
      </c>
      <c r="K36" s="11">
        <v>15605.38399999996</v>
      </c>
      <c r="L36" s="11">
        <v>36485.58099999999</v>
      </c>
      <c r="M36" s="11">
        <v>2151.953000000023</v>
      </c>
      <c r="N36" s="11"/>
      <c r="O36" s="11" t="s">
        <v>385</v>
      </c>
      <c r="P36" s="11">
        <v>1158.0</v>
      </c>
      <c r="Q36" s="11">
        <v>25517.385</v>
      </c>
      <c r="R36" s="11">
        <v>36553.82199999999</v>
      </c>
      <c r="S36" s="11">
        <v>45174.121</v>
      </c>
      <c r="T36" s="11">
        <v>21651.745</v>
      </c>
      <c r="U36" s="11"/>
      <c r="V36" s="11" t="s">
        <v>376</v>
      </c>
      <c r="W36" s="11">
        <v>-35.504</v>
      </c>
      <c r="X36" s="11">
        <v>-2708.358</v>
      </c>
      <c r="Y36" s="11">
        <v>962.143</v>
      </c>
      <c r="Z36" s="11">
        <v>1111.626</v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40" t="s">
        <v>369</v>
      </c>
      <c r="CD36" s="43">
        <v>64.31099999999991</v>
      </c>
      <c r="CE36" s="43">
        <v>269.0143499999999</v>
      </c>
      <c r="CF36" s="40"/>
      <c r="CG36" s="40"/>
      <c r="CH36" s="40"/>
      <c r="CI36" s="40"/>
      <c r="CJ36" s="40"/>
      <c r="CK36" s="40"/>
      <c r="CL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 t="s">
        <v>379</v>
      </c>
      <c r="W37" s="11">
        <v>0.0</v>
      </c>
      <c r="X37" s="11">
        <v>0.0</v>
      </c>
      <c r="Y37" s="11">
        <v>-250.482</v>
      </c>
      <c r="Z37" s="11">
        <v>0.0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40" t="s">
        <v>374</v>
      </c>
      <c r="CD37" s="40"/>
      <c r="CE37" s="40"/>
      <c r="CF37" s="40"/>
      <c r="CG37" s="40"/>
      <c r="CH37" s="40"/>
      <c r="CI37" s="40"/>
      <c r="CJ37" s="40"/>
      <c r="CK37" s="40"/>
      <c r="CL37" s="11"/>
    </row>
    <row r="38" ht="15.75" customHeight="1">
      <c r="A38" s="11"/>
      <c r="B38" s="11"/>
      <c r="C38" s="11"/>
      <c r="D38" s="11"/>
      <c r="E38" s="11"/>
      <c r="F38" s="11"/>
      <c r="G38" s="11"/>
      <c r="H38" s="11" t="s">
        <v>385</v>
      </c>
      <c r="I38" s="11">
        <v>264108.0</v>
      </c>
      <c r="J38" s="11">
        <v>188639.0</v>
      </c>
      <c r="K38" s="11">
        <v>214095.806</v>
      </c>
      <c r="L38" s="11">
        <v>260000.834</v>
      </c>
      <c r="M38" s="11">
        <v>243835.679</v>
      </c>
      <c r="N38" s="11"/>
      <c r="O38" s="11"/>
      <c r="P38" s="11"/>
      <c r="Q38" s="11"/>
      <c r="R38" s="11"/>
      <c r="S38" s="11"/>
      <c r="T38" s="11"/>
      <c r="U38" s="11"/>
      <c r="V38" s="11" t="s">
        <v>390</v>
      </c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40" t="s">
        <v>376</v>
      </c>
      <c r="CD38" s="43">
        <v>64.31099999999991</v>
      </c>
      <c r="CE38" s="43">
        <v>269.0143499999999</v>
      </c>
      <c r="CF38" s="40"/>
      <c r="CG38" s="40"/>
      <c r="CH38" s="40"/>
      <c r="CI38" s="40"/>
      <c r="CJ38" s="40"/>
      <c r="CK38" s="40"/>
      <c r="CL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 t="s">
        <v>391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40" t="s">
        <v>379</v>
      </c>
      <c r="CD39" s="40"/>
      <c r="CE39" s="40"/>
      <c r="CF39" s="40"/>
      <c r="CG39" s="40"/>
      <c r="CH39" s="40"/>
      <c r="CI39" s="40"/>
      <c r="CJ39" s="40"/>
      <c r="CK39" s="40"/>
      <c r="CL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 t="s">
        <v>383</v>
      </c>
      <c r="W40" s="11">
        <v>-35.504</v>
      </c>
      <c r="X40" s="11">
        <v>-2708.358</v>
      </c>
      <c r="Y40" s="11">
        <v>711.661</v>
      </c>
      <c r="Z40" s="11">
        <v>1111.626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40" t="s">
        <v>383</v>
      </c>
      <c r="CD40" s="43">
        <v>64.31099999999991</v>
      </c>
      <c r="CE40" s="43">
        <v>269.0143499999999</v>
      </c>
      <c r="CF40" s="40"/>
      <c r="CG40" s="40"/>
      <c r="CH40" s="40"/>
      <c r="CI40" s="40"/>
      <c r="CJ40" s="40"/>
      <c r="CK40" s="40"/>
      <c r="CL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40"/>
      <c r="CD41" s="40"/>
      <c r="CE41" s="40"/>
      <c r="CF41" s="40"/>
      <c r="CG41" s="40"/>
      <c r="CH41" s="40"/>
      <c r="CI41" s="40"/>
      <c r="CJ41" s="40"/>
      <c r="CK41" s="40"/>
      <c r="CL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 t="s">
        <v>392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40" t="s">
        <v>385</v>
      </c>
      <c r="CD42" s="43">
        <v>1789.497</v>
      </c>
      <c r="CE42" s="43">
        <v>3691.77517</v>
      </c>
      <c r="CF42" s="40"/>
      <c r="CG42" s="40"/>
      <c r="CH42" s="40"/>
      <c r="CI42" s="40"/>
      <c r="CJ42" s="40"/>
      <c r="CK42" s="40"/>
      <c r="CL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 t="s">
        <v>338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40"/>
      <c r="CD43" s="40"/>
      <c r="CE43" s="40"/>
      <c r="CF43" s="40"/>
      <c r="CG43" s="40"/>
      <c r="CH43" s="40"/>
      <c r="CI43" s="40"/>
      <c r="CJ43" s="40"/>
      <c r="CK43" s="40"/>
      <c r="CL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 t="s">
        <v>308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40"/>
      <c r="CD44" s="40"/>
      <c r="CE44" s="40"/>
      <c r="CF44" s="40"/>
      <c r="CG44" s="40"/>
      <c r="CH44" s="40"/>
      <c r="CI44" s="40"/>
      <c r="CJ44" s="40"/>
      <c r="CK44" s="40"/>
      <c r="CL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 t="s">
        <v>387</v>
      </c>
      <c r="W45" s="11">
        <v>-35.504</v>
      </c>
      <c r="X45" s="11">
        <v>-2708.358</v>
      </c>
      <c r="Y45" s="11">
        <v>711.661</v>
      </c>
      <c r="Z45" s="11">
        <v>1111.626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40"/>
      <c r="CD45" s="40"/>
      <c r="CE45" s="40"/>
      <c r="CF45" s="40"/>
      <c r="CG45" s="40"/>
      <c r="CH45" s="40"/>
      <c r="CI45" s="40"/>
      <c r="CJ45" s="40"/>
      <c r="CK45" s="40"/>
      <c r="CL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40"/>
      <c r="CD46" s="40"/>
      <c r="CE46" s="40"/>
      <c r="CF46" s="40"/>
      <c r="CG46" s="40"/>
      <c r="CH46" s="40"/>
      <c r="CI46" s="40"/>
      <c r="CJ46" s="40"/>
      <c r="CK46" s="40"/>
      <c r="CL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 t="s">
        <v>385</v>
      </c>
      <c r="W47" s="11">
        <v>21821.635</v>
      </c>
      <c r="X47" s="11">
        <v>34174.053</v>
      </c>
      <c r="Y47" s="11">
        <v>33803.666</v>
      </c>
      <c r="Z47" s="11">
        <v>25189.5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40"/>
      <c r="CD47" s="40"/>
      <c r="CE47" s="40"/>
      <c r="CF47" s="40"/>
      <c r="CG47" s="40"/>
      <c r="CH47" s="40"/>
      <c r="CI47" s="40"/>
      <c r="CJ47" s="40"/>
      <c r="CK47" s="40"/>
      <c r="CL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40"/>
      <c r="CD48" s="40"/>
      <c r="CE48" s="40"/>
      <c r="CF48" s="40"/>
      <c r="CG48" s="40"/>
      <c r="CH48" s="40"/>
      <c r="CI48" s="40"/>
      <c r="CJ48" s="40"/>
      <c r="CK48" s="40"/>
      <c r="CL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40"/>
      <c r="CD49" s="40"/>
      <c r="CE49" s="40"/>
      <c r="CF49" s="40"/>
      <c r="CG49" s="40"/>
      <c r="CH49" s="40"/>
      <c r="CI49" s="40"/>
      <c r="CJ49" s="40"/>
      <c r="CK49" s="40"/>
      <c r="CL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40"/>
      <c r="CD50" s="40"/>
      <c r="CE50" s="40"/>
      <c r="CF50" s="40"/>
      <c r="CG50" s="40"/>
      <c r="CH50" s="40"/>
      <c r="CI50" s="40"/>
      <c r="CJ50" s="40"/>
      <c r="CK50" s="40"/>
      <c r="CL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40"/>
      <c r="CD51" s="40"/>
      <c r="CE51" s="40"/>
      <c r="CF51" s="40"/>
      <c r="CG51" s="40"/>
      <c r="CH51" s="40"/>
      <c r="CI51" s="40"/>
      <c r="CJ51" s="40"/>
      <c r="CK51" s="40"/>
      <c r="CL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40"/>
      <c r="CD52" s="40"/>
      <c r="CE52" s="40"/>
      <c r="CF52" s="40"/>
      <c r="CG52" s="40"/>
      <c r="CH52" s="40"/>
      <c r="CI52" s="40"/>
      <c r="CJ52" s="40"/>
      <c r="CK52" s="40"/>
      <c r="CL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40"/>
      <c r="CD53" s="40"/>
      <c r="CE53" s="40"/>
      <c r="CF53" s="40"/>
      <c r="CG53" s="40"/>
      <c r="CH53" s="40"/>
      <c r="CI53" s="40"/>
      <c r="CJ53" s="40"/>
      <c r="CK53" s="40"/>
      <c r="CL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40"/>
      <c r="CD54" s="40"/>
      <c r="CE54" s="40"/>
      <c r="CF54" s="40"/>
      <c r="CG54" s="40"/>
      <c r="CH54" s="40"/>
      <c r="CI54" s="40"/>
      <c r="CJ54" s="40"/>
      <c r="CK54" s="40"/>
      <c r="CL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40"/>
      <c r="CD55" s="40"/>
      <c r="CE55" s="40"/>
      <c r="CF55" s="40"/>
      <c r="CG55" s="40"/>
      <c r="CH55" s="40"/>
      <c r="CI55" s="40"/>
      <c r="CJ55" s="40"/>
      <c r="CK55" s="40"/>
      <c r="CL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40"/>
      <c r="CD56" s="40"/>
      <c r="CE56" s="40"/>
      <c r="CF56" s="40"/>
      <c r="CG56" s="40"/>
      <c r="CH56" s="40"/>
      <c r="CI56" s="40"/>
      <c r="CJ56" s="40"/>
      <c r="CK56" s="40"/>
      <c r="CL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40"/>
      <c r="CD57" s="40"/>
      <c r="CE57" s="40"/>
      <c r="CF57" s="40"/>
      <c r="CG57" s="40"/>
      <c r="CH57" s="40"/>
      <c r="CI57" s="40"/>
      <c r="CJ57" s="40"/>
      <c r="CK57" s="40"/>
      <c r="CL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40"/>
      <c r="CD58" s="40"/>
      <c r="CE58" s="40"/>
      <c r="CF58" s="40"/>
      <c r="CG58" s="40"/>
      <c r="CH58" s="40"/>
      <c r="CI58" s="40"/>
      <c r="CJ58" s="40"/>
      <c r="CK58" s="40"/>
      <c r="CL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40"/>
      <c r="CD59" s="40"/>
      <c r="CE59" s="40"/>
      <c r="CF59" s="40"/>
      <c r="CG59" s="40"/>
      <c r="CH59" s="40"/>
      <c r="CI59" s="40"/>
      <c r="CJ59" s="40"/>
      <c r="CK59" s="40"/>
      <c r="CL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40"/>
      <c r="CD60" s="40"/>
      <c r="CE60" s="40"/>
      <c r="CF60" s="40"/>
      <c r="CG60" s="40"/>
      <c r="CH60" s="40"/>
      <c r="CI60" s="40"/>
      <c r="CJ60" s="40"/>
      <c r="CK60" s="40"/>
      <c r="CL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40"/>
      <c r="CD61" s="40"/>
      <c r="CE61" s="40"/>
      <c r="CF61" s="40"/>
      <c r="CG61" s="40"/>
      <c r="CH61" s="40"/>
      <c r="CI61" s="40"/>
      <c r="CJ61" s="40"/>
      <c r="CK61" s="40"/>
      <c r="CL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40"/>
      <c r="CD62" s="40"/>
      <c r="CE62" s="40"/>
      <c r="CF62" s="40"/>
      <c r="CG62" s="40"/>
      <c r="CH62" s="40"/>
      <c r="CI62" s="40"/>
      <c r="CJ62" s="40"/>
      <c r="CK62" s="40"/>
      <c r="CL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40"/>
      <c r="CD63" s="40"/>
      <c r="CE63" s="40"/>
      <c r="CF63" s="40"/>
      <c r="CG63" s="40"/>
      <c r="CH63" s="40"/>
      <c r="CI63" s="40"/>
      <c r="CJ63" s="40"/>
      <c r="CK63" s="40"/>
      <c r="CL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40"/>
      <c r="CD64" s="40"/>
      <c r="CE64" s="40"/>
      <c r="CF64" s="40"/>
      <c r="CG64" s="40"/>
      <c r="CH64" s="40"/>
      <c r="CI64" s="40"/>
      <c r="CJ64" s="40"/>
      <c r="CK64" s="40"/>
      <c r="CL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40"/>
      <c r="CD65" s="40"/>
      <c r="CE65" s="40"/>
      <c r="CF65" s="40"/>
      <c r="CG65" s="40"/>
      <c r="CH65" s="40"/>
      <c r="CI65" s="40"/>
      <c r="CJ65" s="40"/>
      <c r="CK65" s="40"/>
      <c r="CL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40"/>
      <c r="CD66" s="40"/>
      <c r="CE66" s="40"/>
      <c r="CF66" s="40"/>
      <c r="CG66" s="40"/>
      <c r="CH66" s="40"/>
      <c r="CI66" s="40"/>
      <c r="CJ66" s="40"/>
      <c r="CK66" s="40"/>
      <c r="CL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40"/>
      <c r="CD67" s="40"/>
      <c r="CE67" s="40"/>
      <c r="CF67" s="40"/>
      <c r="CG67" s="40"/>
      <c r="CH67" s="40"/>
      <c r="CI67" s="40"/>
      <c r="CJ67" s="40"/>
      <c r="CK67" s="40"/>
      <c r="CL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40"/>
      <c r="CD68" s="40"/>
      <c r="CE68" s="40"/>
      <c r="CF68" s="40"/>
      <c r="CG68" s="40"/>
      <c r="CH68" s="40"/>
      <c r="CI68" s="40"/>
      <c r="CJ68" s="40"/>
      <c r="CK68" s="40"/>
      <c r="CL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40"/>
      <c r="CD69" s="40"/>
      <c r="CE69" s="40"/>
      <c r="CF69" s="40"/>
      <c r="CG69" s="40"/>
      <c r="CH69" s="40"/>
      <c r="CI69" s="40"/>
      <c r="CJ69" s="40"/>
      <c r="CK69" s="40"/>
      <c r="CL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40"/>
      <c r="CD70" s="40"/>
      <c r="CE70" s="40"/>
      <c r="CF70" s="40"/>
      <c r="CG70" s="40"/>
      <c r="CH70" s="40"/>
      <c r="CI70" s="40"/>
      <c r="CJ70" s="40"/>
      <c r="CK70" s="40"/>
      <c r="CL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40"/>
      <c r="CD71" s="40"/>
      <c r="CE71" s="40"/>
      <c r="CF71" s="40"/>
      <c r="CG71" s="40"/>
      <c r="CH71" s="40"/>
      <c r="CI71" s="40"/>
      <c r="CJ71" s="40"/>
      <c r="CK71" s="40"/>
      <c r="CL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40"/>
      <c r="CD72" s="40"/>
      <c r="CE72" s="40"/>
      <c r="CF72" s="40"/>
      <c r="CG72" s="40"/>
      <c r="CH72" s="40"/>
      <c r="CI72" s="40"/>
      <c r="CJ72" s="40"/>
      <c r="CK72" s="40"/>
      <c r="CL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40"/>
      <c r="CD73" s="40"/>
      <c r="CE73" s="40"/>
      <c r="CF73" s="40"/>
      <c r="CG73" s="40"/>
      <c r="CH73" s="40"/>
      <c r="CI73" s="40"/>
      <c r="CJ73" s="40"/>
      <c r="CK73" s="40"/>
      <c r="CL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40"/>
      <c r="CD74" s="40"/>
      <c r="CE74" s="40"/>
      <c r="CF74" s="40"/>
      <c r="CG74" s="40"/>
      <c r="CH74" s="40"/>
      <c r="CI74" s="40"/>
      <c r="CJ74" s="40"/>
      <c r="CK74" s="40"/>
      <c r="CL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40"/>
      <c r="CD75" s="40"/>
      <c r="CE75" s="40"/>
      <c r="CF75" s="40"/>
      <c r="CG75" s="40"/>
      <c r="CH75" s="40"/>
      <c r="CI75" s="40"/>
      <c r="CJ75" s="40"/>
      <c r="CK75" s="40"/>
      <c r="CL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40"/>
      <c r="CD76" s="40"/>
      <c r="CE76" s="40"/>
      <c r="CF76" s="40"/>
      <c r="CG76" s="40"/>
      <c r="CH76" s="40"/>
      <c r="CI76" s="40"/>
      <c r="CJ76" s="40"/>
      <c r="CK76" s="40"/>
      <c r="CL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40"/>
      <c r="CD77" s="40"/>
      <c r="CE77" s="40"/>
      <c r="CF77" s="40"/>
      <c r="CG77" s="40"/>
      <c r="CH77" s="40"/>
      <c r="CI77" s="40"/>
      <c r="CJ77" s="40"/>
      <c r="CK77" s="40"/>
      <c r="CL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40"/>
      <c r="CD78" s="40"/>
      <c r="CE78" s="40"/>
      <c r="CF78" s="40"/>
      <c r="CG78" s="40"/>
      <c r="CH78" s="40"/>
      <c r="CI78" s="40"/>
      <c r="CJ78" s="40"/>
      <c r="CK78" s="40"/>
      <c r="CL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40"/>
      <c r="CD79" s="40"/>
      <c r="CE79" s="40"/>
      <c r="CF79" s="40"/>
      <c r="CG79" s="40"/>
      <c r="CH79" s="40"/>
      <c r="CI79" s="40"/>
      <c r="CJ79" s="40"/>
      <c r="CK79" s="40"/>
      <c r="CL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40"/>
      <c r="CD80" s="40"/>
      <c r="CE80" s="40"/>
      <c r="CF80" s="40"/>
      <c r="CG80" s="40"/>
      <c r="CH80" s="40"/>
      <c r="CI80" s="40"/>
      <c r="CJ80" s="40"/>
      <c r="CK80" s="40"/>
      <c r="CL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40"/>
      <c r="CD81" s="40"/>
      <c r="CE81" s="40"/>
      <c r="CF81" s="40"/>
      <c r="CG81" s="40"/>
      <c r="CH81" s="40"/>
      <c r="CI81" s="40"/>
      <c r="CJ81" s="40"/>
      <c r="CK81" s="40"/>
      <c r="CL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40"/>
      <c r="CD82" s="40"/>
      <c r="CE82" s="40"/>
      <c r="CF82" s="40"/>
      <c r="CG82" s="40"/>
      <c r="CH82" s="40"/>
      <c r="CI82" s="40"/>
      <c r="CJ82" s="40"/>
      <c r="CK82" s="40"/>
      <c r="CL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40"/>
      <c r="CD83" s="40"/>
      <c r="CE83" s="40"/>
      <c r="CF83" s="40"/>
      <c r="CG83" s="40"/>
      <c r="CH83" s="40"/>
      <c r="CI83" s="40"/>
      <c r="CJ83" s="40"/>
      <c r="CK83" s="40"/>
      <c r="CL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40"/>
      <c r="CD84" s="40"/>
      <c r="CE84" s="40"/>
      <c r="CF84" s="40"/>
      <c r="CG84" s="40"/>
      <c r="CH84" s="40"/>
      <c r="CI84" s="40"/>
      <c r="CJ84" s="40"/>
      <c r="CK84" s="40"/>
      <c r="CL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40"/>
      <c r="CD85" s="40"/>
      <c r="CE85" s="40"/>
      <c r="CF85" s="40"/>
      <c r="CG85" s="40"/>
      <c r="CH85" s="40"/>
      <c r="CI85" s="40"/>
      <c r="CJ85" s="40"/>
      <c r="CK85" s="40"/>
      <c r="CL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40"/>
      <c r="CD86" s="40"/>
      <c r="CE86" s="40"/>
      <c r="CF86" s="40"/>
      <c r="CG86" s="40"/>
      <c r="CH86" s="40"/>
      <c r="CI86" s="40"/>
      <c r="CJ86" s="40"/>
      <c r="CK86" s="40"/>
      <c r="CL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40"/>
      <c r="CD87" s="40"/>
      <c r="CE87" s="40"/>
      <c r="CF87" s="40"/>
      <c r="CG87" s="40"/>
      <c r="CH87" s="40"/>
      <c r="CI87" s="40"/>
      <c r="CJ87" s="40"/>
      <c r="CK87" s="40"/>
      <c r="CL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40"/>
      <c r="CD88" s="40"/>
      <c r="CE88" s="40"/>
      <c r="CF88" s="40"/>
      <c r="CG88" s="40"/>
      <c r="CH88" s="40"/>
      <c r="CI88" s="40"/>
      <c r="CJ88" s="40"/>
      <c r="CK88" s="40"/>
      <c r="CL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40"/>
      <c r="CD89" s="40"/>
      <c r="CE89" s="40"/>
      <c r="CF89" s="40"/>
      <c r="CG89" s="40"/>
      <c r="CH89" s="40"/>
      <c r="CI89" s="40"/>
      <c r="CJ89" s="40"/>
      <c r="CK89" s="40"/>
      <c r="CL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40"/>
      <c r="CD90" s="40"/>
      <c r="CE90" s="40"/>
      <c r="CF90" s="40"/>
      <c r="CG90" s="40"/>
      <c r="CH90" s="40"/>
      <c r="CI90" s="40"/>
      <c r="CJ90" s="40"/>
      <c r="CK90" s="40"/>
      <c r="CL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40"/>
      <c r="CD91" s="40"/>
      <c r="CE91" s="40"/>
      <c r="CF91" s="40"/>
      <c r="CG91" s="40"/>
      <c r="CH91" s="40"/>
      <c r="CI91" s="40"/>
      <c r="CJ91" s="40"/>
      <c r="CK91" s="40"/>
      <c r="CL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40"/>
      <c r="CD92" s="40"/>
      <c r="CE92" s="40"/>
      <c r="CF92" s="40"/>
      <c r="CG92" s="40"/>
      <c r="CH92" s="40"/>
      <c r="CI92" s="40"/>
      <c r="CJ92" s="40"/>
      <c r="CK92" s="40"/>
      <c r="CL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40"/>
      <c r="CD93" s="40"/>
      <c r="CE93" s="40"/>
      <c r="CF93" s="40"/>
      <c r="CG93" s="40"/>
      <c r="CH93" s="40"/>
      <c r="CI93" s="40"/>
      <c r="CJ93" s="40"/>
      <c r="CK93" s="40"/>
      <c r="CL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40"/>
      <c r="CD94" s="40"/>
      <c r="CE94" s="40"/>
      <c r="CF94" s="40"/>
      <c r="CG94" s="40"/>
      <c r="CH94" s="40"/>
      <c r="CI94" s="40"/>
      <c r="CJ94" s="40"/>
      <c r="CK94" s="40"/>
      <c r="CL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40"/>
      <c r="CD95" s="40"/>
      <c r="CE95" s="40"/>
      <c r="CF95" s="40"/>
      <c r="CG95" s="40"/>
      <c r="CH95" s="40"/>
      <c r="CI95" s="40"/>
      <c r="CJ95" s="40"/>
      <c r="CK95" s="40"/>
      <c r="CL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40"/>
      <c r="CD96" s="40"/>
      <c r="CE96" s="40"/>
      <c r="CF96" s="40"/>
      <c r="CG96" s="40"/>
      <c r="CH96" s="40"/>
      <c r="CI96" s="40"/>
      <c r="CJ96" s="40"/>
      <c r="CK96" s="40"/>
      <c r="CL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40"/>
      <c r="CD97" s="40"/>
      <c r="CE97" s="40"/>
      <c r="CF97" s="40"/>
      <c r="CG97" s="40"/>
      <c r="CH97" s="40"/>
      <c r="CI97" s="40"/>
      <c r="CJ97" s="40"/>
      <c r="CK97" s="40"/>
      <c r="CL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40"/>
      <c r="CD98" s="40"/>
      <c r="CE98" s="40"/>
      <c r="CF98" s="40"/>
      <c r="CG98" s="40"/>
      <c r="CH98" s="40"/>
      <c r="CI98" s="40"/>
      <c r="CJ98" s="40"/>
      <c r="CK98" s="40"/>
      <c r="CL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40"/>
      <c r="CD99" s="40"/>
      <c r="CE99" s="40"/>
      <c r="CF99" s="40"/>
      <c r="CG99" s="40"/>
      <c r="CH99" s="40"/>
      <c r="CI99" s="40"/>
      <c r="CJ99" s="40"/>
      <c r="CK99" s="40"/>
      <c r="CL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40"/>
      <c r="CD100" s="40"/>
      <c r="CE100" s="40"/>
      <c r="CF100" s="40"/>
      <c r="CG100" s="40"/>
      <c r="CH100" s="40"/>
      <c r="CI100" s="40"/>
      <c r="CJ100" s="40"/>
      <c r="CK100" s="40"/>
      <c r="CL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40"/>
      <c r="CD101" s="40"/>
      <c r="CE101" s="40"/>
      <c r="CF101" s="40"/>
      <c r="CG101" s="40"/>
      <c r="CH101" s="40"/>
      <c r="CI101" s="40"/>
      <c r="CJ101" s="40"/>
      <c r="CK101" s="40"/>
      <c r="CL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40"/>
      <c r="CD102" s="40"/>
      <c r="CE102" s="40"/>
      <c r="CF102" s="40"/>
      <c r="CG102" s="40"/>
      <c r="CH102" s="40"/>
      <c r="CI102" s="40"/>
      <c r="CJ102" s="40"/>
      <c r="CK102" s="40"/>
      <c r="CL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40"/>
      <c r="CD103" s="40"/>
      <c r="CE103" s="40"/>
      <c r="CF103" s="40"/>
      <c r="CG103" s="40"/>
      <c r="CH103" s="40"/>
      <c r="CI103" s="40"/>
      <c r="CJ103" s="40"/>
      <c r="CK103" s="40"/>
      <c r="CL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40"/>
      <c r="CD104" s="40"/>
      <c r="CE104" s="40"/>
      <c r="CF104" s="40"/>
      <c r="CG104" s="40"/>
      <c r="CH104" s="40"/>
      <c r="CI104" s="40"/>
      <c r="CJ104" s="40"/>
      <c r="CK104" s="40"/>
      <c r="CL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40"/>
      <c r="CD105" s="40"/>
      <c r="CE105" s="40"/>
      <c r="CF105" s="40"/>
      <c r="CG105" s="40"/>
      <c r="CH105" s="40"/>
      <c r="CI105" s="40"/>
      <c r="CJ105" s="40"/>
      <c r="CK105" s="40"/>
      <c r="CL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40"/>
      <c r="CD106" s="40"/>
      <c r="CE106" s="40"/>
      <c r="CF106" s="40"/>
      <c r="CG106" s="40"/>
      <c r="CH106" s="40"/>
      <c r="CI106" s="40"/>
      <c r="CJ106" s="40"/>
      <c r="CK106" s="40"/>
      <c r="CL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40"/>
      <c r="CD107" s="40"/>
      <c r="CE107" s="40"/>
      <c r="CF107" s="40"/>
      <c r="CG107" s="40"/>
      <c r="CH107" s="40"/>
      <c r="CI107" s="40"/>
      <c r="CJ107" s="40"/>
      <c r="CK107" s="40"/>
      <c r="CL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40"/>
      <c r="CD108" s="40"/>
      <c r="CE108" s="40"/>
      <c r="CF108" s="40"/>
      <c r="CG108" s="40"/>
      <c r="CH108" s="40"/>
      <c r="CI108" s="40"/>
      <c r="CJ108" s="40"/>
      <c r="CK108" s="40"/>
      <c r="CL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40"/>
      <c r="CD109" s="40"/>
      <c r="CE109" s="40"/>
      <c r="CF109" s="40"/>
      <c r="CG109" s="40"/>
      <c r="CH109" s="40"/>
      <c r="CI109" s="40"/>
      <c r="CJ109" s="40"/>
      <c r="CK109" s="40"/>
      <c r="CL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40"/>
      <c r="CD110" s="40"/>
      <c r="CE110" s="40"/>
      <c r="CF110" s="40"/>
      <c r="CG110" s="40"/>
      <c r="CH110" s="40"/>
      <c r="CI110" s="40"/>
      <c r="CJ110" s="40"/>
      <c r="CK110" s="40"/>
      <c r="CL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40"/>
      <c r="CD111" s="40"/>
      <c r="CE111" s="40"/>
      <c r="CF111" s="40"/>
      <c r="CG111" s="40"/>
      <c r="CH111" s="40"/>
      <c r="CI111" s="40"/>
      <c r="CJ111" s="40"/>
      <c r="CK111" s="40"/>
      <c r="CL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40"/>
      <c r="CD112" s="40"/>
      <c r="CE112" s="40"/>
      <c r="CF112" s="40"/>
      <c r="CG112" s="40"/>
      <c r="CH112" s="40"/>
      <c r="CI112" s="40"/>
      <c r="CJ112" s="40"/>
      <c r="CK112" s="40"/>
      <c r="CL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40"/>
      <c r="CD113" s="40"/>
      <c r="CE113" s="40"/>
      <c r="CF113" s="40"/>
      <c r="CG113" s="40"/>
      <c r="CH113" s="40"/>
      <c r="CI113" s="40"/>
      <c r="CJ113" s="40"/>
      <c r="CK113" s="40"/>
      <c r="CL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40"/>
      <c r="CD114" s="40"/>
      <c r="CE114" s="40"/>
      <c r="CF114" s="40"/>
      <c r="CG114" s="40"/>
      <c r="CH114" s="40"/>
      <c r="CI114" s="40"/>
      <c r="CJ114" s="40"/>
      <c r="CK114" s="40"/>
      <c r="CL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40"/>
      <c r="CD115" s="40"/>
      <c r="CE115" s="40"/>
      <c r="CF115" s="40"/>
      <c r="CG115" s="40"/>
      <c r="CH115" s="40"/>
      <c r="CI115" s="40"/>
      <c r="CJ115" s="40"/>
      <c r="CK115" s="40"/>
      <c r="CL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40"/>
      <c r="CD116" s="40"/>
      <c r="CE116" s="40"/>
      <c r="CF116" s="40"/>
      <c r="CG116" s="40"/>
      <c r="CH116" s="40"/>
      <c r="CI116" s="40"/>
      <c r="CJ116" s="40"/>
      <c r="CK116" s="40"/>
      <c r="CL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40"/>
      <c r="CD117" s="40"/>
      <c r="CE117" s="40"/>
      <c r="CF117" s="40"/>
      <c r="CG117" s="40"/>
      <c r="CH117" s="40"/>
      <c r="CI117" s="40"/>
      <c r="CJ117" s="40"/>
      <c r="CK117" s="40"/>
      <c r="CL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40"/>
      <c r="CD118" s="40"/>
      <c r="CE118" s="40"/>
      <c r="CF118" s="40"/>
      <c r="CG118" s="40"/>
      <c r="CH118" s="40"/>
      <c r="CI118" s="40"/>
      <c r="CJ118" s="40"/>
      <c r="CK118" s="40"/>
      <c r="CL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40"/>
      <c r="CD119" s="40"/>
      <c r="CE119" s="40"/>
      <c r="CF119" s="40"/>
      <c r="CG119" s="40"/>
      <c r="CH119" s="40"/>
      <c r="CI119" s="40"/>
      <c r="CJ119" s="40"/>
      <c r="CK119" s="40"/>
      <c r="CL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40"/>
      <c r="CD120" s="40"/>
      <c r="CE120" s="40"/>
      <c r="CF120" s="40"/>
      <c r="CG120" s="40"/>
      <c r="CH120" s="40"/>
      <c r="CI120" s="40"/>
      <c r="CJ120" s="40"/>
      <c r="CK120" s="40"/>
      <c r="CL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40"/>
      <c r="CD121" s="40"/>
      <c r="CE121" s="40"/>
      <c r="CF121" s="40"/>
      <c r="CG121" s="40"/>
      <c r="CH121" s="40"/>
      <c r="CI121" s="40"/>
      <c r="CJ121" s="40"/>
      <c r="CK121" s="40"/>
      <c r="CL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40"/>
      <c r="CD122" s="40"/>
      <c r="CE122" s="40"/>
      <c r="CF122" s="40"/>
      <c r="CG122" s="40"/>
      <c r="CH122" s="40"/>
      <c r="CI122" s="40"/>
      <c r="CJ122" s="40"/>
      <c r="CK122" s="40"/>
      <c r="CL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40"/>
      <c r="CD123" s="40"/>
      <c r="CE123" s="40"/>
      <c r="CF123" s="40"/>
      <c r="CG123" s="40"/>
      <c r="CH123" s="40"/>
      <c r="CI123" s="40"/>
      <c r="CJ123" s="40"/>
      <c r="CK123" s="40"/>
      <c r="CL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40"/>
      <c r="CD124" s="40"/>
      <c r="CE124" s="40"/>
      <c r="CF124" s="40"/>
      <c r="CG124" s="40"/>
      <c r="CH124" s="40"/>
      <c r="CI124" s="40"/>
      <c r="CJ124" s="40"/>
      <c r="CK124" s="40"/>
      <c r="CL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40"/>
      <c r="CD125" s="40"/>
      <c r="CE125" s="40"/>
      <c r="CF125" s="40"/>
      <c r="CG125" s="40"/>
      <c r="CH125" s="40"/>
      <c r="CI125" s="40"/>
      <c r="CJ125" s="40"/>
      <c r="CK125" s="40"/>
      <c r="CL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40"/>
      <c r="CD126" s="40"/>
      <c r="CE126" s="40"/>
      <c r="CF126" s="40"/>
      <c r="CG126" s="40"/>
      <c r="CH126" s="40"/>
      <c r="CI126" s="40"/>
      <c r="CJ126" s="40"/>
      <c r="CK126" s="40"/>
      <c r="CL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40"/>
      <c r="CD127" s="40"/>
      <c r="CE127" s="40"/>
      <c r="CF127" s="40"/>
      <c r="CG127" s="40"/>
      <c r="CH127" s="40"/>
      <c r="CI127" s="40"/>
      <c r="CJ127" s="40"/>
      <c r="CK127" s="40"/>
      <c r="CL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40"/>
      <c r="CD128" s="40"/>
      <c r="CE128" s="40"/>
      <c r="CF128" s="40"/>
      <c r="CG128" s="40"/>
      <c r="CH128" s="40"/>
      <c r="CI128" s="40"/>
      <c r="CJ128" s="40"/>
      <c r="CK128" s="40"/>
      <c r="CL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40"/>
      <c r="CD129" s="40"/>
      <c r="CE129" s="40"/>
      <c r="CF129" s="40"/>
      <c r="CG129" s="40"/>
      <c r="CH129" s="40"/>
      <c r="CI129" s="40"/>
      <c r="CJ129" s="40"/>
      <c r="CK129" s="40"/>
      <c r="CL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40"/>
      <c r="CD130" s="40"/>
      <c r="CE130" s="40"/>
      <c r="CF130" s="40"/>
      <c r="CG130" s="40"/>
      <c r="CH130" s="40"/>
      <c r="CI130" s="40"/>
      <c r="CJ130" s="40"/>
      <c r="CK130" s="40"/>
      <c r="CL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40"/>
      <c r="CD131" s="40"/>
      <c r="CE131" s="40"/>
      <c r="CF131" s="40"/>
      <c r="CG131" s="40"/>
      <c r="CH131" s="40"/>
      <c r="CI131" s="40"/>
      <c r="CJ131" s="40"/>
      <c r="CK131" s="40"/>
      <c r="CL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40"/>
      <c r="CD132" s="40"/>
      <c r="CE132" s="40"/>
      <c r="CF132" s="40"/>
      <c r="CG132" s="40"/>
      <c r="CH132" s="40"/>
      <c r="CI132" s="40"/>
      <c r="CJ132" s="40"/>
      <c r="CK132" s="40"/>
      <c r="CL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40"/>
      <c r="CD133" s="40"/>
      <c r="CE133" s="40"/>
      <c r="CF133" s="40"/>
      <c r="CG133" s="40"/>
      <c r="CH133" s="40"/>
      <c r="CI133" s="40"/>
      <c r="CJ133" s="40"/>
      <c r="CK133" s="40"/>
      <c r="CL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40"/>
      <c r="CD134" s="40"/>
      <c r="CE134" s="40"/>
      <c r="CF134" s="40"/>
      <c r="CG134" s="40"/>
      <c r="CH134" s="40"/>
      <c r="CI134" s="40"/>
      <c r="CJ134" s="40"/>
      <c r="CK134" s="40"/>
      <c r="CL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40"/>
      <c r="CD135" s="40"/>
      <c r="CE135" s="40"/>
      <c r="CF135" s="40"/>
      <c r="CG135" s="40"/>
      <c r="CH135" s="40"/>
      <c r="CI135" s="40"/>
      <c r="CJ135" s="40"/>
      <c r="CK135" s="40"/>
      <c r="CL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40"/>
      <c r="CD136" s="40"/>
      <c r="CE136" s="40"/>
      <c r="CF136" s="40"/>
      <c r="CG136" s="40"/>
      <c r="CH136" s="40"/>
      <c r="CI136" s="40"/>
      <c r="CJ136" s="40"/>
      <c r="CK136" s="40"/>
      <c r="CL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40"/>
      <c r="CD137" s="40"/>
      <c r="CE137" s="40"/>
      <c r="CF137" s="40"/>
      <c r="CG137" s="40"/>
      <c r="CH137" s="40"/>
      <c r="CI137" s="40"/>
      <c r="CJ137" s="40"/>
      <c r="CK137" s="40"/>
      <c r="CL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40"/>
      <c r="CD138" s="40"/>
      <c r="CE138" s="40"/>
      <c r="CF138" s="40"/>
      <c r="CG138" s="40"/>
      <c r="CH138" s="40"/>
      <c r="CI138" s="40"/>
      <c r="CJ138" s="40"/>
      <c r="CK138" s="40"/>
      <c r="CL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40"/>
      <c r="CD139" s="40"/>
      <c r="CE139" s="40"/>
      <c r="CF139" s="40"/>
      <c r="CG139" s="40"/>
      <c r="CH139" s="40"/>
      <c r="CI139" s="40"/>
      <c r="CJ139" s="40"/>
      <c r="CK139" s="40"/>
      <c r="CL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40"/>
      <c r="CD140" s="40"/>
      <c r="CE140" s="40"/>
      <c r="CF140" s="40"/>
      <c r="CG140" s="40"/>
      <c r="CH140" s="40"/>
      <c r="CI140" s="40"/>
      <c r="CJ140" s="40"/>
      <c r="CK140" s="40"/>
      <c r="CL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40"/>
      <c r="CD141" s="40"/>
      <c r="CE141" s="40"/>
      <c r="CF141" s="40"/>
      <c r="CG141" s="40"/>
      <c r="CH141" s="40"/>
      <c r="CI141" s="40"/>
      <c r="CJ141" s="40"/>
      <c r="CK141" s="40"/>
      <c r="CL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40"/>
      <c r="CD142" s="40"/>
      <c r="CE142" s="40"/>
      <c r="CF142" s="40"/>
      <c r="CG142" s="40"/>
      <c r="CH142" s="40"/>
      <c r="CI142" s="40"/>
      <c r="CJ142" s="40"/>
      <c r="CK142" s="40"/>
      <c r="CL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40"/>
      <c r="CD143" s="40"/>
      <c r="CE143" s="40"/>
      <c r="CF143" s="40"/>
      <c r="CG143" s="40"/>
      <c r="CH143" s="40"/>
      <c r="CI143" s="40"/>
      <c r="CJ143" s="40"/>
      <c r="CK143" s="40"/>
      <c r="CL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40"/>
      <c r="CD144" s="40"/>
      <c r="CE144" s="40"/>
      <c r="CF144" s="40"/>
      <c r="CG144" s="40"/>
      <c r="CH144" s="40"/>
      <c r="CI144" s="40"/>
      <c r="CJ144" s="40"/>
      <c r="CK144" s="40"/>
      <c r="CL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40"/>
      <c r="CD145" s="40"/>
      <c r="CE145" s="40"/>
      <c r="CF145" s="40"/>
      <c r="CG145" s="40"/>
      <c r="CH145" s="40"/>
      <c r="CI145" s="40"/>
      <c r="CJ145" s="40"/>
      <c r="CK145" s="40"/>
      <c r="CL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40"/>
      <c r="CD146" s="40"/>
      <c r="CE146" s="40"/>
      <c r="CF146" s="40"/>
      <c r="CG146" s="40"/>
      <c r="CH146" s="40"/>
      <c r="CI146" s="40"/>
      <c r="CJ146" s="40"/>
      <c r="CK146" s="40"/>
      <c r="CL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40"/>
      <c r="CD147" s="40"/>
      <c r="CE147" s="40"/>
      <c r="CF147" s="40"/>
      <c r="CG147" s="40"/>
      <c r="CH147" s="40"/>
      <c r="CI147" s="40"/>
      <c r="CJ147" s="40"/>
      <c r="CK147" s="40"/>
      <c r="CL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40"/>
      <c r="CD148" s="40"/>
      <c r="CE148" s="40"/>
      <c r="CF148" s="40"/>
      <c r="CG148" s="40"/>
      <c r="CH148" s="40"/>
      <c r="CI148" s="40"/>
      <c r="CJ148" s="40"/>
      <c r="CK148" s="40"/>
      <c r="CL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40"/>
      <c r="CD149" s="40"/>
      <c r="CE149" s="40"/>
      <c r="CF149" s="40"/>
      <c r="CG149" s="40"/>
      <c r="CH149" s="40"/>
      <c r="CI149" s="40"/>
      <c r="CJ149" s="40"/>
      <c r="CK149" s="40"/>
      <c r="CL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40"/>
      <c r="CD150" s="40"/>
      <c r="CE150" s="40"/>
      <c r="CF150" s="40"/>
      <c r="CG150" s="40"/>
      <c r="CH150" s="40"/>
      <c r="CI150" s="40"/>
      <c r="CJ150" s="40"/>
      <c r="CK150" s="40"/>
      <c r="CL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40"/>
      <c r="CD151" s="40"/>
      <c r="CE151" s="40"/>
      <c r="CF151" s="40"/>
      <c r="CG151" s="40"/>
      <c r="CH151" s="40"/>
      <c r="CI151" s="40"/>
      <c r="CJ151" s="40"/>
      <c r="CK151" s="40"/>
      <c r="CL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40"/>
      <c r="CD152" s="40"/>
      <c r="CE152" s="40"/>
      <c r="CF152" s="40"/>
      <c r="CG152" s="40"/>
      <c r="CH152" s="40"/>
      <c r="CI152" s="40"/>
      <c r="CJ152" s="40"/>
      <c r="CK152" s="40"/>
      <c r="CL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40"/>
      <c r="CD153" s="40"/>
      <c r="CE153" s="40"/>
      <c r="CF153" s="40"/>
      <c r="CG153" s="40"/>
      <c r="CH153" s="40"/>
      <c r="CI153" s="40"/>
      <c r="CJ153" s="40"/>
      <c r="CK153" s="40"/>
      <c r="CL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40"/>
      <c r="CD154" s="40"/>
      <c r="CE154" s="40"/>
      <c r="CF154" s="40"/>
      <c r="CG154" s="40"/>
      <c r="CH154" s="40"/>
      <c r="CI154" s="40"/>
      <c r="CJ154" s="40"/>
      <c r="CK154" s="40"/>
      <c r="CL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40"/>
      <c r="CD155" s="40"/>
      <c r="CE155" s="40"/>
      <c r="CF155" s="40"/>
      <c r="CG155" s="40"/>
      <c r="CH155" s="40"/>
      <c r="CI155" s="40"/>
      <c r="CJ155" s="40"/>
      <c r="CK155" s="40"/>
      <c r="CL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40"/>
      <c r="CD156" s="40"/>
      <c r="CE156" s="40"/>
      <c r="CF156" s="40"/>
      <c r="CG156" s="40"/>
      <c r="CH156" s="40"/>
      <c r="CI156" s="40"/>
      <c r="CJ156" s="40"/>
      <c r="CK156" s="40"/>
      <c r="CL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40"/>
      <c r="CD157" s="40"/>
      <c r="CE157" s="40"/>
      <c r="CF157" s="40"/>
      <c r="CG157" s="40"/>
      <c r="CH157" s="40"/>
      <c r="CI157" s="40"/>
      <c r="CJ157" s="40"/>
      <c r="CK157" s="40"/>
      <c r="CL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40"/>
      <c r="CD158" s="40"/>
      <c r="CE158" s="40"/>
      <c r="CF158" s="40"/>
      <c r="CG158" s="40"/>
      <c r="CH158" s="40"/>
      <c r="CI158" s="40"/>
      <c r="CJ158" s="40"/>
      <c r="CK158" s="40"/>
      <c r="CL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40"/>
      <c r="CD159" s="40"/>
      <c r="CE159" s="40"/>
      <c r="CF159" s="40"/>
      <c r="CG159" s="40"/>
      <c r="CH159" s="40"/>
      <c r="CI159" s="40"/>
      <c r="CJ159" s="40"/>
      <c r="CK159" s="40"/>
      <c r="CL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40"/>
      <c r="CD160" s="40"/>
      <c r="CE160" s="40"/>
      <c r="CF160" s="40"/>
      <c r="CG160" s="40"/>
      <c r="CH160" s="40"/>
      <c r="CI160" s="40"/>
      <c r="CJ160" s="40"/>
      <c r="CK160" s="40"/>
      <c r="CL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40"/>
      <c r="CD161" s="40"/>
      <c r="CE161" s="40"/>
      <c r="CF161" s="40"/>
      <c r="CG161" s="40"/>
      <c r="CH161" s="40"/>
      <c r="CI161" s="40"/>
      <c r="CJ161" s="40"/>
      <c r="CK161" s="40"/>
      <c r="CL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40"/>
      <c r="CD162" s="40"/>
      <c r="CE162" s="40"/>
      <c r="CF162" s="40"/>
      <c r="CG162" s="40"/>
      <c r="CH162" s="40"/>
      <c r="CI162" s="40"/>
      <c r="CJ162" s="40"/>
      <c r="CK162" s="40"/>
      <c r="CL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40"/>
      <c r="CD163" s="40"/>
      <c r="CE163" s="40"/>
      <c r="CF163" s="40"/>
      <c r="CG163" s="40"/>
      <c r="CH163" s="40"/>
      <c r="CI163" s="40"/>
      <c r="CJ163" s="40"/>
      <c r="CK163" s="40"/>
      <c r="CL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40"/>
      <c r="CD164" s="40"/>
      <c r="CE164" s="40"/>
      <c r="CF164" s="40"/>
      <c r="CG164" s="40"/>
      <c r="CH164" s="40"/>
      <c r="CI164" s="40"/>
      <c r="CJ164" s="40"/>
      <c r="CK164" s="40"/>
      <c r="CL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40"/>
      <c r="CD165" s="40"/>
      <c r="CE165" s="40"/>
      <c r="CF165" s="40"/>
      <c r="CG165" s="40"/>
      <c r="CH165" s="40"/>
      <c r="CI165" s="40"/>
      <c r="CJ165" s="40"/>
      <c r="CK165" s="40"/>
      <c r="CL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40"/>
      <c r="CD166" s="40"/>
      <c r="CE166" s="40"/>
      <c r="CF166" s="40"/>
      <c r="CG166" s="40"/>
      <c r="CH166" s="40"/>
      <c r="CI166" s="40"/>
      <c r="CJ166" s="40"/>
      <c r="CK166" s="40"/>
      <c r="CL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40"/>
      <c r="CD167" s="40"/>
      <c r="CE167" s="40"/>
      <c r="CF167" s="40"/>
      <c r="CG167" s="40"/>
      <c r="CH167" s="40"/>
      <c r="CI167" s="40"/>
      <c r="CJ167" s="40"/>
      <c r="CK167" s="40"/>
      <c r="CL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40"/>
      <c r="CD168" s="40"/>
      <c r="CE168" s="40"/>
      <c r="CF168" s="40"/>
      <c r="CG168" s="40"/>
      <c r="CH168" s="40"/>
      <c r="CI168" s="40"/>
      <c r="CJ168" s="40"/>
      <c r="CK168" s="40"/>
      <c r="CL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40"/>
      <c r="CD169" s="40"/>
      <c r="CE169" s="40"/>
      <c r="CF169" s="40"/>
      <c r="CG169" s="40"/>
      <c r="CH169" s="40"/>
      <c r="CI169" s="40"/>
      <c r="CJ169" s="40"/>
      <c r="CK169" s="40"/>
      <c r="CL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40"/>
      <c r="CD170" s="40"/>
      <c r="CE170" s="40"/>
      <c r="CF170" s="40"/>
      <c r="CG170" s="40"/>
      <c r="CH170" s="40"/>
      <c r="CI170" s="40"/>
      <c r="CJ170" s="40"/>
      <c r="CK170" s="40"/>
      <c r="CL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40"/>
      <c r="CD171" s="40"/>
      <c r="CE171" s="40"/>
      <c r="CF171" s="40"/>
      <c r="CG171" s="40"/>
      <c r="CH171" s="40"/>
      <c r="CI171" s="40"/>
      <c r="CJ171" s="40"/>
      <c r="CK171" s="40"/>
      <c r="CL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40"/>
      <c r="CD172" s="40"/>
      <c r="CE172" s="40"/>
      <c r="CF172" s="40"/>
      <c r="CG172" s="40"/>
      <c r="CH172" s="40"/>
      <c r="CI172" s="40"/>
      <c r="CJ172" s="40"/>
      <c r="CK172" s="40"/>
      <c r="CL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40"/>
      <c r="CD173" s="40"/>
      <c r="CE173" s="40"/>
      <c r="CF173" s="40"/>
      <c r="CG173" s="40"/>
      <c r="CH173" s="40"/>
      <c r="CI173" s="40"/>
      <c r="CJ173" s="40"/>
      <c r="CK173" s="40"/>
      <c r="CL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40"/>
      <c r="CD174" s="40"/>
      <c r="CE174" s="40"/>
      <c r="CF174" s="40"/>
      <c r="CG174" s="40"/>
      <c r="CH174" s="40"/>
      <c r="CI174" s="40"/>
      <c r="CJ174" s="40"/>
      <c r="CK174" s="40"/>
      <c r="CL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40"/>
      <c r="CD175" s="40"/>
      <c r="CE175" s="40"/>
      <c r="CF175" s="40"/>
      <c r="CG175" s="40"/>
      <c r="CH175" s="40"/>
      <c r="CI175" s="40"/>
      <c r="CJ175" s="40"/>
      <c r="CK175" s="40"/>
      <c r="CL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40"/>
      <c r="CD176" s="40"/>
      <c r="CE176" s="40"/>
      <c r="CF176" s="40"/>
      <c r="CG176" s="40"/>
      <c r="CH176" s="40"/>
      <c r="CI176" s="40"/>
      <c r="CJ176" s="40"/>
      <c r="CK176" s="40"/>
      <c r="CL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40"/>
      <c r="CD177" s="40"/>
      <c r="CE177" s="40"/>
      <c r="CF177" s="40"/>
      <c r="CG177" s="40"/>
      <c r="CH177" s="40"/>
      <c r="CI177" s="40"/>
      <c r="CJ177" s="40"/>
      <c r="CK177" s="40"/>
      <c r="CL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40"/>
      <c r="CD178" s="40"/>
      <c r="CE178" s="40"/>
      <c r="CF178" s="40"/>
      <c r="CG178" s="40"/>
      <c r="CH178" s="40"/>
      <c r="CI178" s="40"/>
      <c r="CJ178" s="40"/>
      <c r="CK178" s="40"/>
      <c r="CL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40"/>
      <c r="CD179" s="40"/>
      <c r="CE179" s="40"/>
      <c r="CF179" s="40"/>
      <c r="CG179" s="40"/>
      <c r="CH179" s="40"/>
      <c r="CI179" s="40"/>
      <c r="CJ179" s="40"/>
      <c r="CK179" s="40"/>
      <c r="CL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40"/>
      <c r="CD180" s="40"/>
      <c r="CE180" s="40"/>
      <c r="CF180" s="40"/>
      <c r="CG180" s="40"/>
      <c r="CH180" s="40"/>
      <c r="CI180" s="40"/>
      <c r="CJ180" s="40"/>
      <c r="CK180" s="40"/>
      <c r="CL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40"/>
      <c r="CD181" s="40"/>
      <c r="CE181" s="40"/>
      <c r="CF181" s="40"/>
      <c r="CG181" s="40"/>
      <c r="CH181" s="40"/>
      <c r="CI181" s="40"/>
      <c r="CJ181" s="40"/>
      <c r="CK181" s="40"/>
      <c r="CL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40"/>
      <c r="CD182" s="40"/>
      <c r="CE182" s="40"/>
      <c r="CF182" s="40"/>
      <c r="CG182" s="40"/>
      <c r="CH182" s="40"/>
      <c r="CI182" s="40"/>
      <c r="CJ182" s="40"/>
      <c r="CK182" s="40"/>
      <c r="CL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40"/>
      <c r="CD183" s="40"/>
      <c r="CE183" s="40"/>
      <c r="CF183" s="40"/>
      <c r="CG183" s="40"/>
      <c r="CH183" s="40"/>
      <c r="CI183" s="40"/>
      <c r="CJ183" s="40"/>
      <c r="CK183" s="40"/>
      <c r="CL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40"/>
      <c r="CD184" s="40"/>
      <c r="CE184" s="40"/>
      <c r="CF184" s="40"/>
      <c r="CG184" s="40"/>
      <c r="CH184" s="40"/>
      <c r="CI184" s="40"/>
      <c r="CJ184" s="40"/>
      <c r="CK184" s="40"/>
      <c r="CL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40"/>
      <c r="CD185" s="40"/>
      <c r="CE185" s="40"/>
      <c r="CF185" s="40"/>
      <c r="CG185" s="40"/>
      <c r="CH185" s="40"/>
      <c r="CI185" s="40"/>
      <c r="CJ185" s="40"/>
      <c r="CK185" s="40"/>
      <c r="CL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40"/>
      <c r="CD186" s="40"/>
      <c r="CE186" s="40"/>
      <c r="CF186" s="40"/>
      <c r="CG186" s="40"/>
      <c r="CH186" s="40"/>
      <c r="CI186" s="40"/>
      <c r="CJ186" s="40"/>
      <c r="CK186" s="40"/>
      <c r="CL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40"/>
      <c r="CD187" s="40"/>
      <c r="CE187" s="40"/>
      <c r="CF187" s="40"/>
      <c r="CG187" s="40"/>
      <c r="CH187" s="40"/>
      <c r="CI187" s="40"/>
      <c r="CJ187" s="40"/>
      <c r="CK187" s="40"/>
      <c r="CL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40"/>
      <c r="CD188" s="40"/>
      <c r="CE188" s="40"/>
      <c r="CF188" s="40"/>
      <c r="CG188" s="40"/>
      <c r="CH188" s="40"/>
      <c r="CI188" s="40"/>
      <c r="CJ188" s="40"/>
      <c r="CK188" s="40"/>
      <c r="CL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40"/>
      <c r="CD189" s="40"/>
      <c r="CE189" s="40"/>
      <c r="CF189" s="40"/>
      <c r="CG189" s="40"/>
      <c r="CH189" s="40"/>
      <c r="CI189" s="40"/>
      <c r="CJ189" s="40"/>
      <c r="CK189" s="40"/>
      <c r="CL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40"/>
      <c r="CD190" s="40"/>
      <c r="CE190" s="40"/>
      <c r="CF190" s="40"/>
      <c r="CG190" s="40"/>
      <c r="CH190" s="40"/>
      <c r="CI190" s="40"/>
      <c r="CJ190" s="40"/>
      <c r="CK190" s="40"/>
      <c r="CL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40"/>
      <c r="CD191" s="40"/>
      <c r="CE191" s="40"/>
      <c r="CF191" s="40"/>
      <c r="CG191" s="40"/>
      <c r="CH191" s="40"/>
      <c r="CI191" s="40"/>
      <c r="CJ191" s="40"/>
      <c r="CK191" s="40"/>
      <c r="CL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40"/>
      <c r="CD192" s="40"/>
      <c r="CE192" s="40"/>
      <c r="CF192" s="40"/>
      <c r="CG192" s="40"/>
      <c r="CH192" s="40"/>
      <c r="CI192" s="40"/>
      <c r="CJ192" s="40"/>
      <c r="CK192" s="40"/>
      <c r="CL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40"/>
      <c r="CD193" s="40"/>
      <c r="CE193" s="40"/>
      <c r="CF193" s="40"/>
      <c r="CG193" s="40"/>
      <c r="CH193" s="40"/>
      <c r="CI193" s="40"/>
      <c r="CJ193" s="40"/>
      <c r="CK193" s="40"/>
      <c r="CL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40"/>
      <c r="CD194" s="40"/>
      <c r="CE194" s="40"/>
      <c r="CF194" s="40"/>
      <c r="CG194" s="40"/>
      <c r="CH194" s="40"/>
      <c r="CI194" s="40"/>
      <c r="CJ194" s="40"/>
      <c r="CK194" s="40"/>
      <c r="CL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40"/>
      <c r="CD195" s="40"/>
      <c r="CE195" s="40"/>
      <c r="CF195" s="40"/>
      <c r="CG195" s="40"/>
      <c r="CH195" s="40"/>
      <c r="CI195" s="40"/>
      <c r="CJ195" s="40"/>
      <c r="CK195" s="40"/>
      <c r="CL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40"/>
      <c r="CD196" s="40"/>
      <c r="CE196" s="40"/>
      <c r="CF196" s="40"/>
      <c r="CG196" s="40"/>
      <c r="CH196" s="40"/>
      <c r="CI196" s="40"/>
      <c r="CJ196" s="40"/>
      <c r="CK196" s="40"/>
      <c r="CL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40"/>
      <c r="CD197" s="40"/>
      <c r="CE197" s="40"/>
      <c r="CF197" s="40"/>
      <c r="CG197" s="40"/>
      <c r="CH197" s="40"/>
      <c r="CI197" s="40"/>
      <c r="CJ197" s="40"/>
      <c r="CK197" s="40"/>
      <c r="CL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40"/>
      <c r="CD198" s="40"/>
      <c r="CE198" s="40"/>
      <c r="CF198" s="40"/>
      <c r="CG198" s="40"/>
      <c r="CH198" s="40"/>
      <c r="CI198" s="40"/>
      <c r="CJ198" s="40"/>
      <c r="CK198" s="40"/>
      <c r="CL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40"/>
      <c r="CD199" s="40"/>
      <c r="CE199" s="40"/>
      <c r="CF199" s="40"/>
      <c r="CG199" s="40"/>
      <c r="CH199" s="40"/>
      <c r="CI199" s="40"/>
      <c r="CJ199" s="40"/>
      <c r="CK199" s="40"/>
      <c r="CL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40"/>
      <c r="CD200" s="40"/>
      <c r="CE200" s="40"/>
      <c r="CF200" s="40"/>
      <c r="CG200" s="40"/>
      <c r="CH200" s="40"/>
      <c r="CI200" s="40"/>
      <c r="CJ200" s="40"/>
      <c r="CK200" s="40"/>
      <c r="CL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40"/>
      <c r="CD201" s="40"/>
      <c r="CE201" s="40"/>
      <c r="CF201" s="40"/>
      <c r="CG201" s="40"/>
      <c r="CH201" s="40"/>
      <c r="CI201" s="40"/>
      <c r="CJ201" s="40"/>
      <c r="CK201" s="40"/>
      <c r="CL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40"/>
      <c r="CD202" s="40"/>
      <c r="CE202" s="40"/>
      <c r="CF202" s="40"/>
      <c r="CG202" s="40"/>
      <c r="CH202" s="40"/>
      <c r="CI202" s="40"/>
      <c r="CJ202" s="40"/>
      <c r="CK202" s="40"/>
      <c r="CL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40"/>
      <c r="CD203" s="40"/>
      <c r="CE203" s="40"/>
      <c r="CF203" s="40"/>
      <c r="CG203" s="40"/>
      <c r="CH203" s="40"/>
      <c r="CI203" s="40"/>
      <c r="CJ203" s="40"/>
      <c r="CK203" s="40"/>
      <c r="CL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40"/>
      <c r="CD204" s="40"/>
      <c r="CE204" s="40"/>
      <c r="CF204" s="40"/>
      <c r="CG204" s="40"/>
      <c r="CH204" s="40"/>
      <c r="CI204" s="40"/>
      <c r="CJ204" s="40"/>
      <c r="CK204" s="40"/>
      <c r="CL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40"/>
      <c r="CD205" s="40"/>
      <c r="CE205" s="40"/>
      <c r="CF205" s="40"/>
      <c r="CG205" s="40"/>
      <c r="CH205" s="40"/>
      <c r="CI205" s="40"/>
      <c r="CJ205" s="40"/>
      <c r="CK205" s="40"/>
      <c r="CL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40"/>
      <c r="CD206" s="40"/>
      <c r="CE206" s="40"/>
      <c r="CF206" s="40"/>
      <c r="CG206" s="40"/>
      <c r="CH206" s="40"/>
      <c r="CI206" s="40"/>
      <c r="CJ206" s="40"/>
      <c r="CK206" s="40"/>
      <c r="CL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40"/>
      <c r="CD207" s="40"/>
      <c r="CE207" s="40"/>
      <c r="CF207" s="40"/>
      <c r="CG207" s="40"/>
      <c r="CH207" s="40"/>
      <c r="CI207" s="40"/>
      <c r="CJ207" s="40"/>
      <c r="CK207" s="40"/>
      <c r="CL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40"/>
      <c r="CD208" s="40"/>
      <c r="CE208" s="40"/>
      <c r="CF208" s="40"/>
      <c r="CG208" s="40"/>
      <c r="CH208" s="40"/>
      <c r="CI208" s="40"/>
      <c r="CJ208" s="40"/>
      <c r="CK208" s="40"/>
      <c r="CL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40"/>
      <c r="CD209" s="40"/>
      <c r="CE209" s="40"/>
      <c r="CF209" s="40"/>
      <c r="CG209" s="40"/>
      <c r="CH209" s="40"/>
      <c r="CI209" s="40"/>
      <c r="CJ209" s="40"/>
      <c r="CK209" s="40"/>
      <c r="CL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40"/>
      <c r="CD210" s="40"/>
      <c r="CE210" s="40"/>
      <c r="CF210" s="40"/>
      <c r="CG210" s="40"/>
      <c r="CH210" s="40"/>
      <c r="CI210" s="40"/>
      <c r="CJ210" s="40"/>
      <c r="CK210" s="40"/>
      <c r="CL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40"/>
      <c r="CD211" s="40"/>
      <c r="CE211" s="40"/>
      <c r="CF211" s="40"/>
      <c r="CG211" s="40"/>
      <c r="CH211" s="40"/>
      <c r="CI211" s="40"/>
      <c r="CJ211" s="40"/>
      <c r="CK211" s="40"/>
      <c r="CL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40"/>
      <c r="CD212" s="40"/>
      <c r="CE212" s="40"/>
      <c r="CF212" s="40"/>
      <c r="CG212" s="40"/>
      <c r="CH212" s="40"/>
      <c r="CI212" s="40"/>
      <c r="CJ212" s="40"/>
      <c r="CK212" s="40"/>
      <c r="CL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40"/>
      <c r="CD213" s="40"/>
      <c r="CE213" s="40"/>
      <c r="CF213" s="40"/>
      <c r="CG213" s="40"/>
      <c r="CH213" s="40"/>
      <c r="CI213" s="40"/>
      <c r="CJ213" s="40"/>
      <c r="CK213" s="40"/>
      <c r="CL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40"/>
      <c r="CD214" s="40"/>
      <c r="CE214" s="40"/>
      <c r="CF214" s="40"/>
      <c r="CG214" s="40"/>
      <c r="CH214" s="40"/>
      <c r="CI214" s="40"/>
      <c r="CJ214" s="40"/>
      <c r="CK214" s="40"/>
      <c r="CL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40"/>
      <c r="CD215" s="40"/>
      <c r="CE215" s="40"/>
      <c r="CF215" s="40"/>
      <c r="CG215" s="40"/>
      <c r="CH215" s="40"/>
      <c r="CI215" s="40"/>
      <c r="CJ215" s="40"/>
      <c r="CK215" s="40"/>
      <c r="CL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40"/>
      <c r="CD216" s="40"/>
      <c r="CE216" s="40"/>
      <c r="CF216" s="40"/>
      <c r="CG216" s="40"/>
      <c r="CH216" s="40"/>
      <c r="CI216" s="40"/>
      <c r="CJ216" s="40"/>
      <c r="CK216" s="40"/>
      <c r="CL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40"/>
      <c r="CD217" s="40"/>
      <c r="CE217" s="40"/>
      <c r="CF217" s="40"/>
      <c r="CG217" s="40"/>
      <c r="CH217" s="40"/>
      <c r="CI217" s="40"/>
      <c r="CJ217" s="40"/>
      <c r="CK217" s="40"/>
      <c r="CL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40"/>
      <c r="CD218" s="40"/>
      <c r="CE218" s="40"/>
      <c r="CF218" s="40"/>
      <c r="CG218" s="40"/>
      <c r="CH218" s="40"/>
      <c r="CI218" s="40"/>
      <c r="CJ218" s="40"/>
      <c r="CK218" s="40"/>
      <c r="CL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40"/>
      <c r="CD219" s="40"/>
      <c r="CE219" s="40"/>
      <c r="CF219" s="40"/>
      <c r="CG219" s="40"/>
      <c r="CH219" s="40"/>
      <c r="CI219" s="40"/>
      <c r="CJ219" s="40"/>
      <c r="CK219" s="40"/>
      <c r="CL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40"/>
      <c r="CD220" s="40"/>
      <c r="CE220" s="40"/>
      <c r="CF220" s="40"/>
      <c r="CG220" s="40"/>
      <c r="CH220" s="40"/>
      <c r="CI220" s="40"/>
      <c r="CJ220" s="40"/>
      <c r="CK220" s="40"/>
      <c r="CL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40"/>
      <c r="CD221" s="40"/>
      <c r="CE221" s="40"/>
      <c r="CF221" s="40"/>
      <c r="CG221" s="40"/>
      <c r="CH221" s="40"/>
      <c r="CI221" s="40"/>
      <c r="CJ221" s="40"/>
      <c r="CK221" s="40"/>
      <c r="CL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40"/>
      <c r="CD222" s="40"/>
      <c r="CE222" s="40"/>
      <c r="CF222" s="40"/>
      <c r="CG222" s="40"/>
      <c r="CH222" s="40"/>
      <c r="CI222" s="40"/>
      <c r="CJ222" s="40"/>
      <c r="CK222" s="40"/>
      <c r="CL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40"/>
      <c r="CD223" s="40"/>
      <c r="CE223" s="40"/>
      <c r="CF223" s="40"/>
      <c r="CG223" s="40"/>
      <c r="CH223" s="40"/>
      <c r="CI223" s="40"/>
      <c r="CJ223" s="40"/>
      <c r="CK223" s="40"/>
      <c r="CL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40"/>
      <c r="CD224" s="40"/>
      <c r="CE224" s="40"/>
      <c r="CF224" s="40"/>
      <c r="CG224" s="40"/>
      <c r="CH224" s="40"/>
      <c r="CI224" s="40"/>
      <c r="CJ224" s="40"/>
      <c r="CK224" s="40"/>
      <c r="CL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40"/>
      <c r="CD225" s="40"/>
      <c r="CE225" s="40"/>
      <c r="CF225" s="40"/>
      <c r="CG225" s="40"/>
      <c r="CH225" s="40"/>
      <c r="CI225" s="40"/>
      <c r="CJ225" s="40"/>
      <c r="CK225" s="40"/>
      <c r="CL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40"/>
      <c r="CD226" s="40"/>
      <c r="CE226" s="40"/>
      <c r="CF226" s="40"/>
      <c r="CG226" s="40"/>
      <c r="CH226" s="40"/>
      <c r="CI226" s="40"/>
      <c r="CJ226" s="40"/>
      <c r="CK226" s="40"/>
      <c r="CL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40"/>
      <c r="CD227" s="40"/>
      <c r="CE227" s="40"/>
      <c r="CF227" s="40"/>
      <c r="CG227" s="40"/>
      <c r="CH227" s="40"/>
      <c r="CI227" s="40"/>
      <c r="CJ227" s="40"/>
      <c r="CK227" s="40"/>
      <c r="CL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40"/>
      <c r="CD228" s="40"/>
      <c r="CE228" s="40"/>
      <c r="CF228" s="40"/>
      <c r="CG228" s="40"/>
      <c r="CH228" s="40"/>
      <c r="CI228" s="40"/>
      <c r="CJ228" s="40"/>
      <c r="CK228" s="40"/>
      <c r="CL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40"/>
      <c r="CD229" s="40"/>
      <c r="CE229" s="40"/>
      <c r="CF229" s="40"/>
      <c r="CG229" s="40"/>
      <c r="CH229" s="40"/>
      <c r="CI229" s="40"/>
      <c r="CJ229" s="40"/>
      <c r="CK229" s="40"/>
      <c r="CL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40"/>
      <c r="CD230" s="40"/>
      <c r="CE230" s="40"/>
      <c r="CF230" s="40"/>
      <c r="CG230" s="40"/>
      <c r="CH230" s="40"/>
      <c r="CI230" s="40"/>
      <c r="CJ230" s="40"/>
      <c r="CK230" s="40"/>
      <c r="CL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40"/>
      <c r="CD231" s="40"/>
      <c r="CE231" s="40"/>
      <c r="CF231" s="40"/>
      <c r="CG231" s="40"/>
      <c r="CH231" s="40"/>
      <c r="CI231" s="40"/>
      <c r="CJ231" s="40"/>
      <c r="CK231" s="40"/>
      <c r="CL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40"/>
      <c r="CD232" s="40"/>
      <c r="CE232" s="40"/>
      <c r="CF232" s="40"/>
      <c r="CG232" s="40"/>
      <c r="CH232" s="40"/>
      <c r="CI232" s="40"/>
      <c r="CJ232" s="40"/>
      <c r="CK232" s="40"/>
      <c r="CL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40"/>
      <c r="CD233" s="40"/>
      <c r="CE233" s="40"/>
      <c r="CF233" s="40"/>
      <c r="CG233" s="40"/>
      <c r="CH233" s="40"/>
      <c r="CI233" s="40"/>
      <c r="CJ233" s="40"/>
      <c r="CK233" s="40"/>
      <c r="CL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40"/>
      <c r="CD234" s="40"/>
      <c r="CE234" s="40"/>
      <c r="CF234" s="40"/>
      <c r="CG234" s="40"/>
      <c r="CH234" s="40"/>
      <c r="CI234" s="40"/>
      <c r="CJ234" s="40"/>
      <c r="CK234" s="40"/>
      <c r="CL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40"/>
      <c r="CD235" s="40"/>
      <c r="CE235" s="40"/>
      <c r="CF235" s="40"/>
      <c r="CG235" s="40"/>
      <c r="CH235" s="40"/>
      <c r="CI235" s="40"/>
      <c r="CJ235" s="40"/>
      <c r="CK235" s="40"/>
      <c r="CL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40"/>
      <c r="CD236" s="40"/>
      <c r="CE236" s="40"/>
      <c r="CF236" s="40"/>
      <c r="CG236" s="40"/>
      <c r="CH236" s="40"/>
      <c r="CI236" s="40"/>
      <c r="CJ236" s="40"/>
      <c r="CK236" s="40"/>
      <c r="CL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40"/>
      <c r="CD237" s="40"/>
      <c r="CE237" s="40"/>
      <c r="CF237" s="40"/>
      <c r="CG237" s="40"/>
      <c r="CH237" s="40"/>
      <c r="CI237" s="40"/>
      <c r="CJ237" s="40"/>
      <c r="CK237" s="40"/>
      <c r="CL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40"/>
      <c r="CD238" s="40"/>
      <c r="CE238" s="40"/>
      <c r="CF238" s="40"/>
      <c r="CG238" s="40"/>
      <c r="CH238" s="40"/>
      <c r="CI238" s="40"/>
      <c r="CJ238" s="40"/>
      <c r="CK238" s="40"/>
      <c r="CL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40"/>
      <c r="CD239" s="40"/>
      <c r="CE239" s="40"/>
      <c r="CF239" s="40"/>
      <c r="CG239" s="40"/>
      <c r="CH239" s="40"/>
      <c r="CI239" s="40"/>
      <c r="CJ239" s="40"/>
      <c r="CK239" s="40"/>
      <c r="CL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40"/>
      <c r="CD240" s="40"/>
      <c r="CE240" s="40"/>
      <c r="CF240" s="40"/>
      <c r="CG240" s="40"/>
      <c r="CH240" s="40"/>
      <c r="CI240" s="40"/>
      <c r="CJ240" s="40"/>
      <c r="CK240" s="40"/>
      <c r="CL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40"/>
      <c r="CD241" s="40"/>
      <c r="CE241" s="40"/>
      <c r="CF241" s="40"/>
      <c r="CG241" s="40"/>
      <c r="CH241" s="40"/>
      <c r="CI241" s="40"/>
      <c r="CJ241" s="40"/>
      <c r="CK241" s="40"/>
      <c r="CL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40"/>
      <c r="CD242" s="40"/>
      <c r="CE242" s="40"/>
      <c r="CF242" s="40"/>
      <c r="CG242" s="40"/>
      <c r="CH242" s="40"/>
      <c r="CI242" s="40"/>
      <c r="CJ242" s="40"/>
      <c r="CK242" s="40"/>
      <c r="CL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40"/>
      <c r="CD243" s="40"/>
      <c r="CE243" s="40"/>
      <c r="CF243" s="40"/>
      <c r="CG243" s="40"/>
      <c r="CH243" s="40"/>
      <c r="CI243" s="40"/>
      <c r="CJ243" s="40"/>
      <c r="CK243" s="40"/>
      <c r="CL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40"/>
      <c r="CD244" s="40"/>
      <c r="CE244" s="40"/>
      <c r="CF244" s="40"/>
      <c r="CG244" s="40"/>
      <c r="CH244" s="40"/>
      <c r="CI244" s="40"/>
      <c r="CJ244" s="40"/>
      <c r="CK244" s="40"/>
      <c r="CL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40"/>
      <c r="CD245" s="40"/>
      <c r="CE245" s="40"/>
      <c r="CF245" s="40"/>
      <c r="CG245" s="40"/>
      <c r="CH245" s="40"/>
      <c r="CI245" s="40"/>
      <c r="CJ245" s="40"/>
      <c r="CK245" s="40"/>
      <c r="CL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40"/>
      <c r="CD246" s="40"/>
      <c r="CE246" s="40"/>
      <c r="CF246" s="40"/>
      <c r="CG246" s="40"/>
      <c r="CH246" s="40"/>
      <c r="CI246" s="40"/>
      <c r="CJ246" s="40"/>
      <c r="CK246" s="40"/>
      <c r="CL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40"/>
      <c r="CD247" s="40"/>
      <c r="CE247" s="40"/>
      <c r="CF247" s="40"/>
      <c r="CG247" s="40"/>
      <c r="CH247" s="40"/>
      <c r="CI247" s="40"/>
      <c r="CJ247" s="40"/>
      <c r="CK247" s="40"/>
      <c r="CL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40"/>
      <c r="CD248" s="40"/>
      <c r="CE248" s="40"/>
      <c r="CF248" s="40"/>
      <c r="CG248" s="40"/>
      <c r="CH248" s="40"/>
      <c r="CI248" s="40"/>
      <c r="CJ248" s="40"/>
      <c r="CK248" s="40"/>
      <c r="CL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40"/>
      <c r="CD249" s="40"/>
      <c r="CE249" s="40"/>
      <c r="CF249" s="40"/>
      <c r="CG249" s="40"/>
      <c r="CH249" s="40"/>
      <c r="CI249" s="40"/>
      <c r="CJ249" s="40"/>
      <c r="CK249" s="40"/>
      <c r="CL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40"/>
      <c r="CD250" s="40"/>
      <c r="CE250" s="40"/>
      <c r="CF250" s="40"/>
      <c r="CG250" s="40"/>
      <c r="CH250" s="40"/>
      <c r="CI250" s="40"/>
      <c r="CJ250" s="40"/>
      <c r="CK250" s="40"/>
      <c r="CL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40"/>
      <c r="CD251" s="40"/>
      <c r="CE251" s="40"/>
      <c r="CF251" s="40"/>
      <c r="CG251" s="40"/>
      <c r="CH251" s="40"/>
      <c r="CI251" s="40"/>
      <c r="CJ251" s="40"/>
      <c r="CK251" s="40"/>
      <c r="CL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40"/>
      <c r="CD252" s="40"/>
      <c r="CE252" s="40"/>
      <c r="CF252" s="40"/>
      <c r="CG252" s="40"/>
      <c r="CH252" s="40"/>
      <c r="CI252" s="40"/>
      <c r="CJ252" s="40"/>
      <c r="CK252" s="40"/>
      <c r="CL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40"/>
      <c r="CD253" s="40"/>
      <c r="CE253" s="40"/>
      <c r="CF253" s="40"/>
      <c r="CG253" s="40"/>
      <c r="CH253" s="40"/>
      <c r="CI253" s="40"/>
      <c r="CJ253" s="40"/>
      <c r="CK253" s="40"/>
      <c r="CL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40"/>
      <c r="CD254" s="40"/>
      <c r="CE254" s="40"/>
      <c r="CF254" s="40"/>
      <c r="CG254" s="40"/>
      <c r="CH254" s="40"/>
      <c r="CI254" s="40"/>
      <c r="CJ254" s="40"/>
      <c r="CK254" s="40"/>
      <c r="CL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40"/>
      <c r="CD255" s="40"/>
      <c r="CE255" s="40"/>
      <c r="CF255" s="40"/>
      <c r="CG255" s="40"/>
      <c r="CH255" s="40"/>
      <c r="CI255" s="40"/>
      <c r="CJ255" s="40"/>
      <c r="CK255" s="40"/>
      <c r="CL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40"/>
      <c r="CD256" s="40"/>
      <c r="CE256" s="40"/>
      <c r="CF256" s="40"/>
      <c r="CG256" s="40"/>
      <c r="CH256" s="40"/>
      <c r="CI256" s="40"/>
      <c r="CJ256" s="40"/>
      <c r="CK256" s="40"/>
      <c r="CL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40"/>
      <c r="CD257" s="40"/>
      <c r="CE257" s="40"/>
      <c r="CF257" s="40"/>
      <c r="CG257" s="40"/>
      <c r="CH257" s="40"/>
      <c r="CI257" s="40"/>
      <c r="CJ257" s="40"/>
      <c r="CK257" s="40"/>
      <c r="CL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40"/>
      <c r="CD258" s="40"/>
      <c r="CE258" s="40"/>
      <c r="CF258" s="40"/>
      <c r="CG258" s="40"/>
      <c r="CH258" s="40"/>
      <c r="CI258" s="40"/>
      <c r="CJ258" s="40"/>
      <c r="CK258" s="40"/>
      <c r="CL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40"/>
      <c r="CD259" s="40"/>
      <c r="CE259" s="40"/>
      <c r="CF259" s="40"/>
      <c r="CG259" s="40"/>
      <c r="CH259" s="40"/>
      <c r="CI259" s="40"/>
      <c r="CJ259" s="40"/>
      <c r="CK259" s="40"/>
      <c r="CL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40"/>
      <c r="CD260" s="40"/>
      <c r="CE260" s="40"/>
      <c r="CF260" s="40"/>
      <c r="CG260" s="40"/>
      <c r="CH260" s="40"/>
      <c r="CI260" s="40"/>
      <c r="CJ260" s="40"/>
      <c r="CK260" s="40"/>
      <c r="CL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40"/>
      <c r="CD261" s="40"/>
      <c r="CE261" s="40"/>
      <c r="CF261" s="40"/>
      <c r="CG261" s="40"/>
      <c r="CH261" s="40"/>
      <c r="CI261" s="40"/>
      <c r="CJ261" s="40"/>
      <c r="CK261" s="40"/>
      <c r="CL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40"/>
      <c r="CD262" s="40"/>
      <c r="CE262" s="40"/>
      <c r="CF262" s="40"/>
      <c r="CG262" s="40"/>
      <c r="CH262" s="40"/>
      <c r="CI262" s="40"/>
      <c r="CJ262" s="40"/>
      <c r="CK262" s="40"/>
      <c r="CL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40"/>
      <c r="CD263" s="40"/>
      <c r="CE263" s="40"/>
      <c r="CF263" s="40"/>
      <c r="CG263" s="40"/>
      <c r="CH263" s="40"/>
      <c r="CI263" s="40"/>
      <c r="CJ263" s="40"/>
      <c r="CK263" s="40"/>
      <c r="CL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40"/>
      <c r="CD264" s="40"/>
      <c r="CE264" s="40"/>
      <c r="CF264" s="40"/>
      <c r="CG264" s="40"/>
      <c r="CH264" s="40"/>
      <c r="CI264" s="40"/>
      <c r="CJ264" s="40"/>
      <c r="CK264" s="40"/>
      <c r="CL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40"/>
      <c r="CD265" s="40"/>
      <c r="CE265" s="40"/>
      <c r="CF265" s="40"/>
      <c r="CG265" s="40"/>
      <c r="CH265" s="40"/>
      <c r="CI265" s="40"/>
      <c r="CJ265" s="40"/>
      <c r="CK265" s="40"/>
      <c r="CL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40"/>
      <c r="CD266" s="40"/>
      <c r="CE266" s="40"/>
      <c r="CF266" s="40"/>
      <c r="CG266" s="40"/>
      <c r="CH266" s="40"/>
      <c r="CI266" s="40"/>
      <c r="CJ266" s="40"/>
      <c r="CK266" s="40"/>
      <c r="CL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40"/>
      <c r="CD267" s="40"/>
      <c r="CE267" s="40"/>
      <c r="CF267" s="40"/>
      <c r="CG267" s="40"/>
      <c r="CH267" s="40"/>
      <c r="CI267" s="40"/>
      <c r="CJ267" s="40"/>
      <c r="CK267" s="40"/>
      <c r="CL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40"/>
      <c r="CD268" s="40"/>
      <c r="CE268" s="40"/>
      <c r="CF268" s="40"/>
      <c r="CG268" s="40"/>
      <c r="CH268" s="40"/>
      <c r="CI268" s="40"/>
      <c r="CJ268" s="40"/>
      <c r="CK268" s="40"/>
      <c r="CL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40"/>
      <c r="CD269" s="40"/>
      <c r="CE269" s="40"/>
      <c r="CF269" s="40"/>
      <c r="CG269" s="40"/>
      <c r="CH269" s="40"/>
      <c r="CI269" s="40"/>
      <c r="CJ269" s="40"/>
      <c r="CK269" s="40"/>
      <c r="CL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40"/>
      <c r="CD270" s="40"/>
      <c r="CE270" s="40"/>
      <c r="CF270" s="40"/>
      <c r="CG270" s="40"/>
      <c r="CH270" s="40"/>
      <c r="CI270" s="40"/>
      <c r="CJ270" s="40"/>
      <c r="CK270" s="40"/>
      <c r="CL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40"/>
      <c r="CD271" s="40"/>
      <c r="CE271" s="40"/>
      <c r="CF271" s="40"/>
      <c r="CG271" s="40"/>
      <c r="CH271" s="40"/>
      <c r="CI271" s="40"/>
      <c r="CJ271" s="40"/>
      <c r="CK271" s="40"/>
      <c r="CL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40"/>
      <c r="CD272" s="40"/>
      <c r="CE272" s="40"/>
      <c r="CF272" s="40"/>
      <c r="CG272" s="40"/>
      <c r="CH272" s="40"/>
      <c r="CI272" s="40"/>
      <c r="CJ272" s="40"/>
      <c r="CK272" s="40"/>
      <c r="CL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40"/>
      <c r="CD273" s="40"/>
      <c r="CE273" s="40"/>
      <c r="CF273" s="40"/>
      <c r="CG273" s="40"/>
      <c r="CH273" s="40"/>
      <c r="CI273" s="40"/>
      <c r="CJ273" s="40"/>
      <c r="CK273" s="40"/>
      <c r="CL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40"/>
      <c r="CD274" s="40"/>
      <c r="CE274" s="40"/>
      <c r="CF274" s="40"/>
      <c r="CG274" s="40"/>
      <c r="CH274" s="40"/>
      <c r="CI274" s="40"/>
      <c r="CJ274" s="40"/>
      <c r="CK274" s="40"/>
      <c r="CL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40"/>
      <c r="CD275" s="40"/>
      <c r="CE275" s="40"/>
      <c r="CF275" s="40"/>
      <c r="CG275" s="40"/>
      <c r="CH275" s="40"/>
      <c r="CI275" s="40"/>
      <c r="CJ275" s="40"/>
      <c r="CK275" s="40"/>
      <c r="CL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40"/>
      <c r="CD276" s="40"/>
      <c r="CE276" s="40"/>
      <c r="CF276" s="40"/>
      <c r="CG276" s="40"/>
      <c r="CH276" s="40"/>
      <c r="CI276" s="40"/>
      <c r="CJ276" s="40"/>
      <c r="CK276" s="40"/>
      <c r="CL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40"/>
      <c r="CD277" s="40"/>
      <c r="CE277" s="40"/>
      <c r="CF277" s="40"/>
      <c r="CG277" s="40"/>
      <c r="CH277" s="40"/>
      <c r="CI277" s="40"/>
      <c r="CJ277" s="40"/>
      <c r="CK277" s="40"/>
      <c r="CL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40"/>
      <c r="CD278" s="40"/>
      <c r="CE278" s="40"/>
      <c r="CF278" s="40"/>
      <c r="CG278" s="40"/>
      <c r="CH278" s="40"/>
      <c r="CI278" s="40"/>
      <c r="CJ278" s="40"/>
      <c r="CK278" s="40"/>
      <c r="CL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40"/>
      <c r="CD279" s="40"/>
      <c r="CE279" s="40"/>
      <c r="CF279" s="40"/>
      <c r="CG279" s="40"/>
      <c r="CH279" s="40"/>
      <c r="CI279" s="40"/>
      <c r="CJ279" s="40"/>
      <c r="CK279" s="40"/>
      <c r="CL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40"/>
      <c r="CD280" s="40"/>
      <c r="CE280" s="40"/>
      <c r="CF280" s="40"/>
      <c r="CG280" s="40"/>
      <c r="CH280" s="40"/>
      <c r="CI280" s="40"/>
      <c r="CJ280" s="40"/>
      <c r="CK280" s="40"/>
      <c r="CL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40"/>
      <c r="CD281" s="40"/>
      <c r="CE281" s="40"/>
      <c r="CF281" s="40"/>
      <c r="CG281" s="40"/>
      <c r="CH281" s="40"/>
      <c r="CI281" s="40"/>
      <c r="CJ281" s="40"/>
      <c r="CK281" s="40"/>
      <c r="CL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40"/>
      <c r="CD282" s="40"/>
      <c r="CE282" s="40"/>
      <c r="CF282" s="40"/>
      <c r="CG282" s="40"/>
      <c r="CH282" s="40"/>
      <c r="CI282" s="40"/>
      <c r="CJ282" s="40"/>
      <c r="CK282" s="40"/>
      <c r="CL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40"/>
      <c r="CD283" s="40"/>
      <c r="CE283" s="40"/>
      <c r="CF283" s="40"/>
      <c r="CG283" s="40"/>
      <c r="CH283" s="40"/>
      <c r="CI283" s="40"/>
      <c r="CJ283" s="40"/>
      <c r="CK283" s="40"/>
      <c r="CL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40"/>
      <c r="CD284" s="40"/>
      <c r="CE284" s="40"/>
      <c r="CF284" s="40"/>
      <c r="CG284" s="40"/>
      <c r="CH284" s="40"/>
      <c r="CI284" s="40"/>
      <c r="CJ284" s="40"/>
      <c r="CK284" s="40"/>
      <c r="CL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40"/>
      <c r="CD285" s="40"/>
      <c r="CE285" s="40"/>
      <c r="CF285" s="40"/>
      <c r="CG285" s="40"/>
      <c r="CH285" s="40"/>
      <c r="CI285" s="40"/>
      <c r="CJ285" s="40"/>
      <c r="CK285" s="40"/>
      <c r="CL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40"/>
      <c r="CD286" s="40"/>
      <c r="CE286" s="40"/>
      <c r="CF286" s="40"/>
      <c r="CG286" s="40"/>
      <c r="CH286" s="40"/>
      <c r="CI286" s="40"/>
      <c r="CJ286" s="40"/>
      <c r="CK286" s="40"/>
      <c r="CL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40"/>
      <c r="CD287" s="40"/>
      <c r="CE287" s="40"/>
      <c r="CF287" s="40"/>
      <c r="CG287" s="40"/>
      <c r="CH287" s="40"/>
      <c r="CI287" s="40"/>
      <c r="CJ287" s="40"/>
      <c r="CK287" s="40"/>
      <c r="CL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40"/>
      <c r="CD288" s="40"/>
      <c r="CE288" s="40"/>
      <c r="CF288" s="40"/>
      <c r="CG288" s="40"/>
      <c r="CH288" s="40"/>
      <c r="CI288" s="40"/>
      <c r="CJ288" s="40"/>
      <c r="CK288" s="40"/>
      <c r="CL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40"/>
      <c r="CD289" s="40"/>
      <c r="CE289" s="40"/>
      <c r="CF289" s="40"/>
      <c r="CG289" s="40"/>
      <c r="CH289" s="40"/>
      <c r="CI289" s="40"/>
      <c r="CJ289" s="40"/>
      <c r="CK289" s="40"/>
      <c r="CL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40"/>
      <c r="CD290" s="40"/>
      <c r="CE290" s="40"/>
      <c r="CF290" s="40"/>
      <c r="CG290" s="40"/>
      <c r="CH290" s="40"/>
      <c r="CI290" s="40"/>
      <c r="CJ290" s="40"/>
      <c r="CK290" s="40"/>
      <c r="CL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40"/>
      <c r="CD291" s="40"/>
      <c r="CE291" s="40"/>
      <c r="CF291" s="40"/>
      <c r="CG291" s="40"/>
      <c r="CH291" s="40"/>
      <c r="CI291" s="40"/>
      <c r="CJ291" s="40"/>
      <c r="CK291" s="40"/>
      <c r="CL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40"/>
      <c r="CD292" s="40"/>
      <c r="CE292" s="40"/>
      <c r="CF292" s="40"/>
      <c r="CG292" s="40"/>
      <c r="CH292" s="40"/>
      <c r="CI292" s="40"/>
      <c r="CJ292" s="40"/>
      <c r="CK292" s="40"/>
      <c r="CL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40"/>
      <c r="CD293" s="40"/>
      <c r="CE293" s="40"/>
      <c r="CF293" s="40"/>
      <c r="CG293" s="40"/>
      <c r="CH293" s="40"/>
      <c r="CI293" s="40"/>
      <c r="CJ293" s="40"/>
      <c r="CK293" s="40"/>
      <c r="CL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40"/>
      <c r="CD294" s="40"/>
      <c r="CE294" s="40"/>
      <c r="CF294" s="40"/>
      <c r="CG294" s="40"/>
      <c r="CH294" s="40"/>
      <c r="CI294" s="40"/>
      <c r="CJ294" s="40"/>
      <c r="CK294" s="40"/>
      <c r="CL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40"/>
      <c r="CD295" s="40"/>
      <c r="CE295" s="40"/>
      <c r="CF295" s="40"/>
      <c r="CG295" s="40"/>
      <c r="CH295" s="40"/>
      <c r="CI295" s="40"/>
      <c r="CJ295" s="40"/>
      <c r="CK295" s="40"/>
      <c r="CL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40"/>
      <c r="CD296" s="40"/>
      <c r="CE296" s="40"/>
      <c r="CF296" s="40"/>
      <c r="CG296" s="40"/>
      <c r="CH296" s="40"/>
      <c r="CI296" s="40"/>
      <c r="CJ296" s="40"/>
      <c r="CK296" s="40"/>
      <c r="CL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40"/>
      <c r="CD297" s="40"/>
      <c r="CE297" s="40"/>
      <c r="CF297" s="40"/>
      <c r="CG297" s="40"/>
      <c r="CH297" s="40"/>
      <c r="CI297" s="40"/>
      <c r="CJ297" s="40"/>
      <c r="CK297" s="40"/>
      <c r="CL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40"/>
      <c r="CD298" s="40"/>
      <c r="CE298" s="40"/>
      <c r="CF298" s="40"/>
      <c r="CG298" s="40"/>
      <c r="CH298" s="40"/>
      <c r="CI298" s="40"/>
      <c r="CJ298" s="40"/>
      <c r="CK298" s="40"/>
      <c r="CL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40"/>
      <c r="CD299" s="40"/>
      <c r="CE299" s="40"/>
      <c r="CF299" s="40"/>
      <c r="CG299" s="40"/>
      <c r="CH299" s="40"/>
      <c r="CI299" s="40"/>
      <c r="CJ299" s="40"/>
      <c r="CK299" s="40"/>
      <c r="CL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40"/>
      <c r="CD300" s="40"/>
      <c r="CE300" s="40"/>
      <c r="CF300" s="40"/>
      <c r="CG300" s="40"/>
      <c r="CH300" s="40"/>
      <c r="CI300" s="40"/>
      <c r="CJ300" s="40"/>
      <c r="CK300" s="40"/>
      <c r="CL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40"/>
      <c r="CD301" s="40"/>
      <c r="CE301" s="40"/>
      <c r="CF301" s="40"/>
      <c r="CG301" s="40"/>
      <c r="CH301" s="40"/>
      <c r="CI301" s="40"/>
      <c r="CJ301" s="40"/>
      <c r="CK301" s="40"/>
      <c r="CL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40"/>
      <c r="CD302" s="40"/>
      <c r="CE302" s="40"/>
      <c r="CF302" s="40"/>
      <c r="CG302" s="40"/>
      <c r="CH302" s="40"/>
      <c r="CI302" s="40"/>
      <c r="CJ302" s="40"/>
      <c r="CK302" s="40"/>
      <c r="CL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40"/>
      <c r="CD303" s="40"/>
      <c r="CE303" s="40"/>
      <c r="CF303" s="40"/>
      <c r="CG303" s="40"/>
      <c r="CH303" s="40"/>
      <c r="CI303" s="40"/>
      <c r="CJ303" s="40"/>
      <c r="CK303" s="40"/>
      <c r="CL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40"/>
      <c r="CD304" s="40"/>
      <c r="CE304" s="40"/>
      <c r="CF304" s="40"/>
      <c r="CG304" s="40"/>
      <c r="CH304" s="40"/>
      <c r="CI304" s="40"/>
      <c r="CJ304" s="40"/>
      <c r="CK304" s="40"/>
      <c r="CL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40"/>
      <c r="CD305" s="40"/>
      <c r="CE305" s="40"/>
      <c r="CF305" s="40"/>
      <c r="CG305" s="40"/>
      <c r="CH305" s="40"/>
      <c r="CI305" s="40"/>
      <c r="CJ305" s="40"/>
      <c r="CK305" s="40"/>
      <c r="CL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40"/>
      <c r="CD306" s="40"/>
      <c r="CE306" s="40"/>
      <c r="CF306" s="40"/>
      <c r="CG306" s="40"/>
      <c r="CH306" s="40"/>
      <c r="CI306" s="40"/>
      <c r="CJ306" s="40"/>
      <c r="CK306" s="40"/>
      <c r="CL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40"/>
      <c r="CD307" s="40"/>
      <c r="CE307" s="40"/>
      <c r="CF307" s="40"/>
      <c r="CG307" s="40"/>
      <c r="CH307" s="40"/>
      <c r="CI307" s="40"/>
      <c r="CJ307" s="40"/>
      <c r="CK307" s="40"/>
      <c r="CL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40"/>
      <c r="CD308" s="40"/>
      <c r="CE308" s="40"/>
      <c r="CF308" s="40"/>
      <c r="CG308" s="40"/>
      <c r="CH308" s="40"/>
      <c r="CI308" s="40"/>
      <c r="CJ308" s="40"/>
      <c r="CK308" s="40"/>
      <c r="CL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40"/>
      <c r="CD309" s="40"/>
      <c r="CE309" s="40"/>
      <c r="CF309" s="40"/>
      <c r="CG309" s="40"/>
      <c r="CH309" s="40"/>
      <c r="CI309" s="40"/>
      <c r="CJ309" s="40"/>
      <c r="CK309" s="40"/>
      <c r="CL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40"/>
      <c r="CD310" s="40"/>
      <c r="CE310" s="40"/>
      <c r="CF310" s="40"/>
      <c r="CG310" s="40"/>
      <c r="CH310" s="40"/>
      <c r="CI310" s="40"/>
      <c r="CJ310" s="40"/>
      <c r="CK310" s="40"/>
      <c r="CL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40"/>
      <c r="CD311" s="40"/>
      <c r="CE311" s="40"/>
      <c r="CF311" s="40"/>
      <c r="CG311" s="40"/>
      <c r="CH311" s="40"/>
      <c r="CI311" s="40"/>
      <c r="CJ311" s="40"/>
      <c r="CK311" s="40"/>
      <c r="CL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40"/>
      <c r="CD312" s="40"/>
      <c r="CE312" s="40"/>
      <c r="CF312" s="40"/>
      <c r="CG312" s="40"/>
      <c r="CH312" s="40"/>
      <c r="CI312" s="40"/>
      <c r="CJ312" s="40"/>
      <c r="CK312" s="40"/>
      <c r="CL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40"/>
      <c r="CD313" s="40"/>
      <c r="CE313" s="40"/>
      <c r="CF313" s="40"/>
      <c r="CG313" s="40"/>
      <c r="CH313" s="40"/>
      <c r="CI313" s="40"/>
      <c r="CJ313" s="40"/>
      <c r="CK313" s="40"/>
      <c r="CL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40"/>
      <c r="CD314" s="40"/>
      <c r="CE314" s="40"/>
      <c r="CF314" s="40"/>
      <c r="CG314" s="40"/>
      <c r="CH314" s="40"/>
      <c r="CI314" s="40"/>
      <c r="CJ314" s="40"/>
      <c r="CK314" s="40"/>
      <c r="CL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40"/>
      <c r="CD315" s="40"/>
      <c r="CE315" s="40"/>
      <c r="CF315" s="40"/>
      <c r="CG315" s="40"/>
      <c r="CH315" s="40"/>
      <c r="CI315" s="40"/>
      <c r="CJ315" s="40"/>
      <c r="CK315" s="40"/>
      <c r="CL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40"/>
      <c r="CD316" s="40"/>
      <c r="CE316" s="40"/>
      <c r="CF316" s="40"/>
      <c r="CG316" s="40"/>
      <c r="CH316" s="40"/>
      <c r="CI316" s="40"/>
      <c r="CJ316" s="40"/>
      <c r="CK316" s="40"/>
      <c r="CL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40"/>
      <c r="CD317" s="40"/>
      <c r="CE317" s="40"/>
      <c r="CF317" s="40"/>
      <c r="CG317" s="40"/>
      <c r="CH317" s="40"/>
      <c r="CI317" s="40"/>
      <c r="CJ317" s="40"/>
      <c r="CK317" s="40"/>
      <c r="CL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40"/>
      <c r="CD318" s="40"/>
      <c r="CE318" s="40"/>
      <c r="CF318" s="40"/>
      <c r="CG318" s="40"/>
      <c r="CH318" s="40"/>
      <c r="CI318" s="40"/>
      <c r="CJ318" s="40"/>
      <c r="CK318" s="40"/>
      <c r="CL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40"/>
      <c r="CD319" s="40"/>
      <c r="CE319" s="40"/>
      <c r="CF319" s="40"/>
      <c r="CG319" s="40"/>
      <c r="CH319" s="40"/>
      <c r="CI319" s="40"/>
      <c r="CJ319" s="40"/>
      <c r="CK319" s="40"/>
      <c r="CL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40"/>
      <c r="CD320" s="40"/>
      <c r="CE320" s="40"/>
      <c r="CF320" s="40"/>
      <c r="CG320" s="40"/>
      <c r="CH320" s="40"/>
      <c r="CI320" s="40"/>
      <c r="CJ320" s="40"/>
      <c r="CK320" s="40"/>
      <c r="CL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40"/>
      <c r="CD321" s="40"/>
      <c r="CE321" s="40"/>
      <c r="CF321" s="40"/>
      <c r="CG321" s="40"/>
      <c r="CH321" s="40"/>
      <c r="CI321" s="40"/>
      <c r="CJ321" s="40"/>
      <c r="CK321" s="40"/>
      <c r="CL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40"/>
      <c r="CD322" s="40"/>
      <c r="CE322" s="40"/>
      <c r="CF322" s="40"/>
      <c r="CG322" s="40"/>
      <c r="CH322" s="40"/>
      <c r="CI322" s="40"/>
      <c r="CJ322" s="40"/>
      <c r="CK322" s="40"/>
      <c r="CL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40"/>
      <c r="CD323" s="40"/>
      <c r="CE323" s="40"/>
      <c r="CF323" s="40"/>
      <c r="CG323" s="40"/>
      <c r="CH323" s="40"/>
      <c r="CI323" s="40"/>
      <c r="CJ323" s="40"/>
      <c r="CK323" s="40"/>
      <c r="CL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40"/>
      <c r="CD324" s="40"/>
      <c r="CE324" s="40"/>
      <c r="CF324" s="40"/>
      <c r="CG324" s="40"/>
      <c r="CH324" s="40"/>
      <c r="CI324" s="40"/>
      <c r="CJ324" s="40"/>
      <c r="CK324" s="40"/>
      <c r="CL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40"/>
      <c r="CD325" s="40"/>
      <c r="CE325" s="40"/>
      <c r="CF325" s="40"/>
      <c r="CG325" s="40"/>
      <c r="CH325" s="40"/>
      <c r="CI325" s="40"/>
      <c r="CJ325" s="40"/>
      <c r="CK325" s="40"/>
      <c r="CL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40"/>
      <c r="CD326" s="40"/>
      <c r="CE326" s="40"/>
      <c r="CF326" s="40"/>
      <c r="CG326" s="40"/>
      <c r="CH326" s="40"/>
      <c r="CI326" s="40"/>
      <c r="CJ326" s="40"/>
      <c r="CK326" s="40"/>
      <c r="CL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40"/>
      <c r="CD327" s="40"/>
      <c r="CE327" s="40"/>
      <c r="CF327" s="40"/>
      <c r="CG327" s="40"/>
      <c r="CH327" s="40"/>
      <c r="CI327" s="40"/>
      <c r="CJ327" s="40"/>
      <c r="CK327" s="40"/>
      <c r="CL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40"/>
      <c r="CD328" s="40"/>
      <c r="CE328" s="40"/>
      <c r="CF328" s="40"/>
      <c r="CG328" s="40"/>
      <c r="CH328" s="40"/>
      <c r="CI328" s="40"/>
      <c r="CJ328" s="40"/>
      <c r="CK328" s="40"/>
      <c r="CL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40"/>
      <c r="CD329" s="40"/>
      <c r="CE329" s="40"/>
      <c r="CF329" s="40"/>
      <c r="CG329" s="40"/>
      <c r="CH329" s="40"/>
      <c r="CI329" s="40"/>
      <c r="CJ329" s="40"/>
      <c r="CK329" s="40"/>
      <c r="CL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40"/>
      <c r="CD330" s="40"/>
      <c r="CE330" s="40"/>
      <c r="CF330" s="40"/>
      <c r="CG330" s="40"/>
      <c r="CH330" s="40"/>
      <c r="CI330" s="40"/>
      <c r="CJ330" s="40"/>
      <c r="CK330" s="40"/>
      <c r="CL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40"/>
      <c r="CD331" s="40"/>
      <c r="CE331" s="40"/>
      <c r="CF331" s="40"/>
      <c r="CG331" s="40"/>
      <c r="CH331" s="40"/>
      <c r="CI331" s="40"/>
      <c r="CJ331" s="40"/>
      <c r="CK331" s="40"/>
      <c r="CL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40"/>
      <c r="CD332" s="40"/>
      <c r="CE332" s="40"/>
      <c r="CF332" s="40"/>
      <c r="CG332" s="40"/>
      <c r="CH332" s="40"/>
      <c r="CI332" s="40"/>
      <c r="CJ332" s="40"/>
      <c r="CK332" s="40"/>
      <c r="CL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40"/>
      <c r="CD333" s="40"/>
      <c r="CE333" s="40"/>
      <c r="CF333" s="40"/>
      <c r="CG333" s="40"/>
      <c r="CH333" s="40"/>
      <c r="CI333" s="40"/>
      <c r="CJ333" s="40"/>
      <c r="CK333" s="40"/>
      <c r="CL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40"/>
      <c r="CD334" s="40"/>
      <c r="CE334" s="40"/>
      <c r="CF334" s="40"/>
      <c r="CG334" s="40"/>
      <c r="CH334" s="40"/>
      <c r="CI334" s="40"/>
      <c r="CJ334" s="40"/>
      <c r="CK334" s="40"/>
      <c r="CL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40"/>
      <c r="CD335" s="40"/>
      <c r="CE335" s="40"/>
      <c r="CF335" s="40"/>
      <c r="CG335" s="40"/>
      <c r="CH335" s="40"/>
      <c r="CI335" s="40"/>
      <c r="CJ335" s="40"/>
      <c r="CK335" s="40"/>
      <c r="CL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40"/>
      <c r="CD336" s="40"/>
      <c r="CE336" s="40"/>
      <c r="CF336" s="40"/>
      <c r="CG336" s="40"/>
      <c r="CH336" s="40"/>
      <c r="CI336" s="40"/>
      <c r="CJ336" s="40"/>
      <c r="CK336" s="40"/>
      <c r="CL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40"/>
      <c r="CD337" s="40"/>
      <c r="CE337" s="40"/>
      <c r="CF337" s="40"/>
      <c r="CG337" s="40"/>
      <c r="CH337" s="40"/>
      <c r="CI337" s="40"/>
      <c r="CJ337" s="40"/>
      <c r="CK337" s="40"/>
      <c r="CL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40"/>
      <c r="CD338" s="40"/>
      <c r="CE338" s="40"/>
      <c r="CF338" s="40"/>
      <c r="CG338" s="40"/>
      <c r="CH338" s="40"/>
      <c r="CI338" s="40"/>
      <c r="CJ338" s="40"/>
      <c r="CK338" s="40"/>
      <c r="CL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40"/>
      <c r="CD339" s="40"/>
      <c r="CE339" s="40"/>
      <c r="CF339" s="40"/>
      <c r="CG339" s="40"/>
      <c r="CH339" s="40"/>
      <c r="CI339" s="40"/>
      <c r="CJ339" s="40"/>
      <c r="CK339" s="40"/>
      <c r="CL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40"/>
      <c r="CD340" s="40"/>
      <c r="CE340" s="40"/>
      <c r="CF340" s="40"/>
      <c r="CG340" s="40"/>
      <c r="CH340" s="40"/>
      <c r="CI340" s="40"/>
      <c r="CJ340" s="40"/>
      <c r="CK340" s="40"/>
      <c r="CL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40"/>
      <c r="CD341" s="40"/>
      <c r="CE341" s="40"/>
      <c r="CF341" s="40"/>
      <c r="CG341" s="40"/>
      <c r="CH341" s="40"/>
      <c r="CI341" s="40"/>
      <c r="CJ341" s="40"/>
      <c r="CK341" s="40"/>
      <c r="CL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40"/>
      <c r="CD342" s="40"/>
      <c r="CE342" s="40"/>
      <c r="CF342" s="40"/>
      <c r="CG342" s="40"/>
      <c r="CH342" s="40"/>
      <c r="CI342" s="40"/>
      <c r="CJ342" s="40"/>
      <c r="CK342" s="40"/>
      <c r="CL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40"/>
      <c r="CD343" s="40"/>
      <c r="CE343" s="40"/>
      <c r="CF343" s="40"/>
      <c r="CG343" s="40"/>
      <c r="CH343" s="40"/>
      <c r="CI343" s="40"/>
      <c r="CJ343" s="40"/>
      <c r="CK343" s="40"/>
      <c r="CL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40"/>
      <c r="CD344" s="40"/>
      <c r="CE344" s="40"/>
      <c r="CF344" s="40"/>
      <c r="CG344" s="40"/>
      <c r="CH344" s="40"/>
      <c r="CI344" s="40"/>
      <c r="CJ344" s="40"/>
      <c r="CK344" s="40"/>
      <c r="CL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40"/>
      <c r="CD345" s="40"/>
      <c r="CE345" s="40"/>
      <c r="CF345" s="40"/>
      <c r="CG345" s="40"/>
      <c r="CH345" s="40"/>
      <c r="CI345" s="40"/>
      <c r="CJ345" s="40"/>
      <c r="CK345" s="40"/>
      <c r="CL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40"/>
      <c r="CD346" s="40"/>
      <c r="CE346" s="40"/>
      <c r="CF346" s="40"/>
      <c r="CG346" s="40"/>
      <c r="CH346" s="40"/>
      <c r="CI346" s="40"/>
      <c r="CJ346" s="40"/>
      <c r="CK346" s="40"/>
      <c r="CL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40"/>
      <c r="CD347" s="40"/>
      <c r="CE347" s="40"/>
      <c r="CF347" s="40"/>
      <c r="CG347" s="40"/>
      <c r="CH347" s="40"/>
      <c r="CI347" s="40"/>
      <c r="CJ347" s="40"/>
      <c r="CK347" s="40"/>
      <c r="CL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40"/>
      <c r="CD348" s="40"/>
      <c r="CE348" s="40"/>
      <c r="CF348" s="40"/>
      <c r="CG348" s="40"/>
      <c r="CH348" s="40"/>
      <c r="CI348" s="40"/>
      <c r="CJ348" s="40"/>
      <c r="CK348" s="40"/>
      <c r="CL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40"/>
      <c r="CD349" s="40"/>
      <c r="CE349" s="40"/>
      <c r="CF349" s="40"/>
      <c r="CG349" s="40"/>
      <c r="CH349" s="40"/>
      <c r="CI349" s="40"/>
      <c r="CJ349" s="40"/>
      <c r="CK349" s="40"/>
      <c r="CL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40"/>
      <c r="CD350" s="40"/>
      <c r="CE350" s="40"/>
      <c r="CF350" s="40"/>
      <c r="CG350" s="40"/>
      <c r="CH350" s="40"/>
      <c r="CI350" s="40"/>
      <c r="CJ350" s="40"/>
      <c r="CK350" s="40"/>
      <c r="CL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40"/>
      <c r="CD351" s="40"/>
      <c r="CE351" s="40"/>
      <c r="CF351" s="40"/>
      <c r="CG351" s="40"/>
      <c r="CH351" s="40"/>
      <c r="CI351" s="40"/>
      <c r="CJ351" s="40"/>
      <c r="CK351" s="40"/>
      <c r="CL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40"/>
      <c r="CD352" s="40"/>
      <c r="CE352" s="40"/>
      <c r="CF352" s="40"/>
      <c r="CG352" s="40"/>
      <c r="CH352" s="40"/>
      <c r="CI352" s="40"/>
      <c r="CJ352" s="40"/>
      <c r="CK352" s="40"/>
      <c r="CL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40"/>
      <c r="CD353" s="40"/>
      <c r="CE353" s="40"/>
      <c r="CF353" s="40"/>
      <c r="CG353" s="40"/>
      <c r="CH353" s="40"/>
      <c r="CI353" s="40"/>
      <c r="CJ353" s="40"/>
      <c r="CK353" s="40"/>
      <c r="CL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40"/>
      <c r="CD354" s="40"/>
      <c r="CE354" s="40"/>
      <c r="CF354" s="40"/>
      <c r="CG354" s="40"/>
      <c r="CH354" s="40"/>
      <c r="CI354" s="40"/>
      <c r="CJ354" s="40"/>
      <c r="CK354" s="40"/>
      <c r="CL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40"/>
      <c r="CD355" s="40"/>
      <c r="CE355" s="40"/>
      <c r="CF355" s="40"/>
      <c r="CG355" s="40"/>
      <c r="CH355" s="40"/>
      <c r="CI355" s="40"/>
      <c r="CJ355" s="40"/>
      <c r="CK355" s="40"/>
      <c r="CL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40"/>
      <c r="CD356" s="40"/>
      <c r="CE356" s="40"/>
      <c r="CF356" s="40"/>
      <c r="CG356" s="40"/>
      <c r="CH356" s="40"/>
      <c r="CI356" s="40"/>
      <c r="CJ356" s="40"/>
      <c r="CK356" s="40"/>
      <c r="CL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40"/>
      <c r="CD357" s="40"/>
      <c r="CE357" s="40"/>
      <c r="CF357" s="40"/>
      <c r="CG357" s="40"/>
      <c r="CH357" s="40"/>
      <c r="CI357" s="40"/>
      <c r="CJ357" s="40"/>
      <c r="CK357" s="40"/>
      <c r="CL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40"/>
      <c r="CD358" s="40"/>
      <c r="CE358" s="40"/>
      <c r="CF358" s="40"/>
      <c r="CG358" s="40"/>
      <c r="CH358" s="40"/>
      <c r="CI358" s="40"/>
      <c r="CJ358" s="40"/>
      <c r="CK358" s="40"/>
      <c r="CL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40"/>
      <c r="CD359" s="40"/>
      <c r="CE359" s="40"/>
      <c r="CF359" s="40"/>
      <c r="CG359" s="40"/>
      <c r="CH359" s="40"/>
      <c r="CI359" s="40"/>
      <c r="CJ359" s="40"/>
      <c r="CK359" s="40"/>
      <c r="CL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40"/>
      <c r="CD360" s="40"/>
      <c r="CE360" s="40"/>
      <c r="CF360" s="40"/>
      <c r="CG360" s="40"/>
      <c r="CH360" s="40"/>
      <c r="CI360" s="40"/>
      <c r="CJ360" s="40"/>
      <c r="CK360" s="40"/>
      <c r="CL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40"/>
      <c r="CD361" s="40"/>
      <c r="CE361" s="40"/>
      <c r="CF361" s="40"/>
      <c r="CG361" s="40"/>
      <c r="CH361" s="40"/>
      <c r="CI361" s="40"/>
      <c r="CJ361" s="40"/>
      <c r="CK361" s="40"/>
      <c r="CL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40"/>
      <c r="CD362" s="40"/>
      <c r="CE362" s="40"/>
      <c r="CF362" s="40"/>
      <c r="CG362" s="40"/>
      <c r="CH362" s="40"/>
      <c r="CI362" s="40"/>
      <c r="CJ362" s="40"/>
      <c r="CK362" s="40"/>
      <c r="CL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40"/>
      <c r="CD363" s="40"/>
      <c r="CE363" s="40"/>
      <c r="CF363" s="40"/>
      <c r="CG363" s="40"/>
      <c r="CH363" s="40"/>
      <c r="CI363" s="40"/>
      <c r="CJ363" s="40"/>
      <c r="CK363" s="40"/>
      <c r="CL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40"/>
      <c r="CD364" s="40"/>
      <c r="CE364" s="40"/>
      <c r="CF364" s="40"/>
      <c r="CG364" s="40"/>
      <c r="CH364" s="40"/>
      <c r="CI364" s="40"/>
      <c r="CJ364" s="40"/>
      <c r="CK364" s="40"/>
      <c r="CL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40"/>
      <c r="CD365" s="40"/>
      <c r="CE365" s="40"/>
      <c r="CF365" s="40"/>
      <c r="CG365" s="40"/>
      <c r="CH365" s="40"/>
      <c r="CI365" s="40"/>
      <c r="CJ365" s="40"/>
      <c r="CK365" s="40"/>
      <c r="CL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40"/>
      <c r="CD366" s="40"/>
      <c r="CE366" s="40"/>
      <c r="CF366" s="40"/>
      <c r="CG366" s="40"/>
      <c r="CH366" s="40"/>
      <c r="CI366" s="40"/>
      <c r="CJ366" s="40"/>
      <c r="CK366" s="40"/>
      <c r="CL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40"/>
      <c r="CD367" s="40"/>
      <c r="CE367" s="40"/>
      <c r="CF367" s="40"/>
      <c r="CG367" s="40"/>
      <c r="CH367" s="40"/>
      <c r="CI367" s="40"/>
      <c r="CJ367" s="40"/>
      <c r="CK367" s="40"/>
      <c r="CL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40"/>
      <c r="CD368" s="40"/>
      <c r="CE368" s="40"/>
      <c r="CF368" s="40"/>
      <c r="CG368" s="40"/>
      <c r="CH368" s="40"/>
      <c r="CI368" s="40"/>
      <c r="CJ368" s="40"/>
      <c r="CK368" s="40"/>
      <c r="CL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40"/>
      <c r="CD369" s="40"/>
      <c r="CE369" s="40"/>
      <c r="CF369" s="40"/>
      <c r="CG369" s="40"/>
      <c r="CH369" s="40"/>
      <c r="CI369" s="40"/>
      <c r="CJ369" s="40"/>
      <c r="CK369" s="40"/>
      <c r="CL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40"/>
      <c r="CD370" s="40"/>
      <c r="CE370" s="40"/>
      <c r="CF370" s="40"/>
      <c r="CG370" s="40"/>
      <c r="CH370" s="40"/>
      <c r="CI370" s="40"/>
      <c r="CJ370" s="40"/>
      <c r="CK370" s="40"/>
      <c r="CL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40"/>
      <c r="CD371" s="40"/>
      <c r="CE371" s="40"/>
      <c r="CF371" s="40"/>
      <c r="CG371" s="40"/>
      <c r="CH371" s="40"/>
      <c r="CI371" s="40"/>
      <c r="CJ371" s="40"/>
      <c r="CK371" s="40"/>
      <c r="CL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40"/>
      <c r="CD372" s="40"/>
      <c r="CE372" s="40"/>
      <c r="CF372" s="40"/>
      <c r="CG372" s="40"/>
      <c r="CH372" s="40"/>
      <c r="CI372" s="40"/>
      <c r="CJ372" s="40"/>
      <c r="CK372" s="40"/>
      <c r="CL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40"/>
      <c r="CD373" s="40"/>
      <c r="CE373" s="40"/>
      <c r="CF373" s="40"/>
      <c r="CG373" s="40"/>
      <c r="CH373" s="40"/>
      <c r="CI373" s="40"/>
      <c r="CJ373" s="40"/>
      <c r="CK373" s="40"/>
      <c r="CL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40"/>
      <c r="CD374" s="40"/>
      <c r="CE374" s="40"/>
      <c r="CF374" s="40"/>
      <c r="CG374" s="40"/>
      <c r="CH374" s="40"/>
      <c r="CI374" s="40"/>
      <c r="CJ374" s="40"/>
      <c r="CK374" s="40"/>
      <c r="CL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40"/>
      <c r="CD375" s="40"/>
      <c r="CE375" s="40"/>
      <c r="CF375" s="40"/>
      <c r="CG375" s="40"/>
      <c r="CH375" s="40"/>
      <c r="CI375" s="40"/>
      <c r="CJ375" s="40"/>
      <c r="CK375" s="40"/>
      <c r="CL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40"/>
      <c r="CD376" s="40"/>
      <c r="CE376" s="40"/>
      <c r="CF376" s="40"/>
      <c r="CG376" s="40"/>
      <c r="CH376" s="40"/>
      <c r="CI376" s="40"/>
      <c r="CJ376" s="40"/>
      <c r="CK376" s="40"/>
      <c r="CL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40"/>
      <c r="CD377" s="40"/>
      <c r="CE377" s="40"/>
      <c r="CF377" s="40"/>
      <c r="CG377" s="40"/>
      <c r="CH377" s="40"/>
      <c r="CI377" s="40"/>
      <c r="CJ377" s="40"/>
      <c r="CK377" s="40"/>
      <c r="CL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40"/>
      <c r="CD378" s="40"/>
      <c r="CE378" s="40"/>
      <c r="CF378" s="40"/>
      <c r="CG378" s="40"/>
      <c r="CH378" s="40"/>
      <c r="CI378" s="40"/>
      <c r="CJ378" s="40"/>
      <c r="CK378" s="40"/>
      <c r="CL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40"/>
      <c r="CD379" s="40"/>
      <c r="CE379" s="40"/>
      <c r="CF379" s="40"/>
      <c r="CG379" s="40"/>
      <c r="CH379" s="40"/>
      <c r="CI379" s="40"/>
      <c r="CJ379" s="40"/>
      <c r="CK379" s="40"/>
      <c r="CL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40"/>
      <c r="CD380" s="40"/>
      <c r="CE380" s="40"/>
      <c r="CF380" s="40"/>
      <c r="CG380" s="40"/>
      <c r="CH380" s="40"/>
      <c r="CI380" s="40"/>
      <c r="CJ380" s="40"/>
      <c r="CK380" s="40"/>
      <c r="CL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40"/>
      <c r="CD381" s="40"/>
      <c r="CE381" s="40"/>
      <c r="CF381" s="40"/>
      <c r="CG381" s="40"/>
      <c r="CH381" s="40"/>
      <c r="CI381" s="40"/>
      <c r="CJ381" s="40"/>
      <c r="CK381" s="40"/>
      <c r="CL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40"/>
      <c r="CD382" s="40"/>
      <c r="CE382" s="40"/>
      <c r="CF382" s="40"/>
      <c r="CG382" s="40"/>
      <c r="CH382" s="40"/>
      <c r="CI382" s="40"/>
      <c r="CJ382" s="40"/>
      <c r="CK382" s="40"/>
      <c r="CL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40"/>
      <c r="CD383" s="40"/>
      <c r="CE383" s="40"/>
      <c r="CF383" s="40"/>
      <c r="CG383" s="40"/>
      <c r="CH383" s="40"/>
      <c r="CI383" s="40"/>
      <c r="CJ383" s="40"/>
      <c r="CK383" s="40"/>
      <c r="CL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40"/>
      <c r="CD384" s="40"/>
      <c r="CE384" s="40"/>
      <c r="CF384" s="40"/>
      <c r="CG384" s="40"/>
      <c r="CH384" s="40"/>
      <c r="CI384" s="40"/>
      <c r="CJ384" s="40"/>
      <c r="CK384" s="40"/>
      <c r="CL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40"/>
      <c r="CD385" s="40"/>
      <c r="CE385" s="40"/>
      <c r="CF385" s="40"/>
      <c r="CG385" s="40"/>
      <c r="CH385" s="40"/>
      <c r="CI385" s="40"/>
      <c r="CJ385" s="40"/>
      <c r="CK385" s="40"/>
      <c r="CL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40"/>
      <c r="CD386" s="40"/>
      <c r="CE386" s="40"/>
      <c r="CF386" s="40"/>
      <c r="CG386" s="40"/>
      <c r="CH386" s="40"/>
      <c r="CI386" s="40"/>
      <c r="CJ386" s="40"/>
      <c r="CK386" s="40"/>
      <c r="CL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40"/>
      <c r="CD387" s="40"/>
      <c r="CE387" s="40"/>
      <c r="CF387" s="40"/>
      <c r="CG387" s="40"/>
      <c r="CH387" s="40"/>
      <c r="CI387" s="40"/>
      <c r="CJ387" s="40"/>
      <c r="CK387" s="40"/>
      <c r="CL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40"/>
      <c r="CD388" s="40"/>
      <c r="CE388" s="40"/>
      <c r="CF388" s="40"/>
      <c r="CG388" s="40"/>
      <c r="CH388" s="40"/>
      <c r="CI388" s="40"/>
      <c r="CJ388" s="40"/>
      <c r="CK388" s="40"/>
      <c r="CL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40"/>
      <c r="CD389" s="40"/>
      <c r="CE389" s="40"/>
      <c r="CF389" s="40"/>
      <c r="CG389" s="40"/>
      <c r="CH389" s="40"/>
      <c r="CI389" s="40"/>
      <c r="CJ389" s="40"/>
      <c r="CK389" s="40"/>
      <c r="CL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40"/>
      <c r="CD390" s="40"/>
      <c r="CE390" s="40"/>
      <c r="CF390" s="40"/>
      <c r="CG390" s="40"/>
      <c r="CH390" s="40"/>
      <c r="CI390" s="40"/>
      <c r="CJ390" s="40"/>
      <c r="CK390" s="40"/>
      <c r="CL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40"/>
      <c r="CD391" s="40"/>
      <c r="CE391" s="40"/>
      <c r="CF391" s="40"/>
      <c r="CG391" s="40"/>
      <c r="CH391" s="40"/>
      <c r="CI391" s="40"/>
      <c r="CJ391" s="40"/>
      <c r="CK391" s="40"/>
      <c r="CL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40"/>
      <c r="CD392" s="40"/>
      <c r="CE392" s="40"/>
      <c r="CF392" s="40"/>
      <c r="CG392" s="40"/>
      <c r="CH392" s="40"/>
      <c r="CI392" s="40"/>
      <c r="CJ392" s="40"/>
      <c r="CK392" s="40"/>
      <c r="CL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40"/>
      <c r="CD393" s="40"/>
      <c r="CE393" s="40"/>
      <c r="CF393" s="40"/>
      <c r="CG393" s="40"/>
      <c r="CH393" s="40"/>
      <c r="CI393" s="40"/>
      <c r="CJ393" s="40"/>
      <c r="CK393" s="40"/>
      <c r="CL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40"/>
      <c r="CD394" s="40"/>
      <c r="CE394" s="40"/>
      <c r="CF394" s="40"/>
      <c r="CG394" s="40"/>
      <c r="CH394" s="40"/>
      <c r="CI394" s="40"/>
      <c r="CJ394" s="40"/>
      <c r="CK394" s="40"/>
      <c r="CL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40"/>
      <c r="CD395" s="40"/>
      <c r="CE395" s="40"/>
      <c r="CF395" s="40"/>
      <c r="CG395" s="40"/>
      <c r="CH395" s="40"/>
      <c r="CI395" s="40"/>
      <c r="CJ395" s="40"/>
      <c r="CK395" s="40"/>
      <c r="CL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40"/>
      <c r="CD396" s="40"/>
      <c r="CE396" s="40"/>
      <c r="CF396" s="40"/>
      <c r="CG396" s="40"/>
      <c r="CH396" s="40"/>
      <c r="CI396" s="40"/>
      <c r="CJ396" s="40"/>
      <c r="CK396" s="40"/>
      <c r="CL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40"/>
      <c r="CD397" s="40"/>
      <c r="CE397" s="40"/>
      <c r="CF397" s="40"/>
      <c r="CG397" s="40"/>
      <c r="CH397" s="40"/>
      <c r="CI397" s="40"/>
      <c r="CJ397" s="40"/>
      <c r="CK397" s="40"/>
      <c r="CL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40"/>
      <c r="CD398" s="40"/>
      <c r="CE398" s="40"/>
      <c r="CF398" s="40"/>
      <c r="CG398" s="40"/>
      <c r="CH398" s="40"/>
      <c r="CI398" s="40"/>
      <c r="CJ398" s="40"/>
      <c r="CK398" s="40"/>
      <c r="CL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40"/>
      <c r="CD399" s="40"/>
      <c r="CE399" s="40"/>
      <c r="CF399" s="40"/>
      <c r="CG399" s="40"/>
      <c r="CH399" s="40"/>
      <c r="CI399" s="40"/>
      <c r="CJ399" s="40"/>
      <c r="CK399" s="40"/>
      <c r="CL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40"/>
      <c r="CD400" s="40"/>
      <c r="CE400" s="40"/>
      <c r="CF400" s="40"/>
      <c r="CG400" s="40"/>
      <c r="CH400" s="40"/>
      <c r="CI400" s="40"/>
      <c r="CJ400" s="40"/>
      <c r="CK400" s="40"/>
      <c r="CL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40"/>
      <c r="CD401" s="40"/>
      <c r="CE401" s="40"/>
      <c r="CF401" s="40"/>
      <c r="CG401" s="40"/>
      <c r="CH401" s="40"/>
      <c r="CI401" s="40"/>
      <c r="CJ401" s="40"/>
      <c r="CK401" s="40"/>
      <c r="CL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40"/>
      <c r="CD402" s="40"/>
      <c r="CE402" s="40"/>
      <c r="CF402" s="40"/>
      <c r="CG402" s="40"/>
      <c r="CH402" s="40"/>
      <c r="CI402" s="40"/>
      <c r="CJ402" s="40"/>
      <c r="CK402" s="40"/>
      <c r="CL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40"/>
      <c r="CD403" s="40"/>
      <c r="CE403" s="40"/>
      <c r="CF403" s="40"/>
      <c r="CG403" s="40"/>
      <c r="CH403" s="40"/>
      <c r="CI403" s="40"/>
      <c r="CJ403" s="40"/>
      <c r="CK403" s="40"/>
      <c r="CL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40"/>
      <c r="CD404" s="40"/>
      <c r="CE404" s="40"/>
      <c r="CF404" s="40"/>
      <c r="CG404" s="40"/>
      <c r="CH404" s="40"/>
      <c r="CI404" s="40"/>
      <c r="CJ404" s="40"/>
      <c r="CK404" s="40"/>
      <c r="CL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40"/>
      <c r="CD405" s="40"/>
      <c r="CE405" s="40"/>
      <c r="CF405" s="40"/>
      <c r="CG405" s="40"/>
      <c r="CH405" s="40"/>
      <c r="CI405" s="40"/>
      <c r="CJ405" s="40"/>
      <c r="CK405" s="40"/>
      <c r="CL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40"/>
      <c r="CD406" s="40"/>
      <c r="CE406" s="40"/>
      <c r="CF406" s="40"/>
      <c r="CG406" s="40"/>
      <c r="CH406" s="40"/>
      <c r="CI406" s="40"/>
      <c r="CJ406" s="40"/>
      <c r="CK406" s="40"/>
      <c r="CL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40"/>
      <c r="CD407" s="40"/>
      <c r="CE407" s="40"/>
      <c r="CF407" s="40"/>
      <c r="CG407" s="40"/>
      <c r="CH407" s="40"/>
      <c r="CI407" s="40"/>
      <c r="CJ407" s="40"/>
      <c r="CK407" s="40"/>
      <c r="CL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40"/>
      <c r="CD408" s="40"/>
      <c r="CE408" s="40"/>
      <c r="CF408" s="40"/>
      <c r="CG408" s="40"/>
      <c r="CH408" s="40"/>
      <c r="CI408" s="40"/>
      <c r="CJ408" s="40"/>
      <c r="CK408" s="40"/>
      <c r="CL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40"/>
      <c r="CD409" s="40"/>
      <c r="CE409" s="40"/>
      <c r="CF409" s="40"/>
      <c r="CG409" s="40"/>
      <c r="CH409" s="40"/>
      <c r="CI409" s="40"/>
      <c r="CJ409" s="40"/>
      <c r="CK409" s="40"/>
      <c r="CL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40"/>
      <c r="CD410" s="40"/>
      <c r="CE410" s="40"/>
      <c r="CF410" s="40"/>
      <c r="CG410" s="40"/>
      <c r="CH410" s="40"/>
      <c r="CI410" s="40"/>
      <c r="CJ410" s="40"/>
      <c r="CK410" s="40"/>
      <c r="CL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40"/>
      <c r="CD411" s="40"/>
      <c r="CE411" s="40"/>
      <c r="CF411" s="40"/>
      <c r="CG411" s="40"/>
      <c r="CH411" s="40"/>
      <c r="CI411" s="40"/>
      <c r="CJ411" s="40"/>
      <c r="CK411" s="40"/>
      <c r="CL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40"/>
      <c r="CD412" s="40"/>
      <c r="CE412" s="40"/>
      <c r="CF412" s="40"/>
      <c r="CG412" s="40"/>
      <c r="CH412" s="40"/>
      <c r="CI412" s="40"/>
      <c r="CJ412" s="40"/>
      <c r="CK412" s="40"/>
      <c r="CL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40"/>
      <c r="CD413" s="40"/>
      <c r="CE413" s="40"/>
      <c r="CF413" s="40"/>
      <c r="CG413" s="40"/>
      <c r="CH413" s="40"/>
      <c r="CI413" s="40"/>
      <c r="CJ413" s="40"/>
      <c r="CK413" s="40"/>
      <c r="CL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40"/>
      <c r="CD414" s="40"/>
      <c r="CE414" s="40"/>
      <c r="CF414" s="40"/>
      <c r="CG414" s="40"/>
      <c r="CH414" s="40"/>
      <c r="CI414" s="40"/>
      <c r="CJ414" s="40"/>
      <c r="CK414" s="40"/>
      <c r="CL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40"/>
      <c r="CD415" s="40"/>
      <c r="CE415" s="40"/>
      <c r="CF415" s="40"/>
      <c r="CG415" s="40"/>
      <c r="CH415" s="40"/>
      <c r="CI415" s="40"/>
      <c r="CJ415" s="40"/>
      <c r="CK415" s="40"/>
      <c r="CL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40"/>
      <c r="CD416" s="40"/>
      <c r="CE416" s="40"/>
      <c r="CF416" s="40"/>
      <c r="CG416" s="40"/>
      <c r="CH416" s="40"/>
      <c r="CI416" s="40"/>
      <c r="CJ416" s="40"/>
      <c r="CK416" s="40"/>
      <c r="CL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40"/>
      <c r="CD417" s="40"/>
      <c r="CE417" s="40"/>
      <c r="CF417" s="40"/>
      <c r="CG417" s="40"/>
      <c r="CH417" s="40"/>
      <c r="CI417" s="40"/>
      <c r="CJ417" s="40"/>
      <c r="CK417" s="40"/>
      <c r="CL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40"/>
      <c r="CD418" s="40"/>
      <c r="CE418" s="40"/>
      <c r="CF418" s="40"/>
      <c r="CG418" s="40"/>
      <c r="CH418" s="40"/>
      <c r="CI418" s="40"/>
      <c r="CJ418" s="40"/>
      <c r="CK418" s="40"/>
      <c r="CL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40"/>
      <c r="CD419" s="40"/>
      <c r="CE419" s="40"/>
      <c r="CF419" s="40"/>
      <c r="CG419" s="40"/>
      <c r="CH419" s="40"/>
      <c r="CI419" s="40"/>
      <c r="CJ419" s="40"/>
      <c r="CK419" s="40"/>
      <c r="CL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40"/>
      <c r="CD420" s="40"/>
      <c r="CE420" s="40"/>
      <c r="CF420" s="40"/>
      <c r="CG420" s="40"/>
      <c r="CH420" s="40"/>
      <c r="CI420" s="40"/>
      <c r="CJ420" s="40"/>
      <c r="CK420" s="40"/>
      <c r="CL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40"/>
      <c r="CD421" s="40"/>
      <c r="CE421" s="40"/>
      <c r="CF421" s="40"/>
      <c r="CG421" s="40"/>
      <c r="CH421" s="40"/>
      <c r="CI421" s="40"/>
      <c r="CJ421" s="40"/>
      <c r="CK421" s="40"/>
      <c r="CL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40"/>
      <c r="CD422" s="40"/>
      <c r="CE422" s="40"/>
      <c r="CF422" s="40"/>
      <c r="CG422" s="40"/>
      <c r="CH422" s="40"/>
      <c r="CI422" s="40"/>
      <c r="CJ422" s="40"/>
      <c r="CK422" s="40"/>
      <c r="CL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40"/>
      <c r="CD423" s="40"/>
      <c r="CE423" s="40"/>
      <c r="CF423" s="40"/>
      <c r="CG423" s="40"/>
      <c r="CH423" s="40"/>
      <c r="CI423" s="40"/>
      <c r="CJ423" s="40"/>
      <c r="CK423" s="40"/>
      <c r="CL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40"/>
      <c r="CD424" s="40"/>
      <c r="CE424" s="40"/>
      <c r="CF424" s="40"/>
      <c r="CG424" s="40"/>
      <c r="CH424" s="40"/>
      <c r="CI424" s="40"/>
      <c r="CJ424" s="40"/>
      <c r="CK424" s="40"/>
      <c r="CL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40"/>
      <c r="CD425" s="40"/>
      <c r="CE425" s="40"/>
      <c r="CF425" s="40"/>
      <c r="CG425" s="40"/>
      <c r="CH425" s="40"/>
      <c r="CI425" s="40"/>
      <c r="CJ425" s="40"/>
      <c r="CK425" s="40"/>
      <c r="CL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40"/>
      <c r="CD426" s="40"/>
      <c r="CE426" s="40"/>
      <c r="CF426" s="40"/>
      <c r="CG426" s="40"/>
      <c r="CH426" s="40"/>
      <c r="CI426" s="40"/>
      <c r="CJ426" s="40"/>
      <c r="CK426" s="40"/>
      <c r="CL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40"/>
      <c r="CD427" s="40"/>
      <c r="CE427" s="40"/>
      <c r="CF427" s="40"/>
      <c r="CG427" s="40"/>
      <c r="CH427" s="40"/>
      <c r="CI427" s="40"/>
      <c r="CJ427" s="40"/>
      <c r="CK427" s="40"/>
      <c r="CL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40"/>
      <c r="CD428" s="40"/>
      <c r="CE428" s="40"/>
      <c r="CF428" s="40"/>
      <c r="CG428" s="40"/>
      <c r="CH428" s="40"/>
      <c r="CI428" s="40"/>
      <c r="CJ428" s="40"/>
      <c r="CK428" s="40"/>
      <c r="CL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40"/>
      <c r="CD429" s="40"/>
      <c r="CE429" s="40"/>
      <c r="CF429" s="40"/>
      <c r="CG429" s="40"/>
      <c r="CH429" s="40"/>
      <c r="CI429" s="40"/>
      <c r="CJ429" s="40"/>
      <c r="CK429" s="40"/>
      <c r="CL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40"/>
      <c r="CD430" s="40"/>
      <c r="CE430" s="40"/>
      <c r="CF430" s="40"/>
      <c r="CG430" s="40"/>
      <c r="CH430" s="40"/>
      <c r="CI430" s="40"/>
      <c r="CJ430" s="40"/>
      <c r="CK430" s="40"/>
      <c r="CL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40"/>
      <c r="CD431" s="40"/>
      <c r="CE431" s="40"/>
      <c r="CF431" s="40"/>
      <c r="CG431" s="40"/>
      <c r="CH431" s="40"/>
      <c r="CI431" s="40"/>
      <c r="CJ431" s="40"/>
      <c r="CK431" s="40"/>
      <c r="CL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40"/>
      <c r="CD432" s="40"/>
      <c r="CE432" s="40"/>
      <c r="CF432" s="40"/>
      <c r="CG432" s="40"/>
      <c r="CH432" s="40"/>
      <c r="CI432" s="40"/>
      <c r="CJ432" s="40"/>
      <c r="CK432" s="40"/>
      <c r="CL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40"/>
      <c r="CD433" s="40"/>
      <c r="CE433" s="40"/>
      <c r="CF433" s="40"/>
      <c r="CG433" s="40"/>
      <c r="CH433" s="40"/>
      <c r="CI433" s="40"/>
      <c r="CJ433" s="40"/>
      <c r="CK433" s="40"/>
      <c r="CL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40"/>
      <c r="CD434" s="40"/>
      <c r="CE434" s="40"/>
      <c r="CF434" s="40"/>
      <c r="CG434" s="40"/>
      <c r="CH434" s="40"/>
      <c r="CI434" s="40"/>
      <c r="CJ434" s="40"/>
      <c r="CK434" s="40"/>
      <c r="CL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40"/>
      <c r="CD435" s="40"/>
      <c r="CE435" s="40"/>
      <c r="CF435" s="40"/>
      <c r="CG435" s="40"/>
      <c r="CH435" s="40"/>
      <c r="CI435" s="40"/>
      <c r="CJ435" s="40"/>
      <c r="CK435" s="40"/>
      <c r="CL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40"/>
      <c r="CD436" s="40"/>
      <c r="CE436" s="40"/>
      <c r="CF436" s="40"/>
      <c r="CG436" s="40"/>
      <c r="CH436" s="40"/>
      <c r="CI436" s="40"/>
      <c r="CJ436" s="40"/>
      <c r="CK436" s="40"/>
      <c r="CL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40"/>
      <c r="CD437" s="40"/>
      <c r="CE437" s="40"/>
      <c r="CF437" s="40"/>
      <c r="CG437" s="40"/>
      <c r="CH437" s="40"/>
      <c r="CI437" s="40"/>
      <c r="CJ437" s="40"/>
      <c r="CK437" s="40"/>
      <c r="CL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40"/>
      <c r="CD438" s="40"/>
      <c r="CE438" s="40"/>
      <c r="CF438" s="40"/>
      <c r="CG438" s="40"/>
      <c r="CH438" s="40"/>
      <c r="CI438" s="40"/>
      <c r="CJ438" s="40"/>
      <c r="CK438" s="40"/>
      <c r="CL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40"/>
      <c r="CD439" s="40"/>
      <c r="CE439" s="40"/>
      <c r="CF439" s="40"/>
      <c r="CG439" s="40"/>
      <c r="CH439" s="40"/>
      <c r="CI439" s="40"/>
      <c r="CJ439" s="40"/>
      <c r="CK439" s="40"/>
      <c r="CL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40"/>
      <c r="CD440" s="40"/>
      <c r="CE440" s="40"/>
      <c r="CF440" s="40"/>
      <c r="CG440" s="40"/>
      <c r="CH440" s="40"/>
      <c r="CI440" s="40"/>
      <c r="CJ440" s="40"/>
      <c r="CK440" s="40"/>
      <c r="CL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40"/>
      <c r="CD441" s="40"/>
      <c r="CE441" s="40"/>
      <c r="CF441" s="40"/>
      <c r="CG441" s="40"/>
      <c r="CH441" s="40"/>
      <c r="CI441" s="40"/>
      <c r="CJ441" s="40"/>
      <c r="CK441" s="40"/>
      <c r="CL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40"/>
      <c r="CD442" s="40"/>
      <c r="CE442" s="40"/>
      <c r="CF442" s="40"/>
      <c r="CG442" s="40"/>
      <c r="CH442" s="40"/>
      <c r="CI442" s="40"/>
      <c r="CJ442" s="40"/>
      <c r="CK442" s="40"/>
      <c r="CL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40"/>
      <c r="CD443" s="40"/>
      <c r="CE443" s="40"/>
      <c r="CF443" s="40"/>
      <c r="CG443" s="40"/>
      <c r="CH443" s="40"/>
      <c r="CI443" s="40"/>
      <c r="CJ443" s="40"/>
      <c r="CK443" s="40"/>
      <c r="CL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40"/>
      <c r="CD444" s="40"/>
      <c r="CE444" s="40"/>
      <c r="CF444" s="40"/>
      <c r="CG444" s="40"/>
      <c r="CH444" s="40"/>
      <c r="CI444" s="40"/>
      <c r="CJ444" s="40"/>
      <c r="CK444" s="40"/>
      <c r="CL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40"/>
      <c r="CD445" s="40"/>
      <c r="CE445" s="40"/>
      <c r="CF445" s="40"/>
      <c r="CG445" s="40"/>
      <c r="CH445" s="40"/>
      <c r="CI445" s="40"/>
      <c r="CJ445" s="40"/>
      <c r="CK445" s="40"/>
      <c r="CL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40"/>
      <c r="CD446" s="40"/>
      <c r="CE446" s="40"/>
      <c r="CF446" s="40"/>
      <c r="CG446" s="40"/>
      <c r="CH446" s="40"/>
      <c r="CI446" s="40"/>
      <c r="CJ446" s="40"/>
      <c r="CK446" s="40"/>
      <c r="CL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40"/>
      <c r="CD447" s="40"/>
      <c r="CE447" s="40"/>
      <c r="CF447" s="40"/>
      <c r="CG447" s="40"/>
      <c r="CH447" s="40"/>
      <c r="CI447" s="40"/>
      <c r="CJ447" s="40"/>
      <c r="CK447" s="40"/>
      <c r="CL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40"/>
      <c r="CD448" s="40"/>
      <c r="CE448" s="40"/>
      <c r="CF448" s="40"/>
      <c r="CG448" s="40"/>
      <c r="CH448" s="40"/>
      <c r="CI448" s="40"/>
      <c r="CJ448" s="40"/>
      <c r="CK448" s="40"/>
      <c r="CL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40"/>
      <c r="CD449" s="40"/>
      <c r="CE449" s="40"/>
      <c r="CF449" s="40"/>
      <c r="CG449" s="40"/>
      <c r="CH449" s="40"/>
      <c r="CI449" s="40"/>
      <c r="CJ449" s="40"/>
      <c r="CK449" s="40"/>
      <c r="CL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40"/>
      <c r="CD450" s="40"/>
      <c r="CE450" s="40"/>
      <c r="CF450" s="40"/>
      <c r="CG450" s="40"/>
      <c r="CH450" s="40"/>
      <c r="CI450" s="40"/>
      <c r="CJ450" s="40"/>
      <c r="CK450" s="40"/>
      <c r="CL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40"/>
      <c r="CD451" s="40"/>
      <c r="CE451" s="40"/>
      <c r="CF451" s="40"/>
      <c r="CG451" s="40"/>
      <c r="CH451" s="40"/>
      <c r="CI451" s="40"/>
      <c r="CJ451" s="40"/>
      <c r="CK451" s="40"/>
      <c r="CL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40"/>
      <c r="CD452" s="40"/>
      <c r="CE452" s="40"/>
      <c r="CF452" s="40"/>
      <c r="CG452" s="40"/>
      <c r="CH452" s="40"/>
      <c r="CI452" s="40"/>
      <c r="CJ452" s="40"/>
      <c r="CK452" s="40"/>
      <c r="CL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40"/>
      <c r="CD453" s="40"/>
      <c r="CE453" s="40"/>
      <c r="CF453" s="40"/>
      <c r="CG453" s="40"/>
      <c r="CH453" s="40"/>
      <c r="CI453" s="40"/>
      <c r="CJ453" s="40"/>
      <c r="CK453" s="40"/>
      <c r="CL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40"/>
      <c r="CD454" s="40"/>
      <c r="CE454" s="40"/>
      <c r="CF454" s="40"/>
      <c r="CG454" s="40"/>
      <c r="CH454" s="40"/>
      <c r="CI454" s="40"/>
      <c r="CJ454" s="40"/>
      <c r="CK454" s="40"/>
      <c r="CL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40"/>
      <c r="CD455" s="40"/>
      <c r="CE455" s="40"/>
      <c r="CF455" s="40"/>
      <c r="CG455" s="40"/>
      <c r="CH455" s="40"/>
      <c r="CI455" s="40"/>
      <c r="CJ455" s="40"/>
      <c r="CK455" s="40"/>
      <c r="CL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40"/>
      <c r="CD456" s="40"/>
      <c r="CE456" s="40"/>
      <c r="CF456" s="40"/>
      <c r="CG456" s="40"/>
      <c r="CH456" s="40"/>
      <c r="CI456" s="40"/>
      <c r="CJ456" s="40"/>
      <c r="CK456" s="40"/>
      <c r="CL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40"/>
      <c r="CD457" s="40"/>
      <c r="CE457" s="40"/>
      <c r="CF457" s="40"/>
      <c r="CG457" s="40"/>
      <c r="CH457" s="40"/>
      <c r="CI457" s="40"/>
      <c r="CJ457" s="40"/>
      <c r="CK457" s="40"/>
      <c r="CL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40"/>
      <c r="CD458" s="40"/>
      <c r="CE458" s="40"/>
      <c r="CF458" s="40"/>
      <c r="CG458" s="40"/>
      <c r="CH458" s="40"/>
      <c r="CI458" s="40"/>
      <c r="CJ458" s="40"/>
      <c r="CK458" s="40"/>
      <c r="CL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40"/>
      <c r="CD459" s="40"/>
      <c r="CE459" s="40"/>
      <c r="CF459" s="40"/>
      <c r="CG459" s="40"/>
      <c r="CH459" s="40"/>
      <c r="CI459" s="40"/>
      <c r="CJ459" s="40"/>
      <c r="CK459" s="40"/>
      <c r="CL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40"/>
      <c r="CD460" s="40"/>
      <c r="CE460" s="40"/>
      <c r="CF460" s="40"/>
      <c r="CG460" s="40"/>
      <c r="CH460" s="40"/>
      <c r="CI460" s="40"/>
      <c r="CJ460" s="40"/>
      <c r="CK460" s="40"/>
      <c r="CL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40"/>
      <c r="CD461" s="40"/>
      <c r="CE461" s="40"/>
      <c r="CF461" s="40"/>
      <c r="CG461" s="40"/>
      <c r="CH461" s="40"/>
      <c r="CI461" s="40"/>
      <c r="CJ461" s="40"/>
      <c r="CK461" s="40"/>
      <c r="CL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40"/>
      <c r="CD462" s="40"/>
      <c r="CE462" s="40"/>
      <c r="CF462" s="40"/>
      <c r="CG462" s="40"/>
      <c r="CH462" s="40"/>
      <c r="CI462" s="40"/>
      <c r="CJ462" s="40"/>
      <c r="CK462" s="40"/>
      <c r="CL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40"/>
      <c r="CD463" s="40"/>
      <c r="CE463" s="40"/>
      <c r="CF463" s="40"/>
      <c r="CG463" s="40"/>
      <c r="CH463" s="40"/>
      <c r="CI463" s="40"/>
      <c r="CJ463" s="40"/>
      <c r="CK463" s="40"/>
      <c r="CL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40"/>
      <c r="CD464" s="40"/>
      <c r="CE464" s="40"/>
      <c r="CF464" s="40"/>
      <c r="CG464" s="40"/>
      <c r="CH464" s="40"/>
      <c r="CI464" s="40"/>
      <c r="CJ464" s="40"/>
      <c r="CK464" s="40"/>
      <c r="CL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40"/>
      <c r="CD465" s="40"/>
      <c r="CE465" s="40"/>
      <c r="CF465" s="40"/>
      <c r="CG465" s="40"/>
      <c r="CH465" s="40"/>
      <c r="CI465" s="40"/>
      <c r="CJ465" s="40"/>
      <c r="CK465" s="40"/>
      <c r="CL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40"/>
      <c r="CD466" s="40"/>
      <c r="CE466" s="40"/>
      <c r="CF466" s="40"/>
      <c r="CG466" s="40"/>
      <c r="CH466" s="40"/>
      <c r="CI466" s="40"/>
      <c r="CJ466" s="40"/>
      <c r="CK466" s="40"/>
      <c r="CL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40"/>
      <c r="CD467" s="40"/>
      <c r="CE467" s="40"/>
      <c r="CF467" s="40"/>
      <c r="CG467" s="40"/>
      <c r="CH467" s="40"/>
      <c r="CI467" s="40"/>
      <c r="CJ467" s="40"/>
      <c r="CK467" s="40"/>
      <c r="CL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40"/>
      <c r="CD468" s="40"/>
      <c r="CE468" s="40"/>
      <c r="CF468" s="40"/>
      <c r="CG468" s="40"/>
      <c r="CH468" s="40"/>
      <c r="CI468" s="40"/>
      <c r="CJ468" s="40"/>
      <c r="CK468" s="40"/>
      <c r="CL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40"/>
      <c r="CD469" s="40"/>
      <c r="CE469" s="40"/>
      <c r="CF469" s="40"/>
      <c r="CG469" s="40"/>
      <c r="CH469" s="40"/>
      <c r="CI469" s="40"/>
      <c r="CJ469" s="40"/>
      <c r="CK469" s="40"/>
      <c r="CL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40"/>
      <c r="CD470" s="40"/>
      <c r="CE470" s="40"/>
      <c r="CF470" s="40"/>
      <c r="CG470" s="40"/>
      <c r="CH470" s="40"/>
      <c r="CI470" s="40"/>
      <c r="CJ470" s="40"/>
      <c r="CK470" s="40"/>
      <c r="CL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40"/>
      <c r="CD471" s="40"/>
      <c r="CE471" s="40"/>
      <c r="CF471" s="40"/>
      <c r="CG471" s="40"/>
      <c r="CH471" s="40"/>
      <c r="CI471" s="40"/>
      <c r="CJ471" s="40"/>
      <c r="CK471" s="40"/>
      <c r="CL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40"/>
      <c r="CD472" s="40"/>
      <c r="CE472" s="40"/>
      <c r="CF472" s="40"/>
      <c r="CG472" s="40"/>
      <c r="CH472" s="40"/>
      <c r="CI472" s="40"/>
      <c r="CJ472" s="40"/>
      <c r="CK472" s="40"/>
      <c r="CL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40"/>
      <c r="CD473" s="40"/>
      <c r="CE473" s="40"/>
      <c r="CF473" s="40"/>
      <c r="CG473" s="40"/>
      <c r="CH473" s="40"/>
      <c r="CI473" s="40"/>
      <c r="CJ473" s="40"/>
      <c r="CK473" s="40"/>
      <c r="CL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40"/>
      <c r="CD474" s="40"/>
      <c r="CE474" s="40"/>
      <c r="CF474" s="40"/>
      <c r="CG474" s="40"/>
      <c r="CH474" s="40"/>
      <c r="CI474" s="40"/>
      <c r="CJ474" s="40"/>
      <c r="CK474" s="40"/>
      <c r="CL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40"/>
      <c r="CD475" s="40"/>
      <c r="CE475" s="40"/>
      <c r="CF475" s="40"/>
      <c r="CG475" s="40"/>
      <c r="CH475" s="40"/>
      <c r="CI475" s="40"/>
      <c r="CJ475" s="40"/>
      <c r="CK475" s="40"/>
      <c r="CL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40"/>
      <c r="CD476" s="40"/>
      <c r="CE476" s="40"/>
      <c r="CF476" s="40"/>
      <c r="CG476" s="40"/>
      <c r="CH476" s="40"/>
      <c r="CI476" s="40"/>
      <c r="CJ476" s="40"/>
      <c r="CK476" s="40"/>
      <c r="CL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40"/>
      <c r="CD477" s="40"/>
      <c r="CE477" s="40"/>
      <c r="CF477" s="40"/>
      <c r="CG477" s="40"/>
      <c r="CH477" s="40"/>
      <c r="CI477" s="40"/>
      <c r="CJ477" s="40"/>
      <c r="CK477" s="40"/>
      <c r="CL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40"/>
      <c r="CD478" s="40"/>
      <c r="CE478" s="40"/>
      <c r="CF478" s="40"/>
      <c r="CG478" s="40"/>
      <c r="CH478" s="40"/>
      <c r="CI478" s="40"/>
      <c r="CJ478" s="40"/>
      <c r="CK478" s="40"/>
      <c r="CL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40"/>
      <c r="CD479" s="40"/>
      <c r="CE479" s="40"/>
      <c r="CF479" s="40"/>
      <c r="CG479" s="40"/>
      <c r="CH479" s="40"/>
      <c r="CI479" s="40"/>
      <c r="CJ479" s="40"/>
      <c r="CK479" s="40"/>
      <c r="CL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40"/>
      <c r="CD480" s="40"/>
      <c r="CE480" s="40"/>
      <c r="CF480" s="40"/>
      <c r="CG480" s="40"/>
      <c r="CH480" s="40"/>
      <c r="CI480" s="40"/>
      <c r="CJ480" s="40"/>
      <c r="CK480" s="40"/>
      <c r="CL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40"/>
      <c r="CD481" s="40"/>
      <c r="CE481" s="40"/>
      <c r="CF481" s="40"/>
      <c r="CG481" s="40"/>
      <c r="CH481" s="40"/>
      <c r="CI481" s="40"/>
      <c r="CJ481" s="40"/>
      <c r="CK481" s="40"/>
      <c r="CL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40"/>
      <c r="CD482" s="40"/>
      <c r="CE482" s="40"/>
      <c r="CF482" s="40"/>
      <c r="CG482" s="40"/>
      <c r="CH482" s="40"/>
      <c r="CI482" s="40"/>
      <c r="CJ482" s="40"/>
      <c r="CK482" s="40"/>
      <c r="CL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40"/>
      <c r="CD483" s="40"/>
      <c r="CE483" s="40"/>
      <c r="CF483" s="40"/>
      <c r="CG483" s="40"/>
      <c r="CH483" s="40"/>
      <c r="CI483" s="40"/>
      <c r="CJ483" s="40"/>
      <c r="CK483" s="40"/>
      <c r="CL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40"/>
      <c r="CD484" s="40"/>
      <c r="CE484" s="40"/>
      <c r="CF484" s="40"/>
      <c r="CG484" s="40"/>
      <c r="CH484" s="40"/>
      <c r="CI484" s="40"/>
      <c r="CJ484" s="40"/>
      <c r="CK484" s="40"/>
      <c r="CL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40"/>
      <c r="CD485" s="40"/>
      <c r="CE485" s="40"/>
      <c r="CF485" s="40"/>
      <c r="CG485" s="40"/>
      <c r="CH485" s="40"/>
      <c r="CI485" s="40"/>
      <c r="CJ485" s="40"/>
      <c r="CK485" s="40"/>
      <c r="CL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40"/>
      <c r="CD486" s="40"/>
      <c r="CE486" s="40"/>
      <c r="CF486" s="40"/>
      <c r="CG486" s="40"/>
      <c r="CH486" s="40"/>
      <c r="CI486" s="40"/>
      <c r="CJ486" s="40"/>
      <c r="CK486" s="40"/>
      <c r="CL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40"/>
      <c r="CD487" s="40"/>
      <c r="CE487" s="40"/>
      <c r="CF487" s="40"/>
      <c r="CG487" s="40"/>
      <c r="CH487" s="40"/>
      <c r="CI487" s="40"/>
      <c r="CJ487" s="40"/>
      <c r="CK487" s="40"/>
      <c r="CL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40"/>
      <c r="CD488" s="40"/>
      <c r="CE488" s="40"/>
      <c r="CF488" s="40"/>
      <c r="CG488" s="40"/>
      <c r="CH488" s="40"/>
      <c r="CI488" s="40"/>
      <c r="CJ488" s="40"/>
      <c r="CK488" s="40"/>
      <c r="CL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40"/>
      <c r="CD489" s="40"/>
      <c r="CE489" s="40"/>
      <c r="CF489" s="40"/>
      <c r="CG489" s="40"/>
      <c r="CH489" s="40"/>
      <c r="CI489" s="40"/>
      <c r="CJ489" s="40"/>
      <c r="CK489" s="40"/>
      <c r="CL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40"/>
      <c r="CD490" s="40"/>
      <c r="CE490" s="40"/>
      <c r="CF490" s="40"/>
      <c r="CG490" s="40"/>
      <c r="CH490" s="40"/>
      <c r="CI490" s="40"/>
      <c r="CJ490" s="40"/>
      <c r="CK490" s="40"/>
      <c r="CL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40"/>
      <c r="CD491" s="40"/>
      <c r="CE491" s="40"/>
      <c r="CF491" s="40"/>
      <c r="CG491" s="40"/>
      <c r="CH491" s="40"/>
      <c r="CI491" s="40"/>
      <c r="CJ491" s="40"/>
      <c r="CK491" s="40"/>
      <c r="CL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40"/>
      <c r="CD492" s="40"/>
      <c r="CE492" s="40"/>
      <c r="CF492" s="40"/>
      <c r="CG492" s="40"/>
      <c r="CH492" s="40"/>
      <c r="CI492" s="40"/>
      <c r="CJ492" s="40"/>
      <c r="CK492" s="40"/>
      <c r="CL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40"/>
      <c r="CD493" s="40"/>
      <c r="CE493" s="40"/>
      <c r="CF493" s="40"/>
      <c r="CG493" s="40"/>
      <c r="CH493" s="40"/>
      <c r="CI493" s="40"/>
      <c r="CJ493" s="40"/>
      <c r="CK493" s="40"/>
      <c r="CL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40"/>
      <c r="CD494" s="40"/>
      <c r="CE494" s="40"/>
      <c r="CF494" s="40"/>
      <c r="CG494" s="40"/>
      <c r="CH494" s="40"/>
      <c r="CI494" s="40"/>
      <c r="CJ494" s="40"/>
      <c r="CK494" s="40"/>
      <c r="CL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40"/>
      <c r="CD495" s="40"/>
      <c r="CE495" s="40"/>
      <c r="CF495" s="40"/>
      <c r="CG495" s="40"/>
      <c r="CH495" s="40"/>
      <c r="CI495" s="40"/>
      <c r="CJ495" s="40"/>
      <c r="CK495" s="40"/>
      <c r="CL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40"/>
      <c r="CD496" s="40"/>
      <c r="CE496" s="40"/>
      <c r="CF496" s="40"/>
      <c r="CG496" s="40"/>
      <c r="CH496" s="40"/>
      <c r="CI496" s="40"/>
      <c r="CJ496" s="40"/>
      <c r="CK496" s="40"/>
      <c r="CL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40"/>
      <c r="CD497" s="40"/>
      <c r="CE497" s="40"/>
      <c r="CF497" s="40"/>
      <c r="CG497" s="40"/>
      <c r="CH497" s="40"/>
      <c r="CI497" s="40"/>
      <c r="CJ497" s="40"/>
      <c r="CK497" s="40"/>
      <c r="CL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40"/>
      <c r="CD498" s="40"/>
      <c r="CE498" s="40"/>
      <c r="CF498" s="40"/>
      <c r="CG498" s="40"/>
      <c r="CH498" s="40"/>
      <c r="CI498" s="40"/>
      <c r="CJ498" s="40"/>
      <c r="CK498" s="40"/>
      <c r="CL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40"/>
      <c r="CD499" s="40"/>
      <c r="CE499" s="40"/>
      <c r="CF499" s="40"/>
      <c r="CG499" s="40"/>
      <c r="CH499" s="40"/>
      <c r="CI499" s="40"/>
      <c r="CJ499" s="40"/>
      <c r="CK499" s="40"/>
      <c r="CL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40"/>
      <c r="CD500" s="40"/>
      <c r="CE500" s="40"/>
      <c r="CF500" s="40"/>
      <c r="CG500" s="40"/>
      <c r="CH500" s="40"/>
      <c r="CI500" s="40"/>
      <c r="CJ500" s="40"/>
      <c r="CK500" s="40"/>
      <c r="CL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40"/>
      <c r="CD501" s="40"/>
      <c r="CE501" s="40"/>
      <c r="CF501" s="40"/>
      <c r="CG501" s="40"/>
      <c r="CH501" s="40"/>
      <c r="CI501" s="40"/>
      <c r="CJ501" s="40"/>
      <c r="CK501" s="40"/>
      <c r="CL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40"/>
      <c r="CD502" s="40"/>
      <c r="CE502" s="40"/>
      <c r="CF502" s="40"/>
      <c r="CG502" s="40"/>
      <c r="CH502" s="40"/>
      <c r="CI502" s="40"/>
      <c r="CJ502" s="40"/>
      <c r="CK502" s="40"/>
      <c r="CL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40"/>
      <c r="CD503" s="40"/>
      <c r="CE503" s="40"/>
      <c r="CF503" s="40"/>
      <c r="CG503" s="40"/>
      <c r="CH503" s="40"/>
      <c r="CI503" s="40"/>
      <c r="CJ503" s="40"/>
      <c r="CK503" s="40"/>
      <c r="CL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40"/>
      <c r="CD504" s="40"/>
      <c r="CE504" s="40"/>
      <c r="CF504" s="40"/>
      <c r="CG504" s="40"/>
      <c r="CH504" s="40"/>
      <c r="CI504" s="40"/>
      <c r="CJ504" s="40"/>
      <c r="CK504" s="40"/>
      <c r="CL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40"/>
      <c r="CD505" s="40"/>
      <c r="CE505" s="40"/>
      <c r="CF505" s="40"/>
      <c r="CG505" s="40"/>
      <c r="CH505" s="40"/>
      <c r="CI505" s="40"/>
      <c r="CJ505" s="40"/>
      <c r="CK505" s="40"/>
      <c r="CL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40"/>
      <c r="CD506" s="40"/>
      <c r="CE506" s="40"/>
      <c r="CF506" s="40"/>
      <c r="CG506" s="40"/>
      <c r="CH506" s="40"/>
      <c r="CI506" s="40"/>
      <c r="CJ506" s="40"/>
      <c r="CK506" s="40"/>
      <c r="CL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40"/>
      <c r="CD507" s="40"/>
      <c r="CE507" s="40"/>
      <c r="CF507" s="40"/>
      <c r="CG507" s="40"/>
      <c r="CH507" s="40"/>
      <c r="CI507" s="40"/>
      <c r="CJ507" s="40"/>
      <c r="CK507" s="40"/>
      <c r="CL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40"/>
      <c r="CD508" s="40"/>
      <c r="CE508" s="40"/>
      <c r="CF508" s="40"/>
      <c r="CG508" s="40"/>
      <c r="CH508" s="40"/>
      <c r="CI508" s="40"/>
      <c r="CJ508" s="40"/>
      <c r="CK508" s="40"/>
      <c r="CL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40"/>
      <c r="CD509" s="40"/>
      <c r="CE509" s="40"/>
      <c r="CF509" s="40"/>
      <c r="CG509" s="40"/>
      <c r="CH509" s="40"/>
      <c r="CI509" s="40"/>
      <c r="CJ509" s="40"/>
      <c r="CK509" s="40"/>
      <c r="CL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40"/>
      <c r="CD510" s="40"/>
      <c r="CE510" s="40"/>
      <c r="CF510" s="40"/>
      <c r="CG510" s="40"/>
      <c r="CH510" s="40"/>
      <c r="CI510" s="40"/>
      <c r="CJ510" s="40"/>
      <c r="CK510" s="40"/>
      <c r="CL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40"/>
      <c r="CD511" s="40"/>
      <c r="CE511" s="40"/>
      <c r="CF511" s="40"/>
      <c r="CG511" s="40"/>
      <c r="CH511" s="40"/>
      <c r="CI511" s="40"/>
      <c r="CJ511" s="40"/>
      <c r="CK511" s="40"/>
      <c r="CL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40"/>
      <c r="CD512" s="40"/>
      <c r="CE512" s="40"/>
      <c r="CF512" s="40"/>
      <c r="CG512" s="40"/>
      <c r="CH512" s="40"/>
      <c r="CI512" s="40"/>
      <c r="CJ512" s="40"/>
      <c r="CK512" s="40"/>
      <c r="CL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40"/>
      <c r="CD513" s="40"/>
      <c r="CE513" s="40"/>
      <c r="CF513" s="40"/>
      <c r="CG513" s="40"/>
      <c r="CH513" s="40"/>
      <c r="CI513" s="40"/>
      <c r="CJ513" s="40"/>
      <c r="CK513" s="40"/>
      <c r="CL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40"/>
      <c r="CD514" s="40"/>
      <c r="CE514" s="40"/>
      <c r="CF514" s="40"/>
      <c r="CG514" s="40"/>
      <c r="CH514" s="40"/>
      <c r="CI514" s="40"/>
      <c r="CJ514" s="40"/>
      <c r="CK514" s="40"/>
      <c r="CL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40"/>
      <c r="CD515" s="40"/>
      <c r="CE515" s="40"/>
      <c r="CF515" s="40"/>
      <c r="CG515" s="40"/>
      <c r="CH515" s="40"/>
      <c r="CI515" s="40"/>
      <c r="CJ515" s="40"/>
      <c r="CK515" s="40"/>
      <c r="CL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40"/>
      <c r="CD516" s="40"/>
      <c r="CE516" s="40"/>
      <c r="CF516" s="40"/>
      <c r="CG516" s="40"/>
      <c r="CH516" s="40"/>
      <c r="CI516" s="40"/>
      <c r="CJ516" s="40"/>
      <c r="CK516" s="40"/>
      <c r="CL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40"/>
      <c r="CD517" s="40"/>
      <c r="CE517" s="40"/>
      <c r="CF517" s="40"/>
      <c r="CG517" s="40"/>
      <c r="CH517" s="40"/>
      <c r="CI517" s="40"/>
      <c r="CJ517" s="40"/>
      <c r="CK517" s="40"/>
      <c r="CL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40"/>
      <c r="CD518" s="40"/>
      <c r="CE518" s="40"/>
      <c r="CF518" s="40"/>
      <c r="CG518" s="40"/>
      <c r="CH518" s="40"/>
      <c r="CI518" s="40"/>
      <c r="CJ518" s="40"/>
      <c r="CK518" s="40"/>
      <c r="CL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40"/>
      <c r="CD519" s="40"/>
      <c r="CE519" s="40"/>
      <c r="CF519" s="40"/>
      <c r="CG519" s="40"/>
      <c r="CH519" s="40"/>
      <c r="CI519" s="40"/>
      <c r="CJ519" s="40"/>
      <c r="CK519" s="40"/>
      <c r="CL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40"/>
      <c r="CD520" s="40"/>
      <c r="CE520" s="40"/>
      <c r="CF520" s="40"/>
      <c r="CG520" s="40"/>
      <c r="CH520" s="40"/>
      <c r="CI520" s="40"/>
      <c r="CJ520" s="40"/>
      <c r="CK520" s="40"/>
      <c r="CL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40"/>
      <c r="CD521" s="40"/>
      <c r="CE521" s="40"/>
      <c r="CF521" s="40"/>
      <c r="CG521" s="40"/>
      <c r="CH521" s="40"/>
      <c r="CI521" s="40"/>
      <c r="CJ521" s="40"/>
      <c r="CK521" s="40"/>
      <c r="CL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40"/>
      <c r="CD522" s="40"/>
      <c r="CE522" s="40"/>
      <c r="CF522" s="40"/>
      <c r="CG522" s="40"/>
      <c r="CH522" s="40"/>
      <c r="CI522" s="40"/>
      <c r="CJ522" s="40"/>
      <c r="CK522" s="40"/>
      <c r="CL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40"/>
      <c r="CD523" s="40"/>
      <c r="CE523" s="40"/>
      <c r="CF523" s="40"/>
      <c r="CG523" s="40"/>
      <c r="CH523" s="40"/>
      <c r="CI523" s="40"/>
      <c r="CJ523" s="40"/>
      <c r="CK523" s="40"/>
      <c r="CL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40"/>
      <c r="CD524" s="40"/>
      <c r="CE524" s="40"/>
      <c r="CF524" s="40"/>
      <c r="CG524" s="40"/>
      <c r="CH524" s="40"/>
      <c r="CI524" s="40"/>
      <c r="CJ524" s="40"/>
      <c r="CK524" s="40"/>
      <c r="CL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40"/>
      <c r="CD525" s="40"/>
      <c r="CE525" s="40"/>
      <c r="CF525" s="40"/>
      <c r="CG525" s="40"/>
      <c r="CH525" s="40"/>
      <c r="CI525" s="40"/>
      <c r="CJ525" s="40"/>
      <c r="CK525" s="40"/>
      <c r="CL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40"/>
      <c r="CD526" s="40"/>
      <c r="CE526" s="40"/>
      <c r="CF526" s="40"/>
      <c r="CG526" s="40"/>
      <c r="CH526" s="40"/>
      <c r="CI526" s="40"/>
      <c r="CJ526" s="40"/>
      <c r="CK526" s="40"/>
      <c r="CL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40"/>
      <c r="CD527" s="40"/>
      <c r="CE527" s="40"/>
      <c r="CF527" s="40"/>
      <c r="CG527" s="40"/>
      <c r="CH527" s="40"/>
      <c r="CI527" s="40"/>
      <c r="CJ527" s="40"/>
      <c r="CK527" s="40"/>
      <c r="CL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40"/>
      <c r="CD528" s="40"/>
      <c r="CE528" s="40"/>
      <c r="CF528" s="40"/>
      <c r="CG528" s="40"/>
      <c r="CH528" s="40"/>
      <c r="CI528" s="40"/>
      <c r="CJ528" s="40"/>
      <c r="CK528" s="40"/>
      <c r="CL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40"/>
      <c r="CD529" s="40"/>
      <c r="CE529" s="40"/>
      <c r="CF529" s="40"/>
      <c r="CG529" s="40"/>
      <c r="CH529" s="40"/>
      <c r="CI529" s="40"/>
      <c r="CJ529" s="40"/>
      <c r="CK529" s="40"/>
      <c r="CL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40"/>
      <c r="CD530" s="40"/>
      <c r="CE530" s="40"/>
      <c r="CF530" s="40"/>
      <c r="CG530" s="40"/>
      <c r="CH530" s="40"/>
      <c r="CI530" s="40"/>
      <c r="CJ530" s="40"/>
      <c r="CK530" s="40"/>
      <c r="CL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40"/>
      <c r="CD531" s="40"/>
      <c r="CE531" s="40"/>
      <c r="CF531" s="40"/>
      <c r="CG531" s="40"/>
      <c r="CH531" s="40"/>
      <c r="CI531" s="40"/>
      <c r="CJ531" s="40"/>
      <c r="CK531" s="40"/>
      <c r="CL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40"/>
      <c r="CD532" s="40"/>
      <c r="CE532" s="40"/>
      <c r="CF532" s="40"/>
      <c r="CG532" s="40"/>
      <c r="CH532" s="40"/>
      <c r="CI532" s="40"/>
      <c r="CJ532" s="40"/>
      <c r="CK532" s="40"/>
      <c r="CL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40"/>
      <c r="CD533" s="40"/>
      <c r="CE533" s="40"/>
      <c r="CF533" s="40"/>
      <c r="CG533" s="40"/>
      <c r="CH533" s="40"/>
      <c r="CI533" s="40"/>
      <c r="CJ533" s="40"/>
      <c r="CK533" s="40"/>
      <c r="CL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40"/>
      <c r="CD534" s="40"/>
      <c r="CE534" s="40"/>
      <c r="CF534" s="40"/>
      <c r="CG534" s="40"/>
      <c r="CH534" s="40"/>
      <c r="CI534" s="40"/>
      <c r="CJ534" s="40"/>
      <c r="CK534" s="40"/>
      <c r="CL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40"/>
      <c r="CD535" s="40"/>
      <c r="CE535" s="40"/>
      <c r="CF535" s="40"/>
      <c r="CG535" s="40"/>
      <c r="CH535" s="40"/>
      <c r="CI535" s="40"/>
      <c r="CJ535" s="40"/>
      <c r="CK535" s="40"/>
      <c r="CL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40"/>
      <c r="CD536" s="40"/>
      <c r="CE536" s="40"/>
      <c r="CF536" s="40"/>
      <c r="CG536" s="40"/>
      <c r="CH536" s="40"/>
      <c r="CI536" s="40"/>
      <c r="CJ536" s="40"/>
      <c r="CK536" s="40"/>
      <c r="CL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40"/>
      <c r="CD537" s="40"/>
      <c r="CE537" s="40"/>
      <c r="CF537" s="40"/>
      <c r="CG537" s="40"/>
      <c r="CH537" s="40"/>
      <c r="CI537" s="40"/>
      <c r="CJ537" s="40"/>
      <c r="CK537" s="40"/>
      <c r="CL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40"/>
      <c r="CD538" s="40"/>
      <c r="CE538" s="40"/>
      <c r="CF538" s="40"/>
      <c r="CG538" s="40"/>
      <c r="CH538" s="40"/>
      <c r="CI538" s="40"/>
      <c r="CJ538" s="40"/>
      <c r="CK538" s="40"/>
      <c r="CL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40"/>
      <c r="CD539" s="40"/>
      <c r="CE539" s="40"/>
      <c r="CF539" s="40"/>
      <c r="CG539" s="40"/>
      <c r="CH539" s="40"/>
      <c r="CI539" s="40"/>
      <c r="CJ539" s="40"/>
      <c r="CK539" s="40"/>
      <c r="CL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40"/>
      <c r="CD540" s="40"/>
      <c r="CE540" s="40"/>
      <c r="CF540" s="40"/>
      <c r="CG540" s="40"/>
      <c r="CH540" s="40"/>
      <c r="CI540" s="40"/>
      <c r="CJ540" s="40"/>
      <c r="CK540" s="40"/>
      <c r="CL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40"/>
      <c r="CD541" s="40"/>
      <c r="CE541" s="40"/>
      <c r="CF541" s="40"/>
      <c r="CG541" s="40"/>
      <c r="CH541" s="40"/>
      <c r="CI541" s="40"/>
      <c r="CJ541" s="40"/>
      <c r="CK541" s="40"/>
      <c r="CL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40"/>
      <c r="CD542" s="40"/>
      <c r="CE542" s="40"/>
      <c r="CF542" s="40"/>
      <c r="CG542" s="40"/>
      <c r="CH542" s="40"/>
      <c r="CI542" s="40"/>
      <c r="CJ542" s="40"/>
      <c r="CK542" s="40"/>
      <c r="CL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40"/>
      <c r="CD543" s="40"/>
      <c r="CE543" s="40"/>
      <c r="CF543" s="40"/>
      <c r="CG543" s="40"/>
      <c r="CH543" s="40"/>
      <c r="CI543" s="40"/>
      <c r="CJ543" s="40"/>
      <c r="CK543" s="40"/>
      <c r="CL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40"/>
      <c r="CD544" s="40"/>
      <c r="CE544" s="40"/>
      <c r="CF544" s="40"/>
      <c r="CG544" s="40"/>
      <c r="CH544" s="40"/>
      <c r="CI544" s="40"/>
      <c r="CJ544" s="40"/>
      <c r="CK544" s="40"/>
      <c r="CL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40"/>
      <c r="CD545" s="40"/>
      <c r="CE545" s="40"/>
      <c r="CF545" s="40"/>
      <c r="CG545" s="40"/>
      <c r="CH545" s="40"/>
      <c r="CI545" s="40"/>
      <c r="CJ545" s="40"/>
      <c r="CK545" s="40"/>
      <c r="CL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40"/>
      <c r="CD546" s="40"/>
      <c r="CE546" s="40"/>
      <c r="CF546" s="40"/>
      <c r="CG546" s="40"/>
      <c r="CH546" s="40"/>
      <c r="CI546" s="40"/>
      <c r="CJ546" s="40"/>
      <c r="CK546" s="40"/>
      <c r="CL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40"/>
      <c r="CD547" s="40"/>
      <c r="CE547" s="40"/>
      <c r="CF547" s="40"/>
      <c r="CG547" s="40"/>
      <c r="CH547" s="40"/>
      <c r="CI547" s="40"/>
      <c r="CJ547" s="40"/>
      <c r="CK547" s="40"/>
      <c r="CL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40"/>
      <c r="CD548" s="40"/>
      <c r="CE548" s="40"/>
      <c r="CF548" s="40"/>
      <c r="CG548" s="40"/>
      <c r="CH548" s="40"/>
      <c r="CI548" s="40"/>
      <c r="CJ548" s="40"/>
      <c r="CK548" s="40"/>
      <c r="CL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40"/>
      <c r="CD549" s="40"/>
      <c r="CE549" s="40"/>
      <c r="CF549" s="40"/>
      <c r="CG549" s="40"/>
      <c r="CH549" s="40"/>
      <c r="CI549" s="40"/>
      <c r="CJ549" s="40"/>
      <c r="CK549" s="40"/>
      <c r="CL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40"/>
      <c r="CD550" s="40"/>
      <c r="CE550" s="40"/>
      <c r="CF550" s="40"/>
      <c r="CG550" s="40"/>
      <c r="CH550" s="40"/>
      <c r="CI550" s="40"/>
      <c r="CJ550" s="40"/>
      <c r="CK550" s="40"/>
      <c r="CL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40"/>
      <c r="CD551" s="40"/>
      <c r="CE551" s="40"/>
      <c r="CF551" s="40"/>
      <c r="CG551" s="40"/>
      <c r="CH551" s="40"/>
      <c r="CI551" s="40"/>
      <c r="CJ551" s="40"/>
      <c r="CK551" s="40"/>
      <c r="CL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40"/>
      <c r="CD552" s="40"/>
      <c r="CE552" s="40"/>
      <c r="CF552" s="40"/>
      <c r="CG552" s="40"/>
      <c r="CH552" s="40"/>
      <c r="CI552" s="40"/>
      <c r="CJ552" s="40"/>
      <c r="CK552" s="40"/>
      <c r="CL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40"/>
      <c r="CD553" s="40"/>
      <c r="CE553" s="40"/>
      <c r="CF553" s="40"/>
      <c r="CG553" s="40"/>
      <c r="CH553" s="40"/>
      <c r="CI553" s="40"/>
      <c r="CJ553" s="40"/>
      <c r="CK553" s="40"/>
      <c r="CL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40"/>
      <c r="CD554" s="40"/>
      <c r="CE554" s="40"/>
      <c r="CF554" s="40"/>
      <c r="CG554" s="40"/>
      <c r="CH554" s="40"/>
      <c r="CI554" s="40"/>
      <c r="CJ554" s="40"/>
      <c r="CK554" s="40"/>
      <c r="CL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40"/>
      <c r="CD555" s="40"/>
      <c r="CE555" s="40"/>
      <c r="CF555" s="40"/>
      <c r="CG555" s="40"/>
      <c r="CH555" s="40"/>
      <c r="CI555" s="40"/>
      <c r="CJ555" s="40"/>
      <c r="CK555" s="40"/>
      <c r="CL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40"/>
      <c r="CD556" s="40"/>
      <c r="CE556" s="40"/>
      <c r="CF556" s="40"/>
      <c r="CG556" s="40"/>
      <c r="CH556" s="40"/>
      <c r="CI556" s="40"/>
      <c r="CJ556" s="40"/>
      <c r="CK556" s="40"/>
      <c r="CL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40"/>
      <c r="CD557" s="40"/>
      <c r="CE557" s="40"/>
      <c r="CF557" s="40"/>
      <c r="CG557" s="40"/>
      <c r="CH557" s="40"/>
      <c r="CI557" s="40"/>
      <c r="CJ557" s="40"/>
      <c r="CK557" s="40"/>
      <c r="CL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40"/>
      <c r="CD558" s="40"/>
      <c r="CE558" s="40"/>
      <c r="CF558" s="40"/>
      <c r="CG558" s="40"/>
      <c r="CH558" s="40"/>
      <c r="CI558" s="40"/>
      <c r="CJ558" s="40"/>
      <c r="CK558" s="40"/>
      <c r="CL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40"/>
      <c r="CD559" s="40"/>
      <c r="CE559" s="40"/>
      <c r="CF559" s="40"/>
      <c r="CG559" s="40"/>
      <c r="CH559" s="40"/>
      <c r="CI559" s="40"/>
      <c r="CJ559" s="40"/>
      <c r="CK559" s="40"/>
      <c r="CL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40"/>
      <c r="CD560" s="40"/>
      <c r="CE560" s="40"/>
      <c r="CF560" s="40"/>
      <c r="CG560" s="40"/>
      <c r="CH560" s="40"/>
      <c r="CI560" s="40"/>
      <c r="CJ560" s="40"/>
      <c r="CK560" s="40"/>
      <c r="CL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40"/>
      <c r="CD561" s="40"/>
      <c r="CE561" s="40"/>
      <c r="CF561" s="40"/>
      <c r="CG561" s="40"/>
      <c r="CH561" s="40"/>
      <c r="CI561" s="40"/>
      <c r="CJ561" s="40"/>
      <c r="CK561" s="40"/>
      <c r="CL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40"/>
      <c r="CD562" s="40"/>
      <c r="CE562" s="40"/>
      <c r="CF562" s="40"/>
      <c r="CG562" s="40"/>
      <c r="CH562" s="40"/>
      <c r="CI562" s="40"/>
      <c r="CJ562" s="40"/>
      <c r="CK562" s="40"/>
      <c r="CL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40"/>
      <c r="CD563" s="40"/>
      <c r="CE563" s="40"/>
      <c r="CF563" s="40"/>
      <c r="CG563" s="40"/>
      <c r="CH563" s="40"/>
      <c r="CI563" s="40"/>
      <c r="CJ563" s="40"/>
      <c r="CK563" s="40"/>
      <c r="CL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40"/>
      <c r="CD564" s="40"/>
      <c r="CE564" s="40"/>
      <c r="CF564" s="40"/>
      <c r="CG564" s="40"/>
      <c r="CH564" s="40"/>
      <c r="CI564" s="40"/>
      <c r="CJ564" s="40"/>
      <c r="CK564" s="40"/>
      <c r="CL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40"/>
      <c r="CD565" s="40"/>
      <c r="CE565" s="40"/>
      <c r="CF565" s="40"/>
      <c r="CG565" s="40"/>
      <c r="CH565" s="40"/>
      <c r="CI565" s="40"/>
      <c r="CJ565" s="40"/>
      <c r="CK565" s="40"/>
      <c r="CL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40"/>
      <c r="CD566" s="40"/>
      <c r="CE566" s="40"/>
      <c r="CF566" s="40"/>
      <c r="CG566" s="40"/>
      <c r="CH566" s="40"/>
      <c r="CI566" s="40"/>
      <c r="CJ566" s="40"/>
      <c r="CK566" s="40"/>
      <c r="CL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40"/>
      <c r="CD567" s="40"/>
      <c r="CE567" s="40"/>
      <c r="CF567" s="40"/>
      <c r="CG567" s="40"/>
      <c r="CH567" s="40"/>
      <c r="CI567" s="40"/>
      <c r="CJ567" s="40"/>
      <c r="CK567" s="40"/>
      <c r="CL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40"/>
      <c r="CD568" s="40"/>
      <c r="CE568" s="40"/>
      <c r="CF568" s="40"/>
      <c r="CG568" s="40"/>
      <c r="CH568" s="40"/>
      <c r="CI568" s="40"/>
      <c r="CJ568" s="40"/>
      <c r="CK568" s="40"/>
      <c r="CL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40"/>
      <c r="CD569" s="40"/>
      <c r="CE569" s="40"/>
      <c r="CF569" s="40"/>
      <c r="CG569" s="40"/>
      <c r="CH569" s="40"/>
      <c r="CI569" s="40"/>
      <c r="CJ569" s="40"/>
      <c r="CK569" s="40"/>
      <c r="CL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40"/>
      <c r="CD570" s="40"/>
      <c r="CE570" s="40"/>
      <c r="CF570" s="40"/>
      <c r="CG570" s="40"/>
      <c r="CH570" s="40"/>
      <c r="CI570" s="40"/>
      <c r="CJ570" s="40"/>
      <c r="CK570" s="40"/>
      <c r="CL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40"/>
      <c r="CD571" s="40"/>
      <c r="CE571" s="40"/>
      <c r="CF571" s="40"/>
      <c r="CG571" s="40"/>
      <c r="CH571" s="40"/>
      <c r="CI571" s="40"/>
      <c r="CJ571" s="40"/>
      <c r="CK571" s="40"/>
      <c r="CL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40"/>
      <c r="CD572" s="40"/>
      <c r="CE572" s="40"/>
      <c r="CF572" s="40"/>
      <c r="CG572" s="40"/>
      <c r="CH572" s="40"/>
      <c r="CI572" s="40"/>
      <c r="CJ572" s="40"/>
      <c r="CK572" s="40"/>
      <c r="CL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40"/>
      <c r="CD573" s="40"/>
      <c r="CE573" s="40"/>
      <c r="CF573" s="40"/>
      <c r="CG573" s="40"/>
      <c r="CH573" s="40"/>
      <c r="CI573" s="40"/>
      <c r="CJ573" s="40"/>
      <c r="CK573" s="40"/>
      <c r="CL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40"/>
      <c r="CD574" s="40"/>
      <c r="CE574" s="40"/>
      <c r="CF574" s="40"/>
      <c r="CG574" s="40"/>
      <c r="CH574" s="40"/>
      <c r="CI574" s="40"/>
      <c r="CJ574" s="40"/>
      <c r="CK574" s="40"/>
      <c r="CL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40"/>
      <c r="CD575" s="40"/>
      <c r="CE575" s="40"/>
      <c r="CF575" s="40"/>
      <c r="CG575" s="40"/>
      <c r="CH575" s="40"/>
      <c r="CI575" s="40"/>
      <c r="CJ575" s="40"/>
      <c r="CK575" s="40"/>
      <c r="CL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40"/>
      <c r="CD576" s="40"/>
      <c r="CE576" s="40"/>
      <c r="CF576" s="40"/>
      <c r="CG576" s="40"/>
      <c r="CH576" s="40"/>
      <c r="CI576" s="40"/>
      <c r="CJ576" s="40"/>
      <c r="CK576" s="40"/>
      <c r="CL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40"/>
      <c r="CD577" s="40"/>
      <c r="CE577" s="40"/>
      <c r="CF577" s="40"/>
      <c r="CG577" s="40"/>
      <c r="CH577" s="40"/>
      <c r="CI577" s="40"/>
      <c r="CJ577" s="40"/>
      <c r="CK577" s="40"/>
      <c r="CL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40"/>
      <c r="CD578" s="40"/>
      <c r="CE578" s="40"/>
      <c r="CF578" s="40"/>
      <c r="CG578" s="40"/>
      <c r="CH578" s="40"/>
      <c r="CI578" s="40"/>
      <c r="CJ578" s="40"/>
      <c r="CK578" s="40"/>
      <c r="CL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40"/>
      <c r="CD579" s="40"/>
      <c r="CE579" s="40"/>
      <c r="CF579" s="40"/>
      <c r="CG579" s="40"/>
      <c r="CH579" s="40"/>
      <c r="CI579" s="40"/>
      <c r="CJ579" s="40"/>
      <c r="CK579" s="40"/>
      <c r="CL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40"/>
      <c r="CD580" s="40"/>
      <c r="CE580" s="40"/>
      <c r="CF580" s="40"/>
      <c r="CG580" s="40"/>
      <c r="CH580" s="40"/>
      <c r="CI580" s="40"/>
      <c r="CJ580" s="40"/>
      <c r="CK580" s="40"/>
      <c r="CL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40"/>
      <c r="CD581" s="40"/>
      <c r="CE581" s="40"/>
      <c r="CF581" s="40"/>
      <c r="CG581" s="40"/>
      <c r="CH581" s="40"/>
      <c r="CI581" s="40"/>
      <c r="CJ581" s="40"/>
      <c r="CK581" s="40"/>
      <c r="CL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40"/>
      <c r="CD582" s="40"/>
      <c r="CE582" s="40"/>
      <c r="CF582" s="40"/>
      <c r="CG582" s="40"/>
      <c r="CH582" s="40"/>
      <c r="CI582" s="40"/>
      <c r="CJ582" s="40"/>
      <c r="CK582" s="40"/>
      <c r="CL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40"/>
      <c r="CD583" s="40"/>
      <c r="CE583" s="40"/>
      <c r="CF583" s="40"/>
      <c r="CG583" s="40"/>
      <c r="CH583" s="40"/>
      <c r="CI583" s="40"/>
      <c r="CJ583" s="40"/>
      <c r="CK583" s="40"/>
      <c r="CL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40"/>
      <c r="CD584" s="40"/>
      <c r="CE584" s="40"/>
      <c r="CF584" s="40"/>
      <c r="CG584" s="40"/>
      <c r="CH584" s="40"/>
      <c r="CI584" s="40"/>
      <c r="CJ584" s="40"/>
      <c r="CK584" s="40"/>
      <c r="CL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40"/>
      <c r="CD585" s="40"/>
      <c r="CE585" s="40"/>
      <c r="CF585" s="40"/>
      <c r="CG585" s="40"/>
      <c r="CH585" s="40"/>
      <c r="CI585" s="40"/>
      <c r="CJ585" s="40"/>
      <c r="CK585" s="40"/>
      <c r="CL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40"/>
      <c r="CD586" s="40"/>
      <c r="CE586" s="40"/>
      <c r="CF586" s="40"/>
      <c r="CG586" s="40"/>
      <c r="CH586" s="40"/>
      <c r="CI586" s="40"/>
      <c r="CJ586" s="40"/>
      <c r="CK586" s="40"/>
      <c r="CL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40"/>
      <c r="CD587" s="40"/>
      <c r="CE587" s="40"/>
      <c r="CF587" s="40"/>
      <c r="CG587" s="40"/>
      <c r="CH587" s="40"/>
      <c r="CI587" s="40"/>
      <c r="CJ587" s="40"/>
      <c r="CK587" s="40"/>
      <c r="CL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40"/>
      <c r="CD588" s="40"/>
      <c r="CE588" s="40"/>
      <c r="CF588" s="40"/>
      <c r="CG588" s="40"/>
      <c r="CH588" s="40"/>
      <c r="CI588" s="40"/>
      <c r="CJ588" s="40"/>
      <c r="CK588" s="40"/>
      <c r="CL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40"/>
      <c r="CD589" s="40"/>
      <c r="CE589" s="40"/>
      <c r="CF589" s="40"/>
      <c r="CG589" s="40"/>
      <c r="CH589" s="40"/>
      <c r="CI589" s="40"/>
      <c r="CJ589" s="40"/>
      <c r="CK589" s="40"/>
      <c r="CL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40"/>
      <c r="CD590" s="40"/>
      <c r="CE590" s="40"/>
      <c r="CF590" s="40"/>
      <c r="CG590" s="40"/>
      <c r="CH590" s="40"/>
      <c r="CI590" s="40"/>
      <c r="CJ590" s="40"/>
      <c r="CK590" s="40"/>
      <c r="CL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40"/>
      <c r="CD591" s="40"/>
      <c r="CE591" s="40"/>
      <c r="CF591" s="40"/>
      <c r="CG591" s="40"/>
      <c r="CH591" s="40"/>
      <c r="CI591" s="40"/>
      <c r="CJ591" s="40"/>
      <c r="CK591" s="40"/>
      <c r="CL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40"/>
      <c r="CD592" s="40"/>
      <c r="CE592" s="40"/>
      <c r="CF592" s="40"/>
      <c r="CG592" s="40"/>
      <c r="CH592" s="40"/>
      <c r="CI592" s="40"/>
      <c r="CJ592" s="40"/>
      <c r="CK592" s="40"/>
      <c r="CL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40"/>
      <c r="CD593" s="40"/>
      <c r="CE593" s="40"/>
      <c r="CF593" s="40"/>
      <c r="CG593" s="40"/>
      <c r="CH593" s="40"/>
      <c r="CI593" s="40"/>
      <c r="CJ593" s="40"/>
      <c r="CK593" s="40"/>
      <c r="CL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40"/>
      <c r="CD594" s="40"/>
      <c r="CE594" s="40"/>
      <c r="CF594" s="40"/>
      <c r="CG594" s="40"/>
      <c r="CH594" s="40"/>
      <c r="CI594" s="40"/>
      <c r="CJ594" s="40"/>
      <c r="CK594" s="40"/>
      <c r="CL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40"/>
      <c r="CD595" s="40"/>
      <c r="CE595" s="40"/>
      <c r="CF595" s="40"/>
      <c r="CG595" s="40"/>
      <c r="CH595" s="40"/>
      <c r="CI595" s="40"/>
      <c r="CJ595" s="40"/>
      <c r="CK595" s="40"/>
      <c r="CL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40"/>
      <c r="CD596" s="40"/>
      <c r="CE596" s="40"/>
      <c r="CF596" s="40"/>
      <c r="CG596" s="40"/>
      <c r="CH596" s="40"/>
      <c r="CI596" s="40"/>
      <c r="CJ596" s="40"/>
      <c r="CK596" s="40"/>
      <c r="CL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40"/>
      <c r="CD597" s="40"/>
      <c r="CE597" s="40"/>
      <c r="CF597" s="40"/>
      <c r="CG597" s="40"/>
      <c r="CH597" s="40"/>
      <c r="CI597" s="40"/>
      <c r="CJ597" s="40"/>
      <c r="CK597" s="40"/>
      <c r="CL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40"/>
      <c r="CD598" s="40"/>
      <c r="CE598" s="40"/>
      <c r="CF598" s="40"/>
      <c r="CG598" s="40"/>
      <c r="CH598" s="40"/>
      <c r="CI598" s="40"/>
      <c r="CJ598" s="40"/>
      <c r="CK598" s="40"/>
      <c r="CL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40"/>
      <c r="CD599" s="40"/>
      <c r="CE599" s="40"/>
      <c r="CF599" s="40"/>
      <c r="CG599" s="40"/>
      <c r="CH599" s="40"/>
      <c r="CI599" s="40"/>
      <c r="CJ599" s="40"/>
      <c r="CK599" s="40"/>
      <c r="CL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40"/>
      <c r="CD600" s="40"/>
      <c r="CE600" s="40"/>
      <c r="CF600" s="40"/>
      <c r="CG600" s="40"/>
      <c r="CH600" s="40"/>
      <c r="CI600" s="40"/>
      <c r="CJ600" s="40"/>
      <c r="CK600" s="40"/>
      <c r="CL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40"/>
      <c r="CD601" s="40"/>
      <c r="CE601" s="40"/>
      <c r="CF601" s="40"/>
      <c r="CG601" s="40"/>
      <c r="CH601" s="40"/>
      <c r="CI601" s="40"/>
      <c r="CJ601" s="40"/>
      <c r="CK601" s="40"/>
      <c r="CL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40"/>
      <c r="CD602" s="40"/>
      <c r="CE602" s="40"/>
      <c r="CF602" s="40"/>
      <c r="CG602" s="40"/>
      <c r="CH602" s="40"/>
      <c r="CI602" s="40"/>
      <c r="CJ602" s="40"/>
      <c r="CK602" s="40"/>
      <c r="CL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40"/>
      <c r="CD603" s="40"/>
      <c r="CE603" s="40"/>
      <c r="CF603" s="40"/>
      <c r="CG603" s="40"/>
      <c r="CH603" s="40"/>
      <c r="CI603" s="40"/>
      <c r="CJ603" s="40"/>
      <c r="CK603" s="40"/>
      <c r="CL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40"/>
      <c r="CD604" s="40"/>
      <c r="CE604" s="40"/>
      <c r="CF604" s="40"/>
      <c r="CG604" s="40"/>
      <c r="CH604" s="40"/>
      <c r="CI604" s="40"/>
      <c r="CJ604" s="40"/>
      <c r="CK604" s="40"/>
      <c r="CL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40"/>
      <c r="CD605" s="40"/>
      <c r="CE605" s="40"/>
      <c r="CF605" s="40"/>
      <c r="CG605" s="40"/>
      <c r="CH605" s="40"/>
      <c r="CI605" s="40"/>
      <c r="CJ605" s="40"/>
      <c r="CK605" s="40"/>
      <c r="CL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40"/>
      <c r="CD606" s="40"/>
      <c r="CE606" s="40"/>
      <c r="CF606" s="40"/>
      <c r="CG606" s="40"/>
      <c r="CH606" s="40"/>
      <c r="CI606" s="40"/>
      <c r="CJ606" s="40"/>
      <c r="CK606" s="40"/>
      <c r="CL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40"/>
      <c r="CD607" s="40"/>
      <c r="CE607" s="40"/>
      <c r="CF607" s="40"/>
      <c r="CG607" s="40"/>
      <c r="CH607" s="40"/>
      <c r="CI607" s="40"/>
      <c r="CJ607" s="40"/>
      <c r="CK607" s="40"/>
      <c r="CL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40"/>
      <c r="CD608" s="40"/>
      <c r="CE608" s="40"/>
      <c r="CF608" s="40"/>
      <c r="CG608" s="40"/>
      <c r="CH608" s="40"/>
      <c r="CI608" s="40"/>
      <c r="CJ608" s="40"/>
      <c r="CK608" s="40"/>
      <c r="CL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40"/>
      <c r="CD609" s="40"/>
      <c r="CE609" s="40"/>
      <c r="CF609" s="40"/>
      <c r="CG609" s="40"/>
      <c r="CH609" s="40"/>
      <c r="CI609" s="40"/>
      <c r="CJ609" s="40"/>
      <c r="CK609" s="40"/>
      <c r="CL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40"/>
      <c r="CD610" s="40"/>
      <c r="CE610" s="40"/>
      <c r="CF610" s="40"/>
      <c r="CG610" s="40"/>
      <c r="CH610" s="40"/>
      <c r="CI610" s="40"/>
      <c r="CJ610" s="40"/>
      <c r="CK610" s="40"/>
      <c r="CL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40"/>
      <c r="CD611" s="40"/>
      <c r="CE611" s="40"/>
      <c r="CF611" s="40"/>
      <c r="CG611" s="40"/>
      <c r="CH611" s="40"/>
      <c r="CI611" s="40"/>
      <c r="CJ611" s="40"/>
      <c r="CK611" s="40"/>
      <c r="CL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40"/>
      <c r="CD612" s="40"/>
      <c r="CE612" s="40"/>
      <c r="CF612" s="40"/>
      <c r="CG612" s="40"/>
      <c r="CH612" s="40"/>
      <c r="CI612" s="40"/>
      <c r="CJ612" s="40"/>
      <c r="CK612" s="40"/>
      <c r="CL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40"/>
      <c r="CD613" s="40"/>
      <c r="CE613" s="40"/>
      <c r="CF613" s="40"/>
      <c r="CG613" s="40"/>
      <c r="CH613" s="40"/>
      <c r="CI613" s="40"/>
      <c r="CJ613" s="40"/>
      <c r="CK613" s="40"/>
      <c r="CL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40"/>
      <c r="CD614" s="40"/>
      <c r="CE614" s="40"/>
      <c r="CF614" s="40"/>
      <c r="CG614" s="40"/>
      <c r="CH614" s="40"/>
      <c r="CI614" s="40"/>
      <c r="CJ614" s="40"/>
      <c r="CK614" s="40"/>
      <c r="CL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40"/>
      <c r="CD615" s="40"/>
      <c r="CE615" s="40"/>
      <c r="CF615" s="40"/>
      <c r="CG615" s="40"/>
      <c r="CH615" s="40"/>
      <c r="CI615" s="40"/>
      <c r="CJ615" s="40"/>
      <c r="CK615" s="40"/>
      <c r="CL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40"/>
      <c r="CD616" s="40"/>
      <c r="CE616" s="40"/>
      <c r="CF616" s="40"/>
      <c r="CG616" s="40"/>
      <c r="CH616" s="40"/>
      <c r="CI616" s="40"/>
      <c r="CJ616" s="40"/>
      <c r="CK616" s="40"/>
      <c r="CL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40"/>
      <c r="CD617" s="40"/>
      <c r="CE617" s="40"/>
      <c r="CF617" s="40"/>
      <c r="CG617" s="40"/>
      <c r="CH617" s="40"/>
      <c r="CI617" s="40"/>
      <c r="CJ617" s="40"/>
      <c r="CK617" s="40"/>
      <c r="CL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40"/>
      <c r="CD618" s="40"/>
      <c r="CE618" s="40"/>
      <c r="CF618" s="40"/>
      <c r="CG618" s="40"/>
      <c r="CH618" s="40"/>
      <c r="CI618" s="40"/>
      <c r="CJ618" s="40"/>
      <c r="CK618" s="40"/>
      <c r="CL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40"/>
      <c r="CD619" s="40"/>
      <c r="CE619" s="40"/>
      <c r="CF619" s="40"/>
      <c r="CG619" s="40"/>
      <c r="CH619" s="40"/>
      <c r="CI619" s="40"/>
      <c r="CJ619" s="40"/>
      <c r="CK619" s="40"/>
      <c r="CL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40"/>
      <c r="CD620" s="40"/>
      <c r="CE620" s="40"/>
      <c r="CF620" s="40"/>
      <c r="CG620" s="40"/>
      <c r="CH620" s="40"/>
      <c r="CI620" s="40"/>
      <c r="CJ620" s="40"/>
      <c r="CK620" s="40"/>
      <c r="CL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40"/>
      <c r="CD621" s="40"/>
      <c r="CE621" s="40"/>
      <c r="CF621" s="40"/>
      <c r="CG621" s="40"/>
      <c r="CH621" s="40"/>
      <c r="CI621" s="40"/>
      <c r="CJ621" s="40"/>
      <c r="CK621" s="40"/>
      <c r="CL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40"/>
      <c r="CD622" s="40"/>
      <c r="CE622" s="40"/>
      <c r="CF622" s="40"/>
      <c r="CG622" s="40"/>
      <c r="CH622" s="40"/>
      <c r="CI622" s="40"/>
      <c r="CJ622" s="40"/>
      <c r="CK622" s="40"/>
      <c r="CL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40"/>
      <c r="CD623" s="40"/>
      <c r="CE623" s="40"/>
      <c r="CF623" s="40"/>
      <c r="CG623" s="40"/>
      <c r="CH623" s="40"/>
      <c r="CI623" s="40"/>
      <c r="CJ623" s="40"/>
      <c r="CK623" s="40"/>
      <c r="CL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40"/>
      <c r="CD624" s="40"/>
      <c r="CE624" s="40"/>
      <c r="CF624" s="40"/>
      <c r="CG624" s="40"/>
      <c r="CH624" s="40"/>
      <c r="CI624" s="40"/>
      <c r="CJ624" s="40"/>
      <c r="CK624" s="40"/>
      <c r="CL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40"/>
      <c r="CD625" s="40"/>
      <c r="CE625" s="40"/>
      <c r="CF625" s="40"/>
      <c r="CG625" s="40"/>
      <c r="CH625" s="40"/>
      <c r="CI625" s="40"/>
      <c r="CJ625" s="40"/>
      <c r="CK625" s="40"/>
      <c r="CL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40"/>
      <c r="CD626" s="40"/>
      <c r="CE626" s="40"/>
      <c r="CF626" s="40"/>
      <c r="CG626" s="40"/>
      <c r="CH626" s="40"/>
      <c r="CI626" s="40"/>
      <c r="CJ626" s="40"/>
      <c r="CK626" s="40"/>
      <c r="CL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40"/>
      <c r="CD627" s="40"/>
      <c r="CE627" s="40"/>
      <c r="CF627" s="40"/>
      <c r="CG627" s="40"/>
      <c r="CH627" s="40"/>
      <c r="CI627" s="40"/>
      <c r="CJ627" s="40"/>
      <c r="CK627" s="40"/>
      <c r="CL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40"/>
      <c r="CD628" s="40"/>
      <c r="CE628" s="40"/>
      <c r="CF628" s="40"/>
      <c r="CG628" s="40"/>
      <c r="CH628" s="40"/>
      <c r="CI628" s="40"/>
      <c r="CJ628" s="40"/>
      <c r="CK628" s="40"/>
      <c r="CL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40"/>
      <c r="CD629" s="40"/>
      <c r="CE629" s="40"/>
      <c r="CF629" s="40"/>
      <c r="CG629" s="40"/>
      <c r="CH629" s="40"/>
      <c r="CI629" s="40"/>
      <c r="CJ629" s="40"/>
      <c r="CK629" s="40"/>
      <c r="CL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40"/>
      <c r="CD630" s="40"/>
      <c r="CE630" s="40"/>
      <c r="CF630" s="40"/>
      <c r="CG630" s="40"/>
      <c r="CH630" s="40"/>
      <c r="CI630" s="40"/>
      <c r="CJ630" s="40"/>
      <c r="CK630" s="40"/>
      <c r="CL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40"/>
      <c r="CD631" s="40"/>
      <c r="CE631" s="40"/>
      <c r="CF631" s="40"/>
      <c r="CG631" s="40"/>
      <c r="CH631" s="40"/>
      <c r="CI631" s="40"/>
      <c r="CJ631" s="40"/>
      <c r="CK631" s="40"/>
      <c r="CL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40"/>
      <c r="CD632" s="40"/>
      <c r="CE632" s="40"/>
      <c r="CF632" s="40"/>
      <c r="CG632" s="40"/>
      <c r="CH632" s="40"/>
      <c r="CI632" s="40"/>
      <c r="CJ632" s="40"/>
      <c r="CK632" s="40"/>
      <c r="CL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40"/>
      <c r="CD633" s="40"/>
      <c r="CE633" s="40"/>
      <c r="CF633" s="40"/>
      <c r="CG633" s="40"/>
      <c r="CH633" s="40"/>
      <c r="CI633" s="40"/>
      <c r="CJ633" s="40"/>
      <c r="CK633" s="40"/>
      <c r="CL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40"/>
      <c r="CD634" s="40"/>
      <c r="CE634" s="40"/>
      <c r="CF634" s="40"/>
      <c r="CG634" s="40"/>
      <c r="CH634" s="40"/>
      <c r="CI634" s="40"/>
      <c r="CJ634" s="40"/>
      <c r="CK634" s="40"/>
      <c r="CL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40"/>
      <c r="CD635" s="40"/>
      <c r="CE635" s="40"/>
      <c r="CF635" s="40"/>
      <c r="CG635" s="40"/>
      <c r="CH635" s="40"/>
      <c r="CI635" s="40"/>
      <c r="CJ635" s="40"/>
      <c r="CK635" s="40"/>
      <c r="CL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40"/>
      <c r="CD636" s="40"/>
      <c r="CE636" s="40"/>
      <c r="CF636" s="40"/>
      <c r="CG636" s="40"/>
      <c r="CH636" s="40"/>
      <c r="CI636" s="40"/>
      <c r="CJ636" s="40"/>
      <c r="CK636" s="40"/>
      <c r="CL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40"/>
      <c r="CD637" s="40"/>
      <c r="CE637" s="40"/>
      <c r="CF637" s="40"/>
      <c r="CG637" s="40"/>
      <c r="CH637" s="40"/>
      <c r="CI637" s="40"/>
      <c r="CJ637" s="40"/>
      <c r="CK637" s="40"/>
      <c r="CL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40"/>
      <c r="CD638" s="40"/>
      <c r="CE638" s="40"/>
      <c r="CF638" s="40"/>
      <c r="CG638" s="40"/>
      <c r="CH638" s="40"/>
      <c r="CI638" s="40"/>
      <c r="CJ638" s="40"/>
      <c r="CK638" s="40"/>
      <c r="CL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40"/>
      <c r="CD639" s="40"/>
      <c r="CE639" s="40"/>
      <c r="CF639" s="40"/>
      <c r="CG639" s="40"/>
      <c r="CH639" s="40"/>
      <c r="CI639" s="40"/>
      <c r="CJ639" s="40"/>
      <c r="CK639" s="40"/>
      <c r="CL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40"/>
      <c r="CD640" s="40"/>
      <c r="CE640" s="40"/>
      <c r="CF640" s="40"/>
      <c r="CG640" s="40"/>
      <c r="CH640" s="40"/>
      <c r="CI640" s="40"/>
      <c r="CJ640" s="40"/>
      <c r="CK640" s="40"/>
      <c r="CL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40"/>
      <c r="CD641" s="40"/>
      <c r="CE641" s="40"/>
      <c r="CF641" s="40"/>
      <c r="CG641" s="40"/>
      <c r="CH641" s="40"/>
      <c r="CI641" s="40"/>
      <c r="CJ641" s="40"/>
      <c r="CK641" s="40"/>
      <c r="CL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40"/>
      <c r="CD642" s="40"/>
      <c r="CE642" s="40"/>
      <c r="CF642" s="40"/>
      <c r="CG642" s="40"/>
      <c r="CH642" s="40"/>
      <c r="CI642" s="40"/>
      <c r="CJ642" s="40"/>
      <c r="CK642" s="40"/>
      <c r="CL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40"/>
      <c r="CD643" s="40"/>
      <c r="CE643" s="40"/>
      <c r="CF643" s="40"/>
      <c r="CG643" s="40"/>
      <c r="CH643" s="40"/>
      <c r="CI643" s="40"/>
      <c r="CJ643" s="40"/>
      <c r="CK643" s="40"/>
      <c r="CL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40"/>
      <c r="CD644" s="40"/>
      <c r="CE644" s="40"/>
      <c r="CF644" s="40"/>
      <c r="CG644" s="40"/>
      <c r="CH644" s="40"/>
      <c r="CI644" s="40"/>
      <c r="CJ644" s="40"/>
      <c r="CK644" s="40"/>
      <c r="CL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40"/>
      <c r="CD645" s="40"/>
      <c r="CE645" s="40"/>
      <c r="CF645" s="40"/>
      <c r="CG645" s="40"/>
      <c r="CH645" s="40"/>
      <c r="CI645" s="40"/>
      <c r="CJ645" s="40"/>
      <c r="CK645" s="40"/>
      <c r="CL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40"/>
      <c r="CD646" s="40"/>
      <c r="CE646" s="40"/>
      <c r="CF646" s="40"/>
      <c r="CG646" s="40"/>
      <c r="CH646" s="40"/>
      <c r="CI646" s="40"/>
      <c r="CJ646" s="40"/>
      <c r="CK646" s="40"/>
      <c r="CL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40"/>
      <c r="CD647" s="40"/>
      <c r="CE647" s="40"/>
      <c r="CF647" s="40"/>
      <c r="CG647" s="40"/>
      <c r="CH647" s="40"/>
      <c r="CI647" s="40"/>
      <c r="CJ647" s="40"/>
      <c r="CK647" s="40"/>
      <c r="CL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40"/>
      <c r="CD648" s="40"/>
      <c r="CE648" s="40"/>
      <c r="CF648" s="40"/>
      <c r="CG648" s="40"/>
      <c r="CH648" s="40"/>
      <c r="CI648" s="40"/>
      <c r="CJ648" s="40"/>
      <c r="CK648" s="40"/>
      <c r="CL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40"/>
      <c r="CD649" s="40"/>
      <c r="CE649" s="40"/>
      <c r="CF649" s="40"/>
      <c r="CG649" s="40"/>
      <c r="CH649" s="40"/>
      <c r="CI649" s="40"/>
      <c r="CJ649" s="40"/>
      <c r="CK649" s="40"/>
      <c r="CL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40"/>
      <c r="CD650" s="40"/>
      <c r="CE650" s="40"/>
      <c r="CF650" s="40"/>
      <c r="CG650" s="40"/>
      <c r="CH650" s="40"/>
      <c r="CI650" s="40"/>
      <c r="CJ650" s="40"/>
      <c r="CK650" s="40"/>
      <c r="CL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40"/>
      <c r="CD651" s="40"/>
      <c r="CE651" s="40"/>
      <c r="CF651" s="40"/>
      <c r="CG651" s="40"/>
      <c r="CH651" s="40"/>
      <c r="CI651" s="40"/>
      <c r="CJ651" s="40"/>
      <c r="CK651" s="40"/>
      <c r="CL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40"/>
      <c r="CD652" s="40"/>
      <c r="CE652" s="40"/>
      <c r="CF652" s="40"/>
      <c r="CG652" s="40"/>
      <c r="CH652" s="40"/>
      <c r="CI652" s="40"/>
      <c r="CJ652" s="40"/>
      <c r="CK652" s="40"/>
      <c r="CL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40"/>
      <c r="CD653" s="40"/>
      <c r="CE653" s="40"/>
      <c r="CF653" s="40"/>
      <c r="CG653" s="40"/>
      <c r="CH653" s="40"/>
      <c r="CI653" s="40"/>
      <c r="CJ653" s="40"/>
      <c r="CK653" s="40"/>
      <c r="CL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40"/>
      <c r="CD654" s="40"/>
      <c r="CE654" s="40"/>
      <c r="CF654" s="40"/>
      <c r="CG654" s="40"/>
      <c r="CH654" s="40"/>
      <c r="CI654" s="40"/>
      <c r="CJ654" s="40"/>
      <c r="CK654" s="40"/>
      <c r="CL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40"/>
      <c r="CD655" s="40"/>
      <c r="CE655" s="40"/>
      <c r="CF655" s="40"/>
      <c r="CG655" s="40"/>
      <c r="CH655" s="40"/>
      <c r="CI655" s="40"/>
      <c r="CJ655" s="40"/>
      <c r="CK655" s="40"/>
      <c r="CL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40"/>
      <c r="CD656" s="40"/>
      <c r="CE656" s="40"/>
      <c r="CF656" s="40"/>
      <c r="CG656" s="40"/>
      <c r="CH656" s="40"/>
      <c r="CI656" s="40"/>
      <c r="CJ656" s="40"/>
      <c r="CK656" s="40"/>
      <c r="CL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40"/>
      <c r="CD657" s="40"/>
      <c r="CE657" s="40"/>
      <c r="CF657" s="40"/>
      <c r="CG657" s="40"/>
      <c r="CH657" s="40"/>
      <c r="CI657" s="40"/>
      <c r="CJ657" s="40"/>
      <c r="CK657" s="40"/>
      <c r="CL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40"/>
      <c r="CD658" s="40"/>
      <c r="CE658" s="40"/>
      <c r="CF658" s="40"/>
      <c r="CG658" s="40"/>
      <c r="CH658" s="40"/>
      <c r="CI658" s="40"/>
      <c r="CJ658" s="40"/>
      <c r="CK658" s="40"/>
      <c r="CL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40"/>
      <c r="CD659" s="40"/>
      <c r="CE659" s="40"/>
      <c r="CF659" s="40"/>
      <c r="CG659" s="40"/>
      <c r="CH659" s="40"/>
      <c r="CI659" s="40"/>
      <c r="CJ659" s="40"/>
      <c r="CK659" s="40"/>
      <c r="CL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40"/>
      <c r="CD660" s="40"/>
      <c r="CE660" s="40"/>
      <c r="CF660" s="40"/>
      <c r="CG660" s="40"/>
      <c r="CH660" s="40"/>
      <c r="CI660" s="40"/>
      <c r="CJ660" s="40"/>
      <c r="CK660" s="40"/>
      <c r="CL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40"/>
      <c r="CD661" s="40"/>
      <c r="CE661" s="40"/>
      <c r="CF661" s="40"/>
      <c r="CG661" s="40"/>
      <c r="CH661" s="40"/>
      <c r="CI661" s="40"/>
      <c r="CJ661" s="40"/>
      <c r="CK661" s="40"/>
      <c r="CL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40"/>
      <c r="CD662" s="40"/>
      <c r="CE662" s="40"/>
      <c r="CF662" s="40"/>
      <c r="CG662" s="40"/>
      <c r="CH662" s="40"/>
      <c r="CI662" s="40"/>
      <c r="CJ662" s="40"/>
      <c r="CK662" s="40"/>
      <c r="CL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40"/>
      <c r="CD663" s="40"/>
      <c r="CE663" s="40"/>
      <c r="CF663" s="40"/>
      <c r="CG663" s="40"/>
      <c r="CH663" s="40"/>
      <c r="CI663" s="40"/>
      <c r="CJ663" s="40"/>
      <c r="CK663" s="40"/>
      <c r="CL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40"/>
      <c r="CD664" s="40"/>
      <c r="CE664" s="40"/>
      <c r="CF664" s="40"/>
      <c r="CG664" s="40"/>
      <c r="CH664" s="40"/>
      <c r="CI664" s="40"/>
      <c r="CJ664" s="40"/>
      <c r="CK664" s="40"/>
      <c r="CL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40"/>
      <c r="CD665" s="40"/>
      <c r="CE665" s="40"/>
      <c r="CF665" s="40"/>
      <c r="CG665" s="40"/>
      <c r="CH665" s="40"/>
      <c r="CI665" s="40"/>
      <c r="CJ665" s="40"/>
      <c r="CK665" s="40"/>
      <c r="CL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40"/>
      <c r="CD666" s="40"/>
      <c r="CE666" s="40"/>
      <c r="CF666" s="40"/>
      <c r="CG666" s="40"/>
      <c r="CH666" s="40"/>
      <c r="CI666" s="40"/>
      <c r="CJ666" s="40"/>
      <c r="CK666" s="40"/>
      <c r="CL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40"/>
      <c r="CD667" s="40"/>
      <c r="CE667" s="40"/>
      <c r="CF667" s="40"/>
      <c r="CG667" s="40"/>
      <c r="CH667" s="40"/>
      <c r="CI667" s="40"/>
      <c r="CJ667" s="40"/>
      <c r="CK667" s="40"/>
      <c r="CL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40"/>
      <c r="CD668" s="40"/>
      <c r="CE668" s="40"/>
      <c r="CF668" s="40"/>
      <c r="CG668" s="40"/>
      <c r="CH668" s="40"/>
      <c r="CI668" s="40"/>
      <c r="CJ668" s="40"/>
      <c r="CK668" s="40"/>
      <c r="CL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40"/>
      <c r="CD669" s="40"/>
      <c r="CE669" s="40"/>
      <c r="CF669" s="40"/>
      <c r="CG669" s="40"/>
      <c r="CH669" s="40"/>
      <c r="CI669" s="40"/>
      <c r="CJ669" s="40"/>
      <c r="CK669" s="40"/>
      <c r="CL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40"/>
      <c r="CD670" s="40"/>
      <c r="CE670" s="40"/>
      <c r="CF670" s="40"/>
      <c r="CG670" s="40"/>
      <c r="CH670" s="40"/>
      <c r="CI670" s="40"/>
      <c r="CJ670" s="40"/>
      <c r="CK670" s="40"/>
      <c r="CL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40"/>
      <c r="CD671" s="40"/>
      <c r="CE671" s="40"/>
      <c r="CF671" s="40"/>
      <c r="CG671" s="40"/>
      <c r="CH671" s="40"/>
      <c r="CI671" s="40"/>
      <c r="CJ671" s="40"/>
      <c r="CK671" s="40"/>
      <c r="CL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40"/>
      <c r="CD672" s="40"/>
      <c r="CE672" s="40"/>
      <c r="CF672" s="40"/>
      <c r="CG672" s="40"/>
      <c r="CH672" s="40"/>
      <c r="CI672" s="40"/>
      <c r="CJ672" s="40"/>
      <c r="CK672" s="40"/>
      <c r="CL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40"/>
      <c r="CD673" s="40"/>
      <c r="CE673" s="40"/>
      <c r="CF673" s="40"/>
      <c r="CG673" s="40"/>
      <c r="CH673" s="40"/>
      <c r="CI673" s="40"/>
      <c r="CJ673" s="40"/>
      <c r="CK673" s="40"/>
      <c r="CL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40"/>
      <c r="CD674" s="40"/>
      <c r="CE674" s="40"/>
      <c r="CF674" s="40"/>
      <c r="CG674" s="40"/>
      <c r="CH674" s="40"/>
      <c r="CI674" s="40"/>
      <c r="CJ674" s="40"/>
      <c r="CK674" s="40"/>
      <c r="CL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40"/>
      <c r="CD675" s="40"/>
      <c r="CE675" s="40"/>
      <c r="CF675" s="40"/>
      <c r="CG675" s="40"/>
      <c r="CH675" s="40"/>
      <c r="CI675" s="40"/>
      <c r="CJ675" s="40"/>
      <c r="CK675" s="40"/>
      <c r="CL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40"/>
      <c r="CD676" s="40"/>
      <c r="CE676" s="40"/>
      <c r="CF676" s="40"/>
      <c r="CG676" s="40"/>
      <c r="CH676" s="40"/>
      <c r="CI676" s="40"/>
      <c r="CJ676" s="40"/>
      <c r="CK676" s="40"/>
      <c r="CL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40"/>
      <c r="CD677" s="40"/>
      <c r="CE677" s="40"/>
      <c r="CF677" s="40"/>
      <c r="CG677" s="40"/>
      <c r="CH677" s="40"/>
      <c r="CI677" s="40"/>
      <c r="CJ677" s="40"/>
      <c r="CK677" s="40"/>
      <c r="CL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40"/>
      <c r="CD678" s="40"/>
      <c r="CE678" s="40"/>
      <c r="CF678" s="40"/>
      <c r="CG678" s="40"/>
      <c r="CH678" s="40"/>
      <c r="CI678" s="40"/>
      <c r="CJ678" s="40"/>
      <c r="CK678" s="40"/>
      <c r="CL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40"/>
      <c r="CD679" s="40"/>
      <c r="CE679" s="40"/>
      <c r="CF679" s="40"/>
      <c r="CG679" s="40"/>
      <c r="CH679" s="40"/>
      <c r="CI679" s="40"/>
      <c r="CJ679" s="40"/>
      <c r="CK679" s="40"/>
      <c r="CL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40"/>
      <c r="CD680" s="40"/>
      <c r="CE680" s="40"/>
      <c r="CF680" s="40"/>
      <c r="CG680" s="40"/>
      <c r="CH680" s="40"/>
      <c r="CI680" s="40"/>
      <c r="CJ680" s="40"/>
      <c r="CK680" s="40"/>
      <c r="CL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40"/>
      <c r="CD681" s="40"/>
      <c r="CE681" s="40"/>
      <c r="CF681" s="40"/>
      <c r="CG681" s="40"/>
      <c r="CH681" s="40"/>
      <c r="CI681" s="40"/>
      <c r="CJ681" s="40"/>
      <c r="CK681" s="40"/>
      <c r="CL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40"/>
      <c r="CD682" s="40"/>
      <c r="CE682" s="40"/>
      <c r="CF682" s="40"/>
      <c r="CG682" s="40"/>
      <c r="CH682" s="40"/>
      <c r="CI682" s="40"/>
      <c r="CJ682" s="40"/>
      <c r="CK682" s="40"/>
      <c r="CL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40"/>
      <c r="CD683" s="40"/>
      <c r="CE683" s="40"/>
      <c r="CF683" s="40"/>
      <c r="CG683" s="40"/>
      <c r="CH683" s="40"/>
      <c r="CI683" s="40"/>
      <c r="CJ683" s="40"/>
      <c r="CK683" s="40"/>
      <c r="CL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40"/>
      <c r="CD684" s="40"/>
      <c r="CE684" s="40"/>
      <c r="CF684" s="40"/>
      <c r="CG684" s="40"/>
      <c r="CH684" s="40"/>
      <c r="CI684" s="40"/>
      <c r="CJ684" s="40"/>
      <c r="CK684" s="40"/>
      <c r="CL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40"/>
      <c r="CD685" s="40"/>
      <c r="CE685" s="40"/>
      <c r="CF685" s="40"/>
      <c r="CG685" s="40"/>
      <c r="CH685" s="40"/>
      <c r="CI685" s="40"/>
      <c r="CJ685" s="40"/>
      <c r="CK685" s="40"/>
      <c r="CL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40"/>
      <c r="CD686" s="40"/>
      <c r="CE686" s="40"/>
      <c r="CF686" s="40"/>
      <c r="CG686" s="40"/>
      <c r="CH686" s="40"/>
      <c r="CI686" s="40"/>
      <c r="CJ686" s="40"/>
      <c r="CK686" s="40"/>
      <c r="CL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40"/>
      <c r="CD687" s="40"/>
      <c r="CE687" s="40"/>
      <c r="CF687" s="40"/>
      <c r="CG687" s="40"/>
      <c r="CH687" s="40"/>
      <c r="CI687" s="40"/>
      <c r="CJ687" s="40"/>
      <c r="CK687" s="40"/>
      <c r="CL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40"/>
      <c r="CD688" s="40"/>
      <c r="CE688" s="40"/>
      <c r="CF688" s="40"/>
      <c r="CG688" s="40"/>
      <c r="CH688" s="40"/>
      <c r="CI688" s="40"/>
      <c r="CJ688" s="40"/>
      <c r="CK688" s="40"/>
      <c r="CL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40"/>
      <c r="CD689" s="40"/>
      <c r="CE689" s="40"/>
      <c r="CF689" s="40"/>
      <c r="CG689" s="40"/>
      <c r="CH689" s="40"/>
      <c r="CI689" s="40"/>
      <c r="CJ689" s="40"/>
      <c r="CK689" s="40"/>
      <c r="CL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40"/>
      <c r="CD690" s="40"/>
      <c r="CE690" s="40"/>
      <c r="CF690" s="40"/>
      <c r="CG690" s="40"/>
      <c r="CH690" s="40"/>
      <c r="CI690" s="40"/>
      <c r="CJ690" s="40"/>
      <c r="CK690" s="40"/>
      <c r="CL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40"/>
      <c r="CD691" s="40"/>
      <c r="CE691" s="40"/>
      <c r="CF691" s="40"/>
      <c r="CG691" s="40"/>
      <c r="CH691" s="40"/>
      <c r="CI691" s="40"/>
      <c r="CJ691" s="40"/>
      <c r="CK691" s="40"/>
      <c r="CL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40"/>
      <c r="CD692" s="40"/>
      <c r="CE692" s="40"/>
      <c r="CF692" s="40"/>
      <c r="CG692" s="40"/>
      <c r="CH692" s="40"/>
      <c r="CI692" s="40"/>
      <c r="CJ692" s="40"/>
      <c r="CK692" s="40"/>
      <c r="CL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40"/>
      <c r="CD693" s="40"/>
      <c r="CE693" s="40"/>
      <c r="CF693" s="40"/>
      <c r="CG693" s="40"/>
      <c r="CH693" s="40"/>
      <c r="CI693" s="40"/>
      <c r="CJ693" s="40"/>
      <c r="CK693" s="40"/>
      <c r="CL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40"/>
      <c r="CD694" s="40"/>
      <c r="CE694" s="40"/>
      <c r="CF694" s="40"/>
      <c r="CG694" s="40"/>
      <c r="CH694" s="40"/>
      <c r="CI694" s="40"/>
      <c r="CJ694" s="40"/>
      <c r="CK694" s="40"/>
      <c r="CL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40"/>
      <c r="CD695" s="40"/>
      <c r="CE695" s="40"/>
      <c r="CF695" s="40"/>
      <c r="CG695" s="40"/>
      <c r="CH695" s="40"/>
      <c r="CI695" s="40"/>
      <c r="CJ695" s="40"/>
      <c r="CK695" s="40"/>
      <c r="CL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40"/>
      <c r="CD696" s="40"/>
      <c r="CE696" s="40"/>
      <c r="CF696" s="40"/>
      <c r="CG696" s="40"/>
      <c r="CH696" s="40"/>
      <c r="CI696" s="40"/>
      <c r="CJ696" s="40"/>
      <c r="CK696" s="40"/>
      <c r="CL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40"/>
      <c r="CD697" s="40"/>
      <c r="CE697" s="40"/>
      <c r="CF697" s="40"/>
      <c r="CG697" s="40"/>
      <c r="CH697" s="40"/>
      <c r="CI697" s="40"/>
      <c r="CJ697" s="40"/>
      <c r="CK697" s="40"/>
      <c r="CL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40"/>
      <c r="CD698" s="40"/>
      <c r="CE698" s="40"/>
      <c r="CF698" s="40"/>
      <c r="CG698" s="40"/>
      <c r="CH698" s="40"/>
      <c r="CI698" s="40"/>
      <c r="CJ698" s="40"/>
      <c r="CK698" s="40"/>
      <c r="CL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40"/>
      <c r="CD699" s="40"/>
      <c r="CE699" s="40"/>
      <c r="CF699" s="40"/>
      <c r="CG699" s="40"/>
      <c r="CH699" s="40"/>
      <c r="CI699" s="40"/>
      <c r="CJ699" s="40"/>
      <c r="CK699" s="40"/>
      <c r="CL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40"/>
      <c r="CD700" s="40"/>
      <c r="CE700" s="40"/>
      <c r="CF700" s="40"/>
      <c r="CG700" s="40"/>
      <c r="CH700" s="40"/>
      <c r="CI700" s="40"/>
      <c r="CJ700" s="40"/>
      <c r="CK700" s="40"/>
      <c r="CL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40"/>
      <c r="CD701" s="40"/>
      <c r="CE701" s="40"/>
      <c r="CF701" s="40"/>
      <c r="CG701" s="40"/>
      <c r="CH701" s="40"/>
      <c r="CI701" s="40"/>
      <c r="CJ701" s="40"/>
      <c r="CK701" s="40"/>
      <c r="CL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40"/>
      <c r="CD702" s="40"/>
      <c r="CE702" s="40"/>
      <c r="CF702" s="40"/>
      <c r="CG702" s="40"/>
      <c r="CH702" s="40"/>
      <c r="CI702" s="40"/>
      <c r="CJ702" s="40"/>
      <c r="CK702" s="40"/>
      <c r="CL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40"/>
      <c r="CD703" s="40"/>
      <c r="CE703" s="40"/>
      <c r="CF703" s="40"/>
      <c r="CG703" s="40"/>
      <c r="CH703" s="40"/>
      <c r="CI703" s="40"/>
      <c r="CJ703" s="40"/>
      <c r="CK703" s="40"/>
      <c r="CL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40"/>
      <c r="CD704" s="40"/>
      <c r="CE704" s="40"/>
      <c r="CF704" s="40"/>
      <c r="CG704" s="40"/>
      <c r="CH704" s="40"/>
      <c r="CI704" s="40"/>
      <c r="CJ704" s="40"/>
      <c r="CK704" s="40"/>
      <c r="CL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40"/>
      <c r="CD705" s="40"/>
      <c r="CE705" s="40"/>
      <c r="CF705" s="40"/>
      <c r="CG705" s="40"/>
      <c r="CH705" s="40"/>
      <c r="CI705" s="40"/>
      <c r="CJ705" s="40"/>
      <c r="CK705" s="40"/>
      <c r="CL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40"/>
      <c r="CD706" s="40"/>
      <c r="CE706" s="40"/>
      <c r="CF706" s="40"/>
      <c r="CG706" s="40"/>
      <c r="CH706" s="40"/>
      <c r="CI706" s="40"/>
      <c r="CJ706" s="40"/>
      <c r="CK706" s="40"/>
      <c r="CL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40"/>
      <c r="CD707" s="40"/>
      <c r="CE707" s="40"/>
      <c r="CF707" s="40"/>
      <c r="CG707" s="40"/>
      <c r="CH707" s="40"/>
      <c r="CI707" s="40"/>
      <c r="CJ707" s="40"/>
      <c r="CK707" s="40"/>
      <c r="CL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40"/>
      <c r="CD708" s="40"/>
      <c r="CE708" s="40"/>
      <c r="CF708" s="40"/>
      <c r="CG708" s="40"/>
      <c r="CH708" s="40"/>
      <c r="CI708" s="40"/>
      <c r="CJ708" s="40"/>
      <c r="CK708" s="40"/>
      <c r="CL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  <c r="CC709" s="40"/>
      <c r="CD709" s="40"/>
      <c r="CE709" s="40"/>
      <c r="CF709" s="40"/>
      <c r="CG709" s="40"/>
      <c r="CH709" s="40"/>
      <c r="CI709" s="40"/>
      <c r="CJ709" s="40"/>
      <c r="CK709" s="40"/>
      <c r="CL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40"/>
      <c r="CD710" s="40"/>
      <c r="CE710" s="40"/>
      <c r="CF710" s="40"/>
      <c r="CG710" s="40"/>
      <c r="CH710" s="40"/>
      <c r="CI710" s="40"/>
      <c r="CJ710" s="40"/>
      <c r="CK710" s="40"/>
      <c r="CL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  <c r="CC711" s="40"/>
      <c r="CD711" s="40"/>
      <c r="CE711" s="40"/>
      <c r="CF711" s="40"/>
      <c r="CG711" s="40"/>
      <c r="CH711" s="40"/>
      <c r="CI711" s="40"/>
      <c r="CJ711" s="40"/>
      <c r="CK711" s="40"/>
      <c r="CL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40"/>
      <c r="CD712" s="40"/>
      <c r="CE712" s="40"/>
      <c r="CF712" s="40"/>
      <c r="CG712" s="40"/>
      <c r="CH712" s="40"/>
      <c r="CI712" s="40"/>
      <c r="CJ712" s="40"/>
      <c r="CK712" s="40"/>
      <c r="CL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40"/>
      <c r="CD713" s="40"/>
      <c r="CE713" s="40"/>
      <c r="CF713" s="40"/>
      <c r="CG713" s="40"/>
      <c r="CH713" s="40"/>
      <c r="CI713" s="40"/>
      <c r="CJ713" s="40"/>
      <c r="CK713" s="40"/>
      <c r="CL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40"/>
      <c r="CD714" s="40"/>
      <c r="CE714" s="40"/>
      <c r="CF714" s="40"/>
      <c r="CG714" s="40"/>
      <c r="CH714" s="40"/>
      <c r="CI714" s="40"/>
      <c r="CJ714" s="40"/>
      <c r="CK714" s="40"/>
      <c r="CL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40"/>
      <c r="CD715" s="40"/>
      <c r="CE715" s="40"/>
      <c r="CF715" s="40"/>
      <c r="CG715" s="40"/>
      <c r="CH715" s="40"/>
      <c r="CI715" s="40"/>
      <c r="CJ715" s="40"/>
      <c r="CK715" s="40"/>
      <c r="CL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40"/>
      <c r="CD716" s="40"/>
      <c r="CE716" s="40"/>
      <c r="CF716" s="40"/>
      <c r="CG716" s="40"/>
      <c r="CH716" s="40"/>
      <c r="CI716" s="40"/>
      <c r="CJ716" s="40"/>
      <c r="CK716" s="40"/>
      <c r="CL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40"/>
      <c r="CD717" s="40"/>
      <c r="CE717" s="40"/>
      <c r="CF717" s="40"/>
      <c r="CG717" s="40"/>
      <c r="CH717" s="40"/>
      <c r="CI717" s="40"/>
      <c r="CJ717" s="40"/>
      <c r="CK717" s="40"/>
      <c r="CL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40"/>
      <c r="CD718" s="40"/>
      <c r="CE718" s="40"/>
      <c r="CF718" s="40"/>
      <c r="CG718" s="40"/>
      <c r="CH718" s="40"/>
      <c r="CI718" s="40"/>
      <c r="CJ718" s="40"/>
      <c r="CK718" s="40"/>
      <c r="CL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  <c r="CC719" s="40"/>
      <c r="CD719" s="40"/>
      <c r="CE719" s="40"/>
      <c r="CF719" s="40"/>
      <c r="CG719" s="40"/>
      <c r="CH719" s="40"/>
      <c r="CI719" s="40"/>
      <c r="CJ719" s="40"/>
      <c r="CK719" s="40"/>
      <c r="CL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40"/>
      <c r="CD720" s="40"/>
      <c r="CE720" s="40"/>
      <c r="CF720" s="40"/>
      <c r="CG720" s="40"/>
      <c r="CH720" s="40"/>
      <c r="CI720" s="40"/>
      <c r="CJ720" s="40"/>
      <c r="CK720" s="40"/>
      <c r="CL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40"/>
      <c r="CD721" s="40"/>
      <c r="CE721" s="40"/>
      <c r="CF721" s="40"/>
      <c r="CG721" s="40"/>
      <c r="CH721" s="40"/>
      <c r="CI721" s="40"/>
      <c r="CJ721" s="40"/>
      <c r="CK721" s="40"/>
      <c r="CL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40"/>
      <c r="CD722" s="40"/>
      <c r="CE722" s="40"/>
      <c r="CF722" s="40"/>
      <c r="CG722" s="40"/>
      <c r="CH722" s="40"/>
      <c r="CI722" s="40"/>
      <c r="CJ722" s="40"/>
      <c r="CK722" s="40"/>
      <c r="CL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40"/>
      <c r="CD723" s="40"/>
      <c r="CE723" s="40"/>
      <c r="CF723" s="40"/>
      <c r="CG723" s="40"/>
      <c r="CH723" s="40"/>
      <c r="CI723" s="40"/>
      <c r="CJ723" s="40"/>
      <c r="CK723" s="40"/>
      <c r="CL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40"/>
      <c r="CD724" s="40"/>
      <c r="CE724" s="40"/>
      <c r="CF724" s="40"/>
      <c r="CG724" s="40"/>
      <c r="CH724" s="40"/>
      <c r="CI724" s="40"/>
      <c r="CJ724" s="40"/>
      <c r="CK724" s="40"/>
      <c r="CL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  <c r="CC725" s="40"/>
      <c r="CD725" s="40"/>
      <c r="CE725" s="40"/>
      <c r="CF725" s="40"/>
      <c r="CG725" s="40"/>
      <c r="CH725" s="40"/>
      <c r="CI725" s="40"/>
      <c r="CJ725" s="40"/>
      <c r="CK725" s="40"/>
      <c r="CL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40"/>
      <c r="CD726" s="40"/>
      <c r="CE726" s="40"/>
      <c r="CF726" s="40"/>
      <c r="CG726" s="40"/>
      <c r="CH726" s="40"/>
      <c r="CI726" s="40"/>
      <c r="CJ726" s="40"/>
      <c r="CK726" s="40"/>
      <c r="CL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40"/>
      <c r="CD727" s="40"/>
      <c r="CE727" s="40"/>
      <c r="CF727" s="40"/>
      <c r="CG727" s="40"/>
      <c r="CH727" s="40"/>
      <c r="CI727" s="40"/>
      <c r="CJ727" s="40"/>
      <c r="CK727" s="40"/>
      <c r="CL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40"/>
      <c r="CD728" s="40"/>
      <c r="CE728" s="40"/>
      <c r="CF728" s="40"/>
      <c r="CG728" s="40"/>
      <c r="CH728" s="40"/>
      <c r="CI728" s="40"/>
      <c r="CJ728" s="40"/>
      <c r="CK728" s="40"/>
      <c r="CL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  <c r="CC729" s="40"/>
      <c r="CD729" s="40"/>
      <c r="CE729" s="40"/>
      <c r="CF729" s="40"/>
      <c r="CG729" s="40"/>
      <c r="CH729" s="40"/>
      <c r="CI729" s="40"/>
      <c r="CJ729" s="40"/>
      <c r="CK729" s="40"/>
      <c r="CL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40"/>
      <c r="CD730" s="40"/>
      <c r="CE730" s="40"/>
      <c r="CF730" s="40"/>
      <c r="CG730" s="40"/>
      <c r="CH730" s="40"/>
      <c r="CI730" s="40"/>
      <c r="CJ730" s="40"/>
      <c r="CK730" s="40"/>
      <c r="CL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40"/>
      <c r="CD731" s="40"/>
      <c r="CE731" s="40"/>
      <c r="CF731" s="40"/>
      <c r="CG731" s="40"/>
      <c r="CH731" s="40"/>
      <c r="CI731" s="40"/>
      <c r="CJ731" s="40"/>
      <c r="CK731" s="40"/>
      <c r="CL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  <c r="CC732" s="40"/>
      <c r="CD732" s="40"/>
      <c r="CE732" s="40"/>
      <c r="CF732" s="40"/>
      <c r="CG732" s="40"/>
      <c r="CH732" s="40"/>
      <c r="CI732" s="40"/>
      <c r="CJ732" s="40"/>
      <c r="CK732" s="40"/>
      <c r="CL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  <c r="CC733" s="40"/>
      <c r="CD733" s="40"/>
      <c r="CE733" s="40"/>
      <c r="CF733" s="40"/>
      <c r="CG733" s="40"/>
      <c r="CH733" s="40"/>
      <c r="CI733" s="40"/>
      <c r="CJ733" s="40"/>
      <c r="CK733" s="40"/>
      <c r="CL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40"/>
      <c r="CD734" s="40"/>
      <c r="CE734" s="40"/>
      <c r="CF734" s="40"/>
      <c r="CG734" s="40"/>
      <c r="CH734" s="40"/>
      <c r="CI734" s="40"/>
      <c r="CJ734" s="40"/>
      <c r="CK734" s="40"/>
      <c r="CL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40"/>
      <c r="CD735" s="40"/>
      <c r="CE735" s="40"/>
      <c r="CF735" s="40"/>
      <c r="CG735" s="40"/>
      <c r="CH735" s="40"/>
      <c r="CI735" s="40"/>
      <c r="CJ735" s="40"/>
      <c r="CK735" s="40"/>
      <c r="CL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40"/>
      <c r="CD736" s="40"/>
      <c r="CE736" s="40"/>
      <c r="CF736" s="40"/>
      <c r="CG736" s="40"/>
      <c r="CH736" s="40"/>
      <c r="CI736" s="40"/>
      <c r="CJ736" s="40"/>
      <c r="CK736" s="40"/>
      <c r="CL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40"/>
      <c r="CD737" s="40"/>
      <c r="CE737" s="40"/>
      <c r="CF737" s="40"/>
      <c r="CG737" s="40"/>
      <c r="CH737" s="40"/>
      <c r="CI737" s="40"/>
      <c r="CJ737" s="40"/>
      <c r="CK737" s="40"/>
      <c r="CL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40"/>
      <c r="CD738" s="40"/>
      <c r="CE738" s="40"/>
      <c r="CF738" s="40"/>
      <c r="CG738" s="40"/>
      <c r="CH738" s="40"/>
      <c r="CI738" s="40"/>
      <c r="CJ738" s="40"/>
      <c r="CK738" s="40"/>
      <c r="CL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40"/>
      <c r="CD739" s="40"/>
      <c r="CE739" s="40"/>
      <c r="CF739" s="40"/>
      <c r="CG739" s="40"/>
      <c r="CH739" s="40"/>
      <c r="CI739" s="40"/>
      <c r="CJ739" s="40"/>
      <c r="CK739" s="40"/>
      <c r="CL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40"/>
      <c r="CD740" s="40"/>
      <c r="CE740" s="40"/>
      <c r="CF740" s="40"/>
      <c r="CG740" s="40"/>
      <c r="CH740" s="40"/>
      <c r="CI740" s="40"/>
      <c r="CJ740" s="40"/>
      <c r="CK740" s="40"/>
      <c r="CL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40"/>
      <c r="CD741" s="40"/>
      <c r="CE741" s="40"/>
      <c r="CF741" s="40"/>
      <c r="CG741" s="40"/>
      <c r="CH741" s="40"/>
      <c r="CI741" s="40"/>
      <c r="CJ741" s="40"/>
      <c r="CK741" s="40"/>
      <c r="CL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40"/>
      <c r="CD742" s="40"/>
      <c r="CE742" s="40"/>
      <c r="CF742" s="40"/>
      <c r="CG742" s="40"/>
      <c r="CH742" s="40"/>
      <c r="CI742" s="40"/>
      <c r="CJ742" s="40"/>
      <c r="CK742" s="40"/>
      <c r="CL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  <c r="CC743" s="40"/>
      <c r="CD743" s="40"/>
      <c r="CE743" s="40"/>
      <c r="CF743" s="40"/>
      <c r="CG743" s="40"/>
      <c r="CH743" s="40"/>
      <c r="CI743" s="40"/>
      <c r="CJ743" s="40"/>
      <c r="CK743" s="40"/>
      <c r="CL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40"/>
      <c r="CD744" s="40"/>
      <c r="CE744" s="40"/>
      <c r="CF744" s="40"/>
      <c r="CG744" s="40"/>
      <c r="CH744" s="40"/>
      <c r="CI744" s="40"/>
      <c r="CJ744" s="40"/>
      <c r="CK744" s="40"/>
      <c r="CL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40"/>
      <c r="CD745" s="40"/>
      <c r="CE745" s="40"/>
      <c r="CF745" s="40"/>
      <c r="CG745" s="40"/>
      <c r="CH745" s="40"/>
      <c r="CI745" s="40"/>
      <c r="CJ745" s="40"/>
      <c r="CK745" s="40"/>
      <c r="CL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  <c r="CA746" s="11"/>
      <c r="CB746" s="11"/>
      <c r="CC746" s="40"/>
      <c r="CD746" s="40"/>
      <c r="CE746" s="40"/>
      <c r="CF746" s="40"/>
      <c r="CG746" s="40"/>
      <c r="CH746" s="40"/>
      <c r="CI746" s="40"/>
      <c r="CJ746" s="40"/>
      <c r="CK746" s="40"/>
      <c r="CL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40"/>
      <c r="CD747" s="40"/>
      <c r="CE747" s="40"/>
      <c r="CF747" s="40"/>
      <c r="CG747" s="40"/>
      <c r="CH747" s="40"/>
      <c r="CI747" s="40"/>
      <c r="CJ747" s="40"/>
      <c r="CK747" s="40"/>
      <c r="CL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  <c r="CA748" s="11"/>
      <c r="CB748" s="11"/>
      <c r="CC748" s="40"/>
      <c r="CD748" s="40"/>
      <c r="CE748" s="40"/>
      <c r="CF748" s="40"/>
      <c r="CG748" s="40"/>
      <c r="CH748" s="40"/>
      <c r="CI748" s="40"/>
      <c r="CJ748" s="40"/>
      <c r="CK748" s="40"/>
      <c r="CL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40"/>
      <c r="CD749" s="40"/>
      <c r="CE749" s="40"/>
      <c r="CF749" s="40"/>
      <c r="CG749" s="40"/>
      <c r="CH749" s="40"/>
      <c r="CI749" s="40"/>
      <c r="CJ749" s="40"/>
      <c r="CK749" s="40"/>
      <c r="CL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40"/>
      <c r="CD750" s="40"/>
      <c r="CE750" s="40"/>
      <c r="CF750" s="40"/>
      <c r="CG750" s="40"/>
      <c r="CH750" s="40"/>
      <c r="CI750" s="40"/>
      <c r="CJ750" s="40"/>
      <c r="CK750" s="40"/>
      <c r="CL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40"/>
      <c r="CD751" s="40"/>
      <c r="CE751" s="40"/>
      <c r="CF751" s="40"/>
      <c r="CG751" s="40"/>
      <c r="CH751" s="40"/>
      <c r="CI751" s="40"/>
      <c r="CJ751" s="40"/>
      <c r="CK751" s="40"/>
      <c r="CL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40"/>
      <c r="CD752" s="40"/>
      <c r="CE752" s="40"/>
      <c r="CF752" s="40"/>
      <c r="CG752" s="40"/>
      <c r="CH752" s="40"/>
      <c r="CI752" s="40"/>
      <c r="CJ752" s="40"/>
      <c r="CK752" s="40"/>
      <c r="CL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  <c r="CA753" s="11"/>
      <c r="CB753" s="11"/>
      <c r="CC753" s="40"/>
      <c r="CD753" s="40"/>
      <c r="CE753" s="40"/>
      <c r="CF753" s="40"/>
      <c r="CG753" s="40"/>
      <c r="CH753" s="40"/>
      <c r="CI753" s="40"/>
      <c r="CJ753" s="40"/>
      <c r="CK753" s="40"/>
      <c r="CL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  <c r="CC754" s="40"/>
      <c r="CD754" s="40"/>
      <c r="CE754" s="40"/>
      <c r="CF754" s="40"/>
      <c r="CG754" s="40"/>
      <c r="CH754" s="40"/>
      <c r="CI754" s="40"/>
      <c r="CJ754" s="40"/>
      <c r="CK754" s="40"/>
      <c r="CL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  <c r="CC755" s="40"/>
      <c r="CD755" s="40"/>
      <c r="CE755" s="40"/>
      <c r="CF755" s="40"/>
      <c r="CG755" s="40"/>
      <c r="CH755" s="40"/>
      <c r="CI755" s="40"/>
      <c r="CJ755" s="40"/>
      <c r="CK755" s="40"/>
      <c r="CL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  <c r="CC756" s="40"/>
      <c r="CD756" s="40"/>
      <c r="CE756" s="40"/>
      <c r="CF756" s="40"/>
      <c r="CG756" s="40"/>
      <c r="CH756" s="40"/>
      <c r="CI756" s="40"/>
      <c r="CJ756" s="40"/>
      <c r="CK756" s="40"/>
      <c r="CL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40"/>
      <c r="CD757" s="40"/>
      <c r="CE757" s="40"/>
      <c r="CF757" s="40"/>
      <c r="CG757" s="40"/>
      <c r="CH757" s="40"/>
      <c r="CI757" s="40"/>
      <c r="CJ757" s="40"/>
      <c r="CK757" s="40"/>
      <c r="CL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40"/>
      <c r="CD758" s="40"/>
      <c r="CE758" s="40"/>
      <c r="CF758" s="40"/>
      <c r="CG758" s="40"/>
      <c r="CH758" s="40"/>
      <c r="CI758" s="40"/>
      <c r="CJ758" s="40"/>
      <c r="CK758" s="40"/>
      <c r="CL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  <c r="CC759" s="40"/>
      <c r="CD759" s="40"/>
      <c r="CE759" s="40"/>
      <c r="CF759" s="40"/>
      <c r="CG759" s="40"/>
      <c r="CH759" s="40"/>
      <c r="CI759" s="40"/>
      <c r="CJ759" s="40"/>
      <c r="CK759" s="40"/>
      <c r="CL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  <c r="CC760" s="40"/>
      <c r="CD760" s="40"/>
      <c r="CE760" s="40"/>
      <c r="CF760" s="40"/>
      <c r="CG760" s="40"/>
      <c r="CH760" s="40"/>
      <c r="CI760" s="40"/>
      <c r="CJ760" s="40"/>
      <c r="CK760" s="40"/>
      <c r="CL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  <c r="CC761" s="40"/>
      <c r="CD761" s="40"/>
      <c r="CE761" s="40"/>
      <c r="CF761" s="40"/>
      <c r="CG761" s="40"/>
      <c r="CH761" s="40"/>
      <c r="CI761" s="40"/>
      <c r="CJ761" s="40"/>
      <c r="CK761" s="40"/>
      <c r="CL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40"/>
      <c r="CD762" s="40"/>
      <c r="CE762" s="40"/>
      <c r="CF762" s="40"/>
      <c r="CG762" s="40"/>
      <c r="CH762" s="40"/>
      <c r="CI762" s="40"/>
      <c r="CJ762" s="40"/>
      <c r="CK762" s="40"/>
      <c r="CL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B763" s="11"/>
      <c r="CC763" s="40"/>
      <c r="CD763" s="40"/>
      <c r="CE763" s="40"/>
      <c r="CF763" s="40"/>
      <c r="CG763" s="40"/>
      <c r="CH763" s="40"/>
      <c r="CI763" s="40"/>
      <c r="CJ763" s="40"/>
      <c r="CK763" s="40"/>
      <c r="CL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  <c r="CC764" s="40"/>
      <c r="CD764" s="40"/>
      <c r="CE764" s="40"/>
      <c r="CF764" s="40"/>
      <c r="CG764" s="40"/>
      <c r="CH764" s="40"/>
      <c r="CI764" s="40"/>
      <c r="CJ764" s="40"/>
      <c r="CK764" s="40"/>
      <c r="CL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  <c r="CC765" s="40"/>
      <c r="CD765" s="40"/>
      <c r="CE765" s="40"/>
      <c r="CF765" s="40"/>
      <c r="CG765" s="40"/>
      <c r="CH765" s="40"/>
      <c r="CI765" s="40"/>
      <c r="CJ765" s="40"/>
      <c r="CK765" s="40"/>
      <c r="CL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  <c r="CC766" s="40"/>
      <c r="CD766" s="40"/>
      <c r="CE766" s="40"/>
      <c r="CF766" s="40"/>
      <c r="CG766" s="40"/>
      <c r="CH766" s="40"/>
      <c r="CI766" s="40"/>
      <c r="CJ766" s="40"/>
      <c r="CK766" s="40"/>
      <c r="CL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40"/>
      <c r="CD767" s="40"/>
      <c r="CE767" s="40"/>
      <c r="CF767" s="40"/>
      <c r="CG767" s="40"/>
      <c r="CH767" s="40"/>
      <c r="CI767" s="40"/>
      <c r="CJ767" s="40"/>
      <c r="CK767" s="40"/>
      <c r="CL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40"/>
      <c r="CD768" s="40"/>
      <c r="CE768" s="40"/>
      <c r="CF768" s="40"/>
      <c r="CG768" s="40"/>
      <c r="CH768" s="40"/>
      <c r="CI768" s="40"/>
      <c r="CJ768" s="40"/>
      <c r="CK768" s="40"/>
      <c r="CL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  <c r="CC769" s="40"/>
      <c r="CD769" s="40"/>
      <c r="CE769" s="40"/>
      <c r="CF769" s="40"/>
      <c r="CG769" s="40"/>
      <c r="CH769" s="40"/>
      <c r="CI769" s="40"/>
      <c r="CJ769" s="40"/>
      <c r="CK769" s="40"/>
      <c r="CL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  <c r="CC770" s="40"/>
      <c r="CD770" s="40"/>
      <c r="CE770" s="40"/>
      <c r="CF770" s="40"/>
      <c r="CG770" s="40"/>
      <c r="CH770" s="40"/>
      <c r="CI770" s="40"/>
      <c r="CJ770" s="40"/>
      <c r="CK770" s="40"/>
      <c r="CL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  <c r="CA771" s="11"/>
      <c r="CB771" s="11"/>
      <c r="CC771" s="40"/>
      <c r="CD771" s="40"/>
      <c r="CE771" s="40"/>
      <c r="CF771" s="40"/>
      <c r="CG771" s="40"/>
      <c r="CH771" s="40"/>
      <c r="CI771" s="40"/>
      <c r="CJ771" s="40"/>
      <c r="CK771" s="40"/>
      <c r="CL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  <c r="CA772" s="11"/>
      <c r="CB772" s="11"/>
      <c r="CC772" s="40"/>
      <c r="CD772" s="40"/>
      <c r="CE772" s="40"/>
      <c r="CF772" s="40"/>
      <c r="CG772" s="40"/>
      <c r="CH772" s="40"/>
      <c r="CI772" s="40"/>
      <c r="CJ772" s="40"/>
      <c r="CK772" s="40"/>
      <c r="CL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40"/>
      <c r="CD773" s="40"/>
      <c r="CE773" s="40"/>
      <c r="CF773" s="40"/>
      <c r="CG773" s="40"/>
      <c r="CH773" s="40"/>
      <c r="CI773" s="40"/>
      <c r="CJ773" s="40"/>
      <c r="CK773" s="40"/>
      <c r="CL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  <c r="CC774" s="40"/>
      <c r="CD774" s="40"/>
      <c r="CE774" s="40"/>
      <c r="CF774" s="40"/>
      <c r="CG774" s="40"/>
      <c r="CH774" s="40"/>
      <c r="CI774" s="40"/>
      <c r="CJ774" s="40"/>
      <c r="CK774" s="40"/>
      <c r="CL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  <c r="CA775" s="11"/>
      <c r="CB775" s="11"/>
      <c r="CC775" s="40"/>
      <c r="CD775" s="40"/>
      <c r="CE775" s="40"/>
      <c r="CF775" s="40"/>
      <c r="CG775" s="40"/>
      <c r="CH775" s="40"/>
      <c r="CI775" s="40"/>
      <c r="CJ775" s="40"/>
      <c r="CK775" s="40"/>
      <c r="CL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40"/>
      <c r="CD776" s="40"/>
      <c r="CE776" s="40"/>
      <c r="CF776" s="40"/>
      <c r="CG776" s="40"/>
      <c r="CH776" s="40"/>
      <c r="CI776" s="40"/>
      <c r="CJ776" s="40"/>
      <c r="CK776" s="40"/>
      <c r="CL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  <c r="CC777" s="40"/>
      <c r="CD777" s="40"/>
      <c r="CE777" s="40"/>
      <c r="CF777" s="40"/>
      <c r="CG777" s="40"/>
      <c r="CH777" s="40"/>
      <c r="CI777" s="40"/>
      <c r="CJ777" s="40"/>
      <c r="CK777" s="40"/>
      <c r="CL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  <c r="CC778" s="40"/>
      <c r="CD778" s="40"/>
      <c r="CE778" s="40"/>
      <c r="CF778" s="40"/>
      <c r="CG778" s="40"/>
      <c r="CH778" s="40"/>
      <c r="CI778" s="40"/>
      <c r="CJ778" s="40"/>
      <c r="CK778" s="40"/>
      <c r="CL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  <c r="CA779" s="11"/>
      <c r="CB779" s="11"/>
      <c r="CC779" s="40"/>
      <c r="CD779" s="40"/>
      <c r="CE779" s="40"/>
      <c r="CF779" s="40"/>
      <c r="CG779" s="40"/>
      <c r="CH779" s="40"/>
      <c r="CI779" s="40"/>
      <c r="CJ779" s="40"/>
      <c r="CK779" s="40"/>
      <c r="CL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40"/>
      <c r="CD780" s="40"/>
      <c r="CE780" s="40"/>
      <c r="CF780" s="40"/>
      <c r="CG780" s="40"/>
      <c r="CH780" s="40"/>
      <c r="CI780" s="40"/>
      <c r="CJ780" s="40"/>
      <c r="CK780" s="40"/>
      <c r="CL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  <c r="CC781" s="40"/>
      <c r="CD781" s="40"/>
      <c r="CE781" s="40"/>
      <c r="CF781" s="40"/>
      <c r="CG781" s="40"/>
      <c r="CH781" s="40"/>
      <c r="CI781" s="40"/>
      <c r="CJ781" s="40"/>
      <c r="CK781" s="40"/>
      <c r="CL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  <c r="CA782" s="11"/>
      <c r="CB782" s="11"/>
      <c r="CC782" s="40"/>
      <c r="CD782" s="40"/>
      <c r="CE782" s="40"/>
      <c r="CF782" s="40"/>
      <c r="CG782" s="40"/>
      <c r="CH782" s="40"/>
      <c r="CI782" s="40"/>
      <c r="CJ782" s="40"/>
      <c r="CK782" s="40"/>
      <c r="CL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  <c r="CC783" s="40"/>
      <c r="CD783" s="40"/>
      <c r="CE783" s="40"/>
      <c r="CF783" s="40"/>
      <c r="CG783" s="40"/>
      <c r="CH783" s="40"/>
      <c r="CI783" s="40"/>
      <c r="CJ783" s="40"/>
      <c r="CK783" s="40"/>
      <c r="CL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  <c r="CC784" s="40"/>
      <c r="CD784" s="40"/>
      <c r="CE784" s="40"/>
      <c r="CF784" s="40"/>
      <c r="CG784" s="40"/>
      <c r="CH784" s="40"/>
      <c r="CI784" s="40"/>
      <c r="CJ784" s="40"/>
      <c r="CK784" s="40"/>
      <c r="CL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  <c r="CA785" s="11"/>
      <c r="CB785" s="11"/>
      <c r="CC785" s="40"/>
      <c r="CD785" s="40"/>
      <c r="CE785" s="40"/>
      <c r="CF785" s="40"/>
      <c r="CG785" s="40"/>
      <c r="CH785" s="40"/>
      <c r="CI785" s="40"/>
      <c r="CJ785" s="40"/>
      <c r="CK785" s="40"/>
      <c r="CL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40"/>
      <c r="CD786" s="40"/>
      <c r="CE786" s="40"/>
      <c r="CF786" s="40"/>
      <c r="CG786" s="40"/>
      <c r="CH786" s="40"/>
      <c r="CI786" s="40"/>
      <c r="CJ786" s="40"/>
      <c r="CK786" s="40"/>
      <c r="CL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40"/>
      <c r="CD787" s="40"/>
      <c r="CE787" s="40"/>
      <c r="CF787" s="40"/>
      <c r="CG787" s="40"/>
      <c r="CH787" s="40"/>
      <c r="CI787" s="40"/>
      <c r="CJ787" s="40"/>
      <c r="CK787" s="40"/>
      <c r="CL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40"/>
      <c r="CD788" s="40"/>
      <c r="CE788" s="40"/>
      <c r="CF788" s="40"/>
      <c r="CG788" s="40"/>
      <c r="CH788" s="40"/>
      <c r="CI788" s="40"/>
      <c r="CJ788" s="40"/>
      <c r="CK788" s="40"/>
      <c r="CL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40"/>
      <c r="CD789" s="40"/>
      <c r="CE789" s="40"/>
      <c r="CF789" s="40"/>
      <c r="CG789" s="40"/>
      <c r="CH789" s="40"/>
      <c r="CI789" s="40"/>
      <c r="CJ789" s="40"/>
      <c r="CK789" s="40"/>
      <c r="CL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  <c r="CA790" s="11"/>
      <c r="CB790" s="11"/>
      <c r="CC790" s="40"/>
      <c r="CD790" s="40"/>
      <c r="CE790" s="40"/>
      <c r="CF790" s="40"/>
      <c r="CG790" s="40"/>
      <c r="CH790" s="40"/>
      <c r="CI790" s="40"/>
      <c r="CJ790" s="40"/>
      <c r="CK790" s="40"/>
      <c r="CL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  <c r="CA791" s="11"/>
      <c r="CB791" s="11"/>
      <c r="CC791" s="40"/>
      <c r="CD791" s="40"/>
      <c r="CE791" s="40"/>
      <c r="CF791" s="40"/>
      <c r="CG791" s="40"/>
      <c r="CH791" s="40"/>
      <c r="CI791" s="40"/>
      <c r="CJ791" s="40"/>
      <c r="CK791" s="40"/>
      <c r="CL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40"/>
      <c r="CD792" s="40"/>
      <c r="CE792" s="40"/>
      <c r="CF792" s="40"/>
      <c r="CG792" s="40"/>
      <c r="CH792" s="40"/>
      <c r="CI792" s="40"/>
      <c r="CJ792" s="40"/>
      <c r="CK792" s="40"/>
      <c r="CL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  <c r="CA793" s="11"/>
      <c r="CB793" s="11"/>
      <c r="CC793" s="40"/>
      <c r="CD793" s="40"/>
      <c r="CE793" s="40"/>
      <c r="CF793" s="40"/>
      <c r="CG793" s="40"/>
      <c r="CH793" s="40"/>
      <c r="CI793" s="40"/>
      <c r="CJ793" s="40"/>
      <c r="CK793" s="40"/>
      <c r="CL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40"/>
      <c r="CD794" s="40"/>
      <c r="CE794" s="40"/>
      <c r="CF794" s="40"/>
      <c r="CG794" s="40"/>
      <c r="CH794" s="40"/>
      <c r="CI794" s="40"/>
      <c r="CJ794" s="40"/>
      <c r="CK794" s="40"/>
      <c r="CL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40"/>
      <c r="CD795" s="40"/>
      <c r="CE795" s="40"/>
      <c r="CF795" s="40"/>
      <c r="CG795" s="40"/>
      <c r="CH795" s="40"/>
      <c r="CI795" s="40"/>
      <c r="CJ795" s="40"/>
      <c r="CK795" s="40"/>
      <c r="CL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40"/>
      <c r="CD796" s="40"/>
      <c r="CE796" s="40"/>
      <c r="CF796" s="40"/>
      <c r="CG796" s="40"/>
      <c r="CH796" s="40"/>
      <c r="CI796" s="40"/>
      <c r="CJ796" s="40"/>
      <c r="CK796" s="40"/>
      <c r="CL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40"/>
      <c r="CD797" s="40"/>
      <c r="CE797" s="40"/>
      <c r="CF797" s="40"/>
      <c r="CG797" s="40"/>
      <c r="CH797" s="40"/>
      <c r="CI797" s="40"/>
      <c r="CJ797" s="40"/>
      <c r="CK797" s="40"/>
      <c r="CL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  <c r="CC798" s="40"/>
      <c r="CD798" s="40"/>
      <c r="CE798" s="40"/>
      <c r="CF798" s="40"/>
      <c r="CG798" s="40"/>
      <c r="CH798" s="40"/>
      <c r="CI798" s="40"/>
      <c r="CJ798" s="40"/>
      <c r="CK798" s="40"/>
      <c r="CL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  <c r="CC799" s="40"/>
      <c r="CD799" s="40"/>
      <c r="CE799" s="40"/>
      <c r="CF799" s="40"/>
      <c r="CG799" s="40"/>
      <c r="CH799" s="40"/>
      <c r="CI799" s="40"/>
      <c r="CJ799" s="40"/>
      <c r="CK799" s="40"/>
      <c r="CL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40"/>
      <c r="CD800" s="40"/>
      <c r="CE800" s="40"/>
      <c r="CF800" s="40"/>
      <c r="CG800" s="40"/>
      <c r="CH800" s="40"/>
      <c r="CI800" s="40"/>
      <c r="CJ800" s="40"/>
      <c r="CK800" s="40"/>
      <c r="CL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40"/>
      <c r="CD801" s="40"/>
      <c r="CE801" s="40"/>
      <c r="CF801" s="40"/>
      <c r="CG801" s="40"/>
      <c r="CH801" s="40"/>
      <c r="CI801" s="40"/>
      <c r="CJ801" s="40"/>
      <c r="CK801" s="40"/>
      <c r="CL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  <c r="CA802" s="11"/>
      <c r="CB802" s="11"/>
      <c r="CC802" s="40"/>
      <c r="CD802" s="40"/>
      <c r="CE802" s="40"/>
      <c r="CF802" s="40"/>
      <c r="CG802" s="40"/>
      <c r="CH802" s="40"/>
      <c r="CI802" s="40"/>
      <c r="CJ802" s="40"/>
      <c r="CK802" s="40"/>
      <c r="CL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40"/>
      <c r="CD803" s="40"/>
      <c r="CE803" s="40"/>
      <c r="CF803" s="40"/>
      <c r="CG803" s="40"/>
      <c r="CH803" s="40"/>
      <c r="CI803" s="40"/>
      <c r="CJ803" s="40"/>
      <c r="CK803" s="40"/>
      <c r="CL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40"/>
      <c r="CD804" s="40"/>
      <c r="CE804" s="40"/>
      <c r="CF804" s="40"/>
      <c r="CG804" s="40"/>
      <c r="CH804" s="40"/>
      <c r="CI804" s="40"/>
      <c r="CJ804" s="40"/>
      <c r="CK804" s="40"/>
      <c r="CL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40"/>
      <c r="CD805" s="40"/>
      <c r="CE805" s="40"/>
      <c r="CF805" s="40"/>
      <c r="CG805" s="40"/>
      <c r="CH805" s="40"/>
      <c r="CI805" s="40"/>
      <c r="CJ805" s="40"/>
      <c r="CK805" s="40"/>
      <c r="CL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40"/>
      <c r="CD806" s="40"/>
      <c r="CE806" s="40"/>
      <c r="CF806" s="40"/>
      <c r="CG806" s="40"/>
      <c r="CH806" s="40"/>
      <c r="CI806" s="40"/>
      <c r="CJ806" s="40"/>
      <c r="CK806" s="40"/>
      <c r="CL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  <c r="CA807" s="11"/>
      <c r="CB807" s="11"/>
      <c r="CC807" s="40"/>
      <c r="CD807" s="40"/>
      <c r="CE807" s="40"/>
      <c r="CF807" s="40"/>
      <c r="CG807" s="40"/>
      <c r="CH807" s="40"/>
      <c r="CI807" s="40"/>
      <c r="CJ807" s="40"/>
      <c r="CK807" s="40"/>
      <c r="CL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40"/>
      <c r="CD808" s="40"/>
      <c r="CE808" s="40"/>
      <c r="CF808" s="40"/>
      <c r="CG808" s="40"/>
      <c r="CH808" s="40"/>
      <c r="CI808" s="40"/>
      <c r="CJ808" s="40"/>
      <c r="CK808" s="40"/>
      <c r="CL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40"/>
      <c r="CD809" s="40"/>
      <c r="CE809" s="40"/>
      <c r="CF809" s="40"/>
      <c r="CG809" s="40"/>
      <c r="CH809" s="40"/>
      <c r="CI809" s="40"/>
      <c r="CJ809" s="40"/>
      <c r="CK809" s="40"/>
      <c r="CL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  <c r="CC810" s="40"/>
      <c r="CD810" s="40"/>
      <c r="CE810" s="40"/>
      <c r="CF810" s="40"/>
      <c r="CG810" s="40"/>
      <c r="CH810" s="40"/>
      <c r="CI810" s="40"/>
      <c r="CJ810" s="40"/>
      <c r="CK810" s="40"/>
      <c r="CL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40"/>
      <c r="CD811" s="40"/>
      <c r="CE811" s="40"/>
      <c r="CF811" s="40"/>
      <c r="CG811" s="40"/>
      <c r="CH811" s="40"/>
      <c r="CI811" s="40"/>
      <c r="CJ811" s="40"/>
      <c r="CK811" s="40"/>
      <c r="CL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40"/>
      <c r="CD812" s="40"/>
      <c r="CE812" s="40"/>
      <c r="CF812" s="40"/>
      <c r="CG812" s="40"/>
      <c r="CH812" s="40"/>
      <c r="CI812" s="40"/>
      <c r="CJ812" s="40"/>
      <c r="CK812" s="40"/>
      <c r="CL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40"/>
      <c r="CD813" s="40"/>
      <c r="CE813" s="40"/>
      <c r="CF813" s="40"/>
      <c r="CG813" s="40"/>
      <c r="CH813" s="40"/>
      <c r="CI813" s="40"/>
      <c r="CJ813" s="40"/>
      <c r="CK813" s="40"/>
      <c r="CL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  <c r="CC814" s="40"/>
      <c r="CD814" s="40"/>
      <c r="CE814" s="40"/>
      <c r="CF814" s="40"/>
      <c r="CG814" s="40"/>
      <c r="CH814" s="40"/>
      <c r="CI814" s="40"/>
      <c r="CJ814" s="40"/>
      <c r="CK814" s="40"/>
      <c r="CL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  <c r="CC815" s="40"/>
      <c r="CD815" s="40"/>
      <c r="CE815" s="40"/>
      <c r="CF815" s="40"/>
      <c r="CG815" s="40"/>
      <c r="CH815" s="40"/>
      <c r="CI815" s="40"/>
      <c r="CJ815" s="40"/>
      <c r="CK815" s="40"/>
      <c r="CL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  <c r="CC816" s="40"/>
      <c r="CD816" s="40"/>
      <c r="CE816" s="40"/>
      <c r="CF816" s="40"/>
      <c r="CG816" s="40"/>
      <c r="CH816" s="40"/>
      <c r="CI816" s="40"/>
      <c r="CJ816" s="40"/>
      <c r="CK816" s="40"/>
      <c r="CL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  <c r="CC817" s="40"/>
      <c r="CD817" s="40"/>
      <c r="CE817" s="40"/>
      <c r="CF817" s="40"/>
      <c r="CG817" s="40"/>
      <c r="CH817" s="40"/>
      <c r="CI817" s="40"/>
      <c r="CJ817" s="40"/>
      <c r="CK817" s="40"/>
      <c r="CL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  <c r="CC818" s="40"/>
      <c r="CD818" s="40"/>
      <c r="CE818" s="40"/>
      <c r="CF818" s="40"/>
      <c r="CG818" s="40"/>
      <c r="CH818" s="40"/>
      <c r="CI818" s="40"/>
      <c r="CJ818" s="40"/>
      <c r="CK818" s="40"/>
      <c r="CL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  <c r="CC819" s="40"/>
      <c r="CD819" s="40"/>
      <c r="CE819" s="40"/>
      <c r="CF819" s="40"/>
      <c r="CG819" s="40"/>
      <c r="CH819" s="40"/>
      <c r="CI819" s="40"/>
      <c r="CJ819" s="40"/>
      <c r="CK819" s="40"/>
      <c r="CL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  <c r="CA820" s="11"/>
      <c r="CB820" s="11"/>
      <c r="CC820" s="40"/>
      <c r="CD820" s="40"/>
      <c r="CE820" s="40"/>
      <c r="CF820" s="40"/>
      <c r="CG820" s="40"/>
      <c r="CH820" s="40"/>
      <c r="CI820" s="40"/>
      <c r="CJ820" s="40"/>
      <c r="CK820" s="40"/>
      <c r="CL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  <c r="CC821" s="40"/>
      <c r="CD821" s="40"/>
      <c r="CE821" s="40"/>
      <c r="CF821" s="40"/>
      <c r="CG821" s="40"/>
      <c r="CH821" s="40"/>
      <c r="CI821" s="40"/>
      <c r="CJ821" s="40"/>
      <c r="CK821" s="40"/>
      <c r="CL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  <c r="CC822" s="40"/>
      <c r="CD822" s="40"/>
      <c r="CE822" s="40"/>
      <c r="CF822" s="40"/>
      <c r="CG822" s="40"/>
      <c r="CH822" s="40"/>
      <c r="CI822" s="40"/>
      <c r="CJ822" s="40"/>
      <c r="CK822" s="40"/>
      <c r="CL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  <c r="CC823" s="40"/>
      <c r="CD823" s="40"/>
      <c r="CE823" s="40"/>
      <c r="CF823" s="40"/>
      <c r="CG823" s="40"/>
      <c r="CH823" s="40"/>
      <c r="CI823" s="40"/>
      <c r="CJ823" s="40"/>
      <c r="CK823" s="40"/>
      <c r="CL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  <c r="CC824" s="40"/>
      <c r="CD824" s="40"/>
      <c r="CE824" s="40"/>
      <c r="CF824" s="40"/>
      <c r="CG824" s="40"/>
      <c r="CH824" s="40"/>
      <c r="CI824" s="40"/>
      <c r="CJ824" s="40"/>
      <c r="CK824" s="40"/>
      <c r="CL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40"/>
      <c r="CD825" s="40"/>
      <c r="CE825" s="40"/>
      <c r="CF825" s="40"/>
      <c r="CG825" s="40"/>
      <c r="CH825" s="40"/>
      <c r="CI825" s="40"/>
      <c r="CJ825" s="40"/>
      <c r="CK825" s="40"/>
      <c r="CL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40"/>
      <c r="CD826" s="40"/>
      <c r="CE826" s="40"/>
      <c r="CF826" s="40"/>
      <c r="CG826" s="40"/>
      <c r="CH826" s="40"/>
      <c r="CI826" s="40"/>
      <c r="CJ826" s="40"/>
      <c r="CK826" s="40"/>
      <c r="CL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  <c r="CC827" s="40"/>
      <c r="CD827" s="40"/>
      <c r="CE827" s="40"/>
      <c r="CF827" s="40"/>
      <c r="CG827" s="40"/>
      <c r="CH827" s="40"/>
      <c r="CI827" s="40"/>
      <c r="CJ827" s="40"/>
      <c r="CK827" s="40"/>
      <c r="CL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40"/>
      <c r="CD828" s="40"/>
      <c r="CE828" s="40"/>
      <c r="CF828" s="40"/>
      <c r="CG828" s="40"/>
      <c r="CH828" s="40"/>
      <c r="CI828" s="40"/>
      <c r="CJ828" s="40"/>
      <c r="CK828" s="40"/>
      <c r="CL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40"/>
      <c r="CD829" s="40"/>
      <c r="CE829" s="40"/>
      <c r="CF829" s="40"/>
      <c r="CG829" s="40"/>
      <c r="CH829" s="40"/>
      <c r="CI829" s="40"/>
      <c r="CJ829" s="40"/>
      <c r="CK829" s="40"/>
      <c r="CL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  <c r="CC830" s="40"/>
      <c r="CD830" s="40"/>
      <c r="CE830" s="40"/>
      <c r="CF830" s="40"/>
      <c r="CG830" s="40"/>
      <c r="CH830" s="40"/>
      <c r="CI830" s="40"/>
      <c r="CJ830" s="40"/>
      <c r="CK830" s="40"/>
      <c r="CL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40"/>
      <c r="CD831" s="40"/>
      <c r="CE831" s="40"/>
      <c r="CF831" s="40"/>
      <c r="CG831" s="40"/>
      <c r="CH831" s="40"/>
      <c r="CI831" s="40"/>
      <c r="CJ831" s="40"/>
      <c r="CK831" s="40"/>
      <c r="CL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40"/>
      <c r="CD832" s="40"/>
      <c r="CE832" s="40"/>
      <c r="CF832" s="40"/>
      <c r="CG832" s="40"/>
      <c r="CH832" s="40"/>
      <c r="CI832" s="40"/>
      <c r="CJ832" s="40"/>
      <c r="CK832" s="40"/>
      <c r="CL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40"/>
      <c r="CD833" s="40"/>
      <c r="CE833" s="40"/>
      <c r="CF833" s="40"/>
      <c r="CG833" s="40"/>
      <c r="CH833" s="40"/>
      <c r="CI833" s="40"/>
      <c r="CJ833" s="40"/>
      <c r="CK833" s="40"/>
      <c r="CL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40"/>
      <c r="CD834" s="40"/>
      <c r="CE834" s="40"/>
      <c r="CF834" s="40"/>
      <c r="CG834" s="40"/>
      <c r="CH834" s="40"/>
      <c r="CI834" s="40"/>
      <c r="CJ834" s="40"/>
      <c r="CK834" s="40"/>
      <c r="CL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40"/>
      <c r="CD835" s="40"/>
      <c r="CE835" s="40"/>
      <c r="CF835" s="40"/>
      <c r="CG835" s="40"/>
      <c r="CH835" s="40"/>
      <c r="CI835" s="40"/>
      <c r="CJ835" s="40"/>
      <c r="CK835" s="40"/>
      <c r="CL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  <c r="CC836" s="40"/>
      <c r="CD836" s="40"/>
      <c r="CE836" s="40"/>
      <c r="CF836" s="40"/>
      <c r="CG836" s="40"/>
      <c r="CH836" s="40"/>
      <c r="CI836" s="40"/>
      <c r="CJ836" s="40"/>
      <c r="CK836" s="40"/>
      <c r="CL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40"/>
      <c r="CD837" s="40"/>
      <c r="CE837" s="40"/>
      <c r="CF837" s="40"/>
      <c r="CG837" s="40"/>
      <c r="CH837" s="40"/>
      <c r="CI837" s="40"/>
      <c r="CJ837" s="40"/>
      <c r="CK837" s="40"/>
      <c r="CL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40"/>
      <c r="CD838" s="40"/>
      <c r="CE838" s="40"/>
      <c r="CF838" s="40"/>
      <c r="CG838" s="40"/>
      <c r="CH838" s="40"/>
      <c r="CI838" s="40"/>
      <c r="CJ838" s="40"/>
      <c r="CK838" s="40"/>
      <c r="CL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  <c r="CC839" s="40"/>
      <c r="CD839" s="40"/>
      <c r="CE839" s="40"/>
      <c r="CF839" s="40"/>
      <c r="CG839" s="40"/>
      <c r="CH839" s="40"/>
      <c r="CI839" s="40"/>
      <c r="CJ839" s="40"/>
      <c r="CK839" s="40"/>
      <c r="CL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40"/>
      <c r="CD840" s="40"/>
      <c r="CE840" s="40"/>
      <c r="CF840" s="40"/>
      <c r="CG840" s="40"/>
      <c r="CH840" s="40"/>
      <c r="CI840" s="40"/>
      <c r="CJ840" s="40"/>
      <c r="CK840" s="40"/>
      <c r="CL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40"/>
      <c r="CD841" s="40"/>
      <c r="CE841" s="40"/>
      <c r="CF841" s="40"/>
      <c r="CG841" s="40"/>
      <c r="CH841" s="40"/>
      <c r="CI841" s="40"/>
      <c r="CJ841" s="40"/>
      <c r="CK841" s="40"/>
      <c r="CL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40"/>
      <c r="CD842" s="40"/>
      <c r="CE842" s="40"/>
      <c r="CF842" s="40"/>
      <c r="CG842" s="40"/>
      <c r="CH842" s="40"/>
      <c r="CI842" s="40"/>
      <c r="CJ842" s="40"/>
      <c r="CK842" s="40"/>
      <c r="CL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40"/>
      <c r="CD843" s="40"/>
      <c r="CE843" s="40"/>
      <c r="CF843" s="40"/>
      <c r="CG843" s="40"/>
      <c r="CH843" s="40"/>
      <c r="CI843" s="40"/>
      <c r="CJ843" s="40"/>
      <c r="CK843" s="40"/>
      <c r="CL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40"/>
      <c r="CD844" s="40"/>
      <c r="CE844" s="40"/>
      <c r="CF844" s="40"/>
      <c r="CG844" s="40"/>
      <c r="CH844" s="40"/>
      <c r="CI844" s="40"/>
      <c r="CJ844" s="40"/>
      <c r="CK844" s="40"/>
      <c r="CL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  <c r="CC845" s="40"/>
      <c r="CD845" s="40"/>
      <c r="CE845" s="40"/>
      <c r="CF845" s="40"/>
      <c r="CG845" s="40"/>
      <c r="CH845" s="40"/>
      <c r="CI845" s="40"/>
      <c r="CJ845" s="40"/>
      <c r="CK845" s="40"/>
      <c r="CL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40"/>
      <c r="CD846" s="40"/>
      <c r="CE846" s="40"/>
      <c r="CF846" s="40"/>
      <c r="CG846" s="40"/>
      <c r="CH846" s="40"/>
      <c r="CI846" s="40"/>
      <c r="CJ846" s="40"/>
      <c r="CK846" s="40"/>
      <c r="CL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40"/>
      <c r="CD847" s="40"/>
      <c r="CE847" s="40"/>
      <c r="CF847" s="40"/>
      <c r="CG847" s="40"/>
      <c r="CH847" s="40"/>
      <c r="CI847" s="40"/>
      <c r="CJ847" s="40"/>
      <c r="CK847" s="40"/>
      <c r="CL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40"/>
      <c r="CD848" s="40"/>
      <c r="CE848" s="40"/>
      <c r="CF848" s="40"/>
      <c r="CG848" s="40"/>
      <c r="CH848" s="40"/>
      <c r="CI848" s="40"/>
      <c r="CJ848" s="40"/>
      <c r="CK848" s="40"/>
      <c r="CL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  <c r="CC849" s="40"/>
      <c r="CD849" s="40"/>
      <c r="CE849" s="40"/>
      <c r="CF849" s="40"/>
      <c r="CG849" s="40"/>
      <c r="CH849" s="40"/>
      <c r="CI849" s="40"/>
      <c r="CJ849" s="40"/>
      <c r="CK849" s="40"/>
      <c r="CL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  <c r="CC850" s="40"/>
      <c r="CD850" s="40"/>
      <c r="CE850" s="40"/>
      <c r="CF850" s="40"/>
      <c r="CG850" s="40"/>
      <c r="CH850" s="40"/>
      <c r="CI850" s="40"/>
      <c r="CJ850" s="40"/>
      <c r="CK850" s="40"/>
      <c r="CL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  <c r="CC851" s="40"/>
      <c r="CD851" s="40"/>
      <c r="CE851" s="40"/>
      <c r="CF851" s="40"/>
      <c r="CG851" s="40"/>
      <c r="CH851" s="40"/>
      <c r="CI851" s="40"/>
      <c r="CJ851" s="40"/>
      <c r="CK851" s="40"/>
      <c r="CL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40"/>
      <c r="CD852" s="40"/>
      <c r="CE852" s="40"/>
      <c r="CF852" s="40"/>
      <c r="CG852" s="40"/>
      <c r="CH852" s="40"/>
      <c r="CI852" s="40"/>
      <c r="CJ852" s="40"/>
      <c r="CK852" s="40"/>
      <c r="CL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40"/>
      <c r="CD853" s="40"/>
      <c r="CE853" s="40"/>
      <c r="CF853" s="40"/>
      <c r="CG853" s="40"/>
      <c r="CH853" s="40"/>
      <c r="CI853" s="40"/>
      <c r="CJ853" s="40"/>
      <c r="CK853" s="40"/>
      <c r="CL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  <c r="CC854" s="40"/>
      <c r="CD854" s="40"/>
      <c r="CE854" s="40"/>
      <c r="CF854" s="40"/>
      <c r="CG854" s="40"/>
      <c r="CH854" s="40"/>
      <c r="CI854" s="40"/>
      <c r="CJ854" s="40"/>
      <c r="CK854" s="40"/>
      <c r="CL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  <c r="CC855" s="40"/>
      <c r="CD855" s="40"/>
      <c r="CE855" s="40"/>
      <c r="CF855" s="40"/>
      <c r="CG855" s="40"/>
      <c r="CH855" s="40"/>
      <c r="CI855" s="40"/>
      <c r="CJ855" s="40"/>
      <c r="CK855" s="40"/>
      <c r="CL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40"/>
      <c r="CD856" s="40"/>
      <c r="CE856" s="40"/>
      <c r="CF856" s="40"/>
      <c r="CG856" s="40"/>
      <c r="CH856" s="40"/>
      <c r="CI856" s="40"/>
      <c r="CJ856" s="40"/>
      <c r="CK856" s="40"/>
      <c r="CL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40"/>
      <c r="CD857" s="40"/>
      <c r="CE857" s="40"/>
      <c r="CF857" s="40"/>
      <c r="CG857" s="40"/>
      <c r="CH857" s="40"/>
      <c r="CI857" s="40"/>
      <c r="CJ857" s="40"/>
      <c r="CK857" s="40"/>
      <c r="CL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40"/>
      <c r="CD858" s="40"/>
      <c r="CE858" s="40"/>
      <c r="CF858" s="40"/>
      <c r="CG858" s="40"/>
      <c r="CH858" s="40"/>
      <c r="CI858" s="40"/>
      <c r="CJ858" s="40"/>
      <c r="CK858" s="40"/>
      <c r="CL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  <c r="CA859" s="11"/>
      <c r="CB859" s="11"/>
      <c r="CC859" s="40"/>
      <c r="CD859" s="40"/>
      <c r="CE859" s="40"/>
      <c r="CF859" s="40"/>
      <c r="CG859" s="40"/>
      <c r="CH859" s="40"/>
      <c r="CI859" s="40"/>
      <c r="CJ859" s="40"/>
      <c r="CK859" s="40"/>
      <c r="CL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  <c r="BZ860" s="11"/>
      <c r="CA860" s="11"/>
      <c r="CB860" s="11"/>
      <c r="CC860" s="40"/>
      <c r="CD860" s="40"/>
      <c r="CE860" s="40"/>
      <c r="CF860" s="40"/>
      <c r="CG860" s="40"/>
      <c r="CH860" s="40"/>
      <c r="CI860" s="40"/>
      <c r="CJ860" s="40"/>
      <c r="CK860" s="40"/>
      <c r="CL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  <c r="BZ861" s="11"/>
      <c r="CA861" s="11"/>
      <c r="CB861" s="11"/>
      <c r="CC861" s="40"/>
      <c r="CD861" s="40"/>
      <c r="CE861" s="40"/>
      <c r="CF861" s="40"/>
      <c r="CG861" s="40"/>
      <c r="CH861" s="40"/>
      <c r="CI861" s="40"/>
      <c r="CJ861" s="40"/>
      <c r="CK861" s="40"/>
      <c r="CL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  <c r="BZ862" s="11"/>
      <c r="CA862" s="11"/>
      <c r="CB862" s="11"/>
      <c r="CC862" s="40"/>
      <c r="CD862" s="40"/>
      <c r="CE862" s="40"/>
      <c r="CF862" s="40"/>
      <c r="CG862" s="40"/>
      <c r="CH862" s="40"/>
      <c r="CI862" s="40"/>
      <c r="CJ862" s="40"/>
      <c r="CK862" s="40"/>
      <c r="CL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  <c r="BZ863" s="11"/>
      <c r="CA863" s="11"/>
      <c r="CB863" s="11"/>
      <c r="CC863" s="40"/>
      <c r="CD863" s="40"/>
      <c r="CE863" s="40"/>
      <c r="CF863" s="40"/>
      <c r="CG863" s="40"/>
      <c r="CH863" s="40"/>
      <c r="CI863" s="40"/>
      <c r="CJ863" s="40"/>
      <c r="CK863" s="40"/>
      <c r="CL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  <c r="BZ864" s="11"/>
      <c r="CA864" s="11"/>
      <c r="CB864" s="11"/>
      <c r="CC864" s="40"/>
      <c r="CD864" s="40"/>
      <c r="CE864" s="40"/>
      <c r="CF864" s="40"/>
      <c r="CG864" s="40"/>
      <c r="CH864" s="40"/>
      <c r="CI864" s="40"/>
      <c r="CJ864" s="40"/>
      <c r="CK864" s="40"/>
      <c r="CL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  <c r="CA865" s="11"/>
      <c r="CB865" s="11"/>
      <c r="CC865" s="40"/>
      <c r="CD865" s="40"/>
      <c r="CE865" s="40"/>
      <c r="CF865" s="40"/>
      <c r="CG865" s="40"/>
      <c r="CH865" s="40"/>
      <c r="CI865" s="40"/>
      <c r="CJ865" s="40"/>
      <c r="CK865" s="40"/>
      <c r="CL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  <c r="BZ866" s="11"/>
      <c r="CA866" s="11"/>
      <c r="CB866" s="11"/>
      <c r="CC866" s="40"/>
      <c r="CD866" s="40"/>
      <c r="CE866" s="40"/>
      <c r="CF866" s="40"/>
      <c r="CG866" s="40"/>
      <c r="CH866" s="40"/>
      <c r="CI866" s="40"/>
      <c r="CJ866" s="40"/>
      <c r="CK866" s="40"/>
      <c r="CL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  <c r="BZ867" s="11"/>
      <c r="CA867" s="11"/>
      <c r="CB867" s="11"/>
      <c r="CC867" s="40"/>
      <c r="CD867" s="40"/>
      <c r="CE867" s="40"/>
      <c r="CF867" s="40"/>
      <c r="CG867" s="40"/>
      <c r="CH867" s="40"/>
      <c r="CI867" s="40"/>
      <c r="CJ867" s="40"/>
      <c r="CK867" s="40"/>
      <c r="CL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  <c r="BZ868" s="11"/>
      <c r="CA868" s="11"/>
      <c r="CB868" s="11"/>
      <c r="CC868" s="40"/>
      <c r="CD868" s="40"/>
      <c r="CE868" s="40"/>
      <c r="CF868" s="40"/>
      <c r="CG868" s="40"/>
      <c r="CH868" s="40"/>
      <c r="CI868" s="40"/>
      <c r="CJ868" s="40"/>
      <c r="CK868" s="40"/>
      <c r="CL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  <c r="BZ869" s="11"/>
      <c r="CA869" s="11"/>
      <c r="CB869" s="11"/>
      <c r="CC869" s="40"/>
      <c r="CD869" s="40"/>
      <c r="CE869" s="40"/>
      <c r="CF869" s="40"/>
      <c r="CG869" s="40"/>
      <c r="CH869" s="40"/>
      <c r="CI869" s="40"/>
      <c r="CJ869" s="40"/>
      <c r="CK869" s="40"/>
      <c r="CL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  <c r="BZ870" s="11"/>
      <c r="CA870" s="11"/>
      <c r="CB870" s="11"/>
      <c r="CC870" s="40"/>
      <c r="CD870" s="40"/>
      <c r="CE870" s="40"/>
      <c r="CF870" s="40"/>
      <c r="CG870" s="40"/>
      <c r="CH870" s="40"/>
      <c r="CI870" s="40"/>
      <c r="CJ870" s="40"/>
      <c r="CK870" s="40"/>
      <c r="CL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  <c r="BZ871" s="11"/>
      <c r="CA871" s="11"/>
      <c r="CB871" s="11"/>
      <c r="CC871" s="40"/>
      <c r="CD871" s="40"/>
      <c r="CE871" s="40"/>
      <c r="CF871" s="40"/>
      <c r="CG871" s="40"/>
      <c r="CH871" s="40"/>
      <c r="CI871" s="40"/>
      <c r="CJ871" s="40"/>
      <c r="CK871" s="40"/>
      <c r="CL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  <c r="BZ872" s="11"/>
      <c r="CA872" s="11"/>
      <c r="CB872" s="11"/>
      <c r="CC872" s="40"/>
      <c r="CD872" s="40"/>
      <c r="CE872" s="40"/>
      <c r="CF872" s="40"/>
      <c r="CG872" s="40"/>
      <c r="CH872" s="40"/>
      <c r="CI872" s="40"/>
      <c r="CJ872" s="40"/>
      <c r="CK872" s="40"/>
      <c r="CL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  <c r="BZ873" s="11"/>
      <c r="CA873" s="11"/>
      <c r="CB873" s="11"/>
      <c r="CC873" s="40"/>
      <c r="CD873" s="40"/>
      <c r="CE873" s="40"/>
      <c r="CF873" s="40"/>
      <c r="CG873" s="40"/>
      <c r="CH873" s="40"/>
      <c r="CI873" s="40"/>
      <c r="CJ873" s="40"/>
      <c r="CK873" s="40"/>
      <c r="CL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  <c r="CA874" s="11"/>
      <c r="CB874" s="11"/>
      <c r="CC874" s="40"/>
      <c r="CD874" s="40"/>
      <c r="CE874" s="40"/>
      <c r="CF874" s="40"/>
      <c r="CG874" s="40"/>
      <c r="CH874" s="40"/>
      <c r="CI874" s="40"/>
      <c r="CJ874" s="40"/>
      <c r="CK874" s="40"/>
      <c r="CL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  <c r="BZ875" s="11"/>
      <c r="CA875" s="11"/>
      <c r="CB875" s="11"/>
      <c r="CC875" s="40"/>
      <c r="CD875" s="40"/>
      <c r="CE875" s="40"/>
      <c r="CF875" s="40"/>
      <c r="CG875" s="40"/>
      <c r="CH875" s="40"/>
      <c r="CI875" s="40"/>
      <c r="CJ875" s="40"/>
      <c r="CK875" s="40"/>
      <c r="CL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  <c r="CA876" s="11"/>
      <c r="CB876" s="11"/>
      <c r="CC876" s="40"/>
      <c r="CD876" s="40"/>
      <c r="CE876" s="40"/>
      <c r="CF876" s="40"/>
      <c r="CG876" s="40"/>
      <c r="CH876" s="40"/>
      <c r="CI876" s="40"/>
      <c r="CJ876" s="40"/>
      <c r="CK876" s="40"/>
      <c r="CL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  <c r="BZ877" s="11"/>
      <c r="CA877" s="11"/>
      <c r="CB877" s="11"/>
      <c r="CC877" s="40"/>
      <c r="CD877" s="40"/>
      <c r="CE877" s="40"/>
      <c r="CF877" s="40"/>
      <c r="CG877" s="40"/>
      <c r="CH877" s="40"/>
      <c r="CI877" s="40"/>
      <c r="CJ877" s="40"/>
      <c r="CK877" s="40"/>
      <c r="CL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  <c r="CA878" s="11"/>
      <c r="CB878" s="11"/>
      <c r="CC878" s="40"/>
      <c r="CD878" s="40"/>
      <c r="CE878" s="40"/>
      <c r="CF878" s="40"/>
      <c r="CG878" s="40"/>
      <c r="CH878" s="40"/>
      <c r="CI878" s="40"/>
      <c r="CJ878" s="40"/>
      <c r="CK878" s="40"/>
      <c r="CL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  <c r="BZ879" s="11"/>
      <c r="CA879" s="11"/>
      <c r="CB879" s="11"/>
      <c r="CC879" s="40"/>
      <c r="CD879" s="40"/>
      <c r="CE879" s="40"/>
      <c r="CF879" s="40"/>
      <c r="CG879" s="40"/>
      <c r="CH879" s="40"/>
      <c r="CI879" s="40"/>
      <c r="CJ879" s="40"/>
      <c r="CK879" s="40"/>
      <c r="CL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  <c r="BZ880" s="11"/>
      <c r="CA880" s="11"/>
      <c r="CB880" s="11"/>
      <c r="CC880" s="40"/>
      <c r="CD880" s="40"/>
      <c r="CE880" s="40"/>
      <c r="CF880" s="40"/>
      <c r="CG880" s="40"/>
      <c r="CH880" s="40"/>
      <c r="CI880" s="40"/>
      <c r="CJ880" s="40"/>
      <c r="CK880" s="40"/>
      <c r="CL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  <c r="BZ881" s="11"/>
      <c r="CA881" s="11"/>
      <c r="CB881" s="11"/>
      <c r="CC881" s="40"/>
      <c r="CD881" s="40"/>
      <c r="CE881" s="40"/>
      <c r="CF881" s="40"/>
      <c r="CG881" s="40"/>
      <c r="CH881" s="40"/>
      <c r="CI881" s="40"/>
      <c r="CJ881" s="40"/>
      <c r="CK881" s="40"/>
      <c r="CL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  <c r="BZ882" s="11"/>
      <c r="CA882" s="11"/>
      <c r="CB882" s="11"/>
      <c r="CC882" s="40"/>
      <c r="CD882" s="40"/>
      <c r="CE882" s="40"/>
      <c r="CF882" s="40"/>
      <c r="CG882" s="40"/>
      <c r="CH882" s="40"/>
      <c r="CI882" s="40"/>
      <c r="CJ882" s="40"/>
      <c r="CK882" s="40"/>
      <c r="CL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  <c r="BZ883" s="11"/>
      <c r="CA883" s="11"/>
      <c r="CB883" s="11"/>
      <c r="CC883" s="40"/>
      <c r="CD883" s="40"/>
      <c r="CE883" s="40"/>
      <c r="CF883" s="40"/>
      <c r="CG883" s="40"/>
      <c r="CH883" s="40"/>
      <c r="CI883" s="40"/>
      <c r="CJ883" s="40"/>
      <c r="CK883" s="40"/>
      <c r="CL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  <c r="BZ884" s="11"/>
      <c r="CA884" s="11"/>
      <c r="CB884" s="11"/>
      <c r="CC884" s="40"/>
      <c r="CD884" s="40"/>
      <c r="CE884" s="40"/>
      <c r="CF884" s="40"/>
      <c r="CG884" s="40"/>
      <c r="CH884" s="40"/>
      <c r="CI884" s="40"/>
      <c r="CJ884" s="40"/>
      <c r="CK884" s="40"/>
      <c r="CL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  <c r="BZ885" s="11"/>
      <c r="CA885" s="11"/>
      <c r="CB885" s="11"/>
      <c r="CC885" s="40"/>
      <c r="CD885" s="40"/>
      <c r="CE885" s="40"/>
      <c r="CF885" s="40"/>
      <c r="CG885" s="40"/>
      <c r="CH885" s="40"/>
      <c r="CI885" s="40"/>
      <c r="CJ885" s="40"/>
      <c r="CK885" s="40"/>
      <c r="CL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  <c r="CA886" s="11"/>
      <c r="CB886" s="11"/>
      <c r="CC886" s="40"/>
      <c r="CD886" s="40"/>
      <c r="CE886" s="40"/>
      <c r="CF886" s="40"/>
      <c r="CG886" s="40"/>
      <c r="CH886" s="40"/>
      <c r="CI886" s="40"/>
      <c r="CJ886" s="40"/>
      <c r="CK886" s="40"/>
      <c r="CL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  <c r="BZ887" s="11"/>
      <c r="CA887" s="11"/>
      <c r="CB887" s="11"/>
      <c r="CC887" s="40"/>
      <c r="CD887" s="40"/>
      <c r="CE887" s="40"/>
      <c r="CF887" s="40"/>
      <c r="CG887" s="40"/>
      <c r="CH887" s="40"/>
      <c r="CI887" s="40"/>
      <c r="CJ887" s="40"/>
      <c r="CK887" s="40"/>
      <c r="CL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  <c r="CA888" s="11"/>
      <c r="CB888" s="11"/>
      <c r="CC888" s="40"/>
      <c r="CD888" s="40"/>
      <c r="CE888" s="40"/>
      <c r="CF888" s="40"/>
      <c r="CG888" s="40"/>
      <c r="CH888" s="40"/>
      <c r="CI888" s="40"/>
      <c r="CJ888" s="40"/>
      <c r="CK888" s="40"/>
      <c r="CL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  <c r="BZ889" s="11"/>
      <c r="CA889" s="11"/>
      <c r="CB889" s="11"/>
      <c r="CC889" s="40"/>
      <c r="CD889" s="40"/>
      <c r="CE889" s="40"/>
      <c r="CF889" s="40"/>
      <c r="CG889" s="40"/>
      <c r="CH889" s="40"/>
      <c r="CI889" s="40"/>
      <c r="CJ889" s="40"/>
      <c r="CK889" s="40"/>
      <c r="CL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  <c r="BZ890" s="11"/>
      <c r="CA890" s="11"/>
      <c r="CB890" s="11"/>
      <c r="CC890" s="40"/>
      <c r="CD890" s="40"/>
      <c r="CE890" s="40"/>
      <c r="CF890" s="40"/>
      <c r="CG890" s="40"/>
      <c r="CH890" s="40"/>
      <c r="CI890" s="40"/>
      <c r="CJ890" s="40"/>
      <c r="CK890" s="40"/>
      <c r="CL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  <c r="BZ891" s="11"/>
      <c r="CA891" s="11"/>
      <c r="CB891" s="11"/>
      <c r="CC891" s="40"/>
      <c r="CD891" s="40"/>
      <c r="CE891" s="40"/>
      <c r="CF891" s="40"/>
      <c r="CG891" s="40"/>
      <c r="CH891" s="40"/>
      <c r="CI891" s="40"/>
      <c r="CJ891" s="40"/>
      <c r="CK891" s="40"/>
      <c r="CL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  <c r="BZ892" s="11"/>
      <c r="CA892" s="11"/>
      <c r="CB892" s="11"/>
      <c r="CC892" s="40"/>
      <c r="CD892" s="40"/>
      <c r="CE892" s="40"/>
      <c r="CF892" s="40"/>
      <c r="CG892" s="40"/>
      <c r="CH892" s="40"/>
      <c r="CI892" s="40"/>
      <c r="CJ892" s="40"/>
      <c r="CK892" s="40"/>
      <c r="CL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  <c r="BZ893" s="11"/>
      <c r="CA893" s="11"/>
      <c r="CB893" s="11"/>
      <c r="CC893" s="40"/>
      <c r="CD893" s="40"/>
      <c r="CE893" s="40"/>
      <c r="CF893" s="40"/>
      <c r="CG893" s="40"/>
      <c r="CH893" s="40"/>
      <c r="CI893" s="40"/>
      <c r="CJ893" s="40"/>
      <c r="CK893" s="40"/>
      <c r="CL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  <c r="BZ894" s="11"/>
      <c r="CA894" s="11"/>
      <c r="CB894" s="11"/>
      <c r="CC894" s="40"/>
      <c r="CD894" s="40"/>
      <c r="CE894" s="40"/>
      <c r="CF894" s="40"/>
      <c r="CG894" s="40"/>
      <c r="CH894" s="40"/>
      <c r="CI894" s="40"/>
      <c r="CJ894" s="40"/>
      <c r="CK894" s="40"/>
      <c r="CL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  <c r="BZ895" s="11"/>
      <c r="CA895" s="11"/>
      <c r="CB895" s="11"/>
      <c r="CC895" s="40"/>
      <c r="CD895" s="40"/>
      <c r="CE895" s="40"/>
      <c r="CF895" s="40"/>
      <c r="CG895" s="40"/>
      <c r="CH895" s="40"/>
      <c r="CI895" s="40"/>
      <c r="CJ895" s="40"/>
      <c r="CK895" s="40"/>
      <c r="CL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  <c r="BV896" s="11"/>
      <c r="BW896" s="11"/>
      <c r="BX896" s="11"/>
      <c r="BY896" s="11"/>
      <c r="BZ896" s="11"/>
      <c r="CA896" s="11"/>
      <c r="CB896" s="11"/>
      <c r="CC896" s="40"/>
      <c r="CD896" s="40"/>
      <c r="CE896" s="40"/>
      <c r="CF896" s="40"/>
      <c r="CG896" s="40"/>
      <c r="CH896" s="40"/>
      <c r="CI896" s="40"/>
      <c r="CJ896" s="40"/>
      <c r="CK896" s="40"/>
      <c r="CL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  <c r="BV897" s="11"/>
      <c r="BW897" s="11"/>
      <c r="BX897" s="11"/>
      <c r="BY897" s="11"/>
      <c r="BZ897" s="11"/>
      <c r="CA897" s="11"/>
      <c r="CB897" s="11"/>
      <c r="CC897" s="40"/>
      <c r="CD897" s="40"/>
      <c r="CE897" s="40"/>
      <c r="CF897" s="40"/>
      <c r="CG897" s="40"/>
      <c r="CH897" s="40"/>
      <c r="CI897" s="40"/>
      <c r="CJ897" s="40"/>
      <c r="CK897" s="40"/>
      <c r="CL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  <c r="BV898" s="11"/>
      <c r="BW898" s="11"/>
      <c r="BX898" s="11"/>
      <c r="BY898" s="11"/>
      <c r="BZ898" s="11"/>
      <c r="CA898" s="11"/>
      <c r="CB898" s="11"/>
      <c r="CC898" s="40"/>
      <c r="CD898" s="40"/>
      <c r="CE898" s="40"/>
      <c r="CF898" s="40"/>
      <c r="CG898" s="40"/>
      <c r="CH898" s="40"/>
      <c r="CI898" s="40"/>
      <c r="CJ898" s="40"/>
      <c r="CK898" s="40"/>
      <c r="CL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  <c r="BZ899" s="11"/>
      <c r="CA899" s="11"/>
      <c r="CB899" s="11"/>
      <c r="CC899" s="40"/>
      <c r="CD899" s="40"/>
      <c r="CE899" s="40"/>
      <c r="CF899" s="40"/>
      <c r="CG899" s="40"/>
      <c r="CH899" s="40"/>
      <c r="CI899" s="40"/>
      <c r="CJ899" s="40"/>
      <c r="CK899" s="40"/>
      <c r="CL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  <c r="BZ900" s="11"/>
      <c r="CA900" s="11"/>
      <c r="CB900" s="11"/>
      <c r="CC900" s="40"/>
      <c r="CD900" s="40"/>
      <c r="CE900" s="40"/>
      <c r="CF900" s="40"/>
      <c r="CG900" s="40"/>
      <c r="CH900" s="40"/>
      <c r="CI900" s="40"/>
      <c r="CJ900" s="40"/>
      <c r="CK900" s="40"/>
      <c r="CL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  <c r="BZ901" s="11"/>
      <c r="CA901" s="11"/>
      <c r="CB901" s="11"/>
      <c r="CC901" s="40"/>
      <c r="CD901" s="40"/>
      <c r="CE901" s="40"/>
      <c r="CF901" s="40"/>
      <c r="CG901" s="40"/>
      <c r="CH901" s="40"/>
      <c r="CI901" s="40"/>
      <c r="CJ901" s="40"/>
      <c r="CK901" s="40"/>
      <c r="CL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  <c r="BZ902" s="11"/>
      <c r="CA902" s="11"/>
      <c r="CB902" s="11"/>
      <c r="CC902" s="40"/>
      <c r="CD902" s="40"/>
      <c r="CE902" s="40"/>
      <c r="CF902" s="40"/>
      <c r="CG902" s="40"/>
      <c r="CH902" s="40"/>
      <c r="CI902" s="40"/>
      <c r="CJ902" s="40"/>
      <c r="CK902" s="40"/>
      <c r="CL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  <c r="BZ903" s="11"/>
      <c r="CA903" s="11"/>
      <c r="CB903" s="11"/>
      <c r="CC903" s="40"/>
      <c r="CD903" s="40"/>
      <c r="CE903" s="40"/>
      <c r="CF903" s="40"/>
      <c r="CG903" s="40"/>
      <c r="CH903" s="40"/>
      <c r="CI903" s="40"/>
      <c r="CJ903" s="40"/>
      <c r="CK903" s="40"/>
      <c r="CL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  <c r="BZ904" s="11"/>
      <c r="CA904" s="11"/>
      <c r="CB904" s="11"/>
      <c r="CC904" s="40"/>
      <c r="CD904" s="40"/>
      <c r="CE904" s="40"/>
      <c r="CF904" s="40"/>
      <c r="CG904" s="40"/>
      <c r="CH904" s="40"/>
      <c r="CI904" s="40"/>
      <c r="CJ904" s="40"/>
      <c r="CK904" s="40"/>
      <c r="CL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  <c r="BZ905" s="11"/>
      <c r="CA905" s="11"/>
      <c r="CB905" s="11"/>
      <c r="CC905" s="40"/>
      <c r="CD905" s="40"/>
      <c r="CE905" s="40"/>
      <c r="CF905" s="40"/>
      <c r="CG905" s="40"/>
      <c r="CH905" s="40"/>
      <c r="CI905" s="40"/>
      <c r="CJ905" s="40"/>
      <c r="CK905" s="40"/>
      <c r="CL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  <c r="BZ906" s="11"/>
      <c r="CA906" s="11"/>
      <c r="CB906" s="11"/>
      <c r="CC906" s="40"/>
      <c r="CD906" s="40"/>
      <c r="CE906" s="40"/>
      <c r="CF906" s="40"/>
      <c r="CG906" s="40"/>
      <c r="CH906" s="40"/>
      <c r="CI906" s="40"/>
      <c r="CJ906" s="40"/>
      <c r="CK906" s="40"/>
      <c r="CL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  <c r="BZ907" s="11"/>
      <c r="CA907" s="11"/>
      <c r="CB907" s="11"/>
      <c r="CC907" s="40"/>
      <c r="CD907" s="40"/>
      <c r="CE907" s="40"/>
      <c r="CF907" s="40"/>
      <c r="CG907" s="40"/>
      <c r="CH907" s="40"/>
      <c r="CI907" s="40"/>
      <c r="CJ907" s="40"/>
      <c r="CK907" s="40"/>
      <c r="CL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  <c r="BZ908" s="11"/>
      <c r="CA908" s="11"/>
      <c r="CB908" s="11"/>
      <c r="CC908" s="40"/>
      <c r="CD908" s="40"/>
      <c r="CE908" s="40"/>
      <c r="CF908" s="40"/>
      <c r="CG908" s="40"/>
      <c r="CH908" s="40"/>
      <c r="CI908" s="40"/>
      <c r="CJ908" s="40"/>
      <c r="CK908" s="40"/>
      <c r="CL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  <c r="BZ909" s="11"/>
      <c r="CA909" s="11"/>
      <c r="CB909" s="11"/>
      <c r="CC909" s="40"/>
      <c r="CD909" s="40"/>
      <c r="CE909" s="40"/>
      <c r="CF909" s="40"/>
      <c r="CG909" s="40"/>
      <c r="CH909" s="40"/>
      <c r="CI909" s="40"/>
      <c r="CJ909" s="40"/>
      <c r="CK909" s="40"/>
      <c r="CL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  <c r="BZ910" s="11"/>
      <c r="CA910" s="11"/>
      <c r="CB910" s="11"/>
      <c r="CC910" s="40"/>
      <c r="CD910" s="40"/>
      <c r="CE910" s="40"/>
      <c r="CF910" s="40"/>
      <c r="CG910" s="40"/>
      <c r="CH910" s="40"/>
      <c r="CI910" s="40"/>
      <c r="CJ910" s="40"/>
      <c r="CK910" s="40"/>
      <c r="CL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  <c r="BZ911" s="11"/>
      <c r="CA911" s="11"/>
      <c r="CB911" s="11"/>
      <c r="CC911" s="40"/>
      <c r="CD911" s="40"/>
      <c r="CE911" s="40"/>
      <c r="CF911" s="40"/>
      <c r="CG911" s="40"/>
      <c r="CH911" s="40"/>
      <c r="CI911" s="40"/>
      <c r="CJ911" s="40"/>
      <c r="CK911" s="40"/>
      <c r="CL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  <c r="BZ912" s="11"/>
      <c r="CA912" s="11"/>
      <c r="CB912" s="11"/>
      <c r="CC912" s="40"/>
      <c r="CD912" s="40"/>
      <c r="CE912" s="40"/>
      <c r="CF912" s="40"/>
      <c r="CG912" s="40"/>
      <c r="CH912" s="40"/>
      <c r="CI912" s="40"/>
      <c r="CJ912" s="40"/>
      <c r="CK912" s="40"/>
      <c r="CL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  <c r="BZ913" s="11"/>
      <c r="CA913" s="11"/>
      <c r="CB913" s="11"/>
      <c r="CC913" s="40"/>
      <c r="CD913" s="40"/>
      <c r="CE913" s="40"/>
      <c r="CF913" s="40"/>
      <c r="CG913" s="40"/>
      <c r="CH913" s="40"/>
      <c r="CI913" s="40"/>
      <c r="CJ913" s="40"/>
      <c r="CK913" s="40"/>
      <c r="CL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  <c r="BZ914" s="11"/>
      <c r="CA914" s="11"/>
      <c r="CB914" s="11"/>
      <c r="CC914" s="40"/>
      <c r="CD914" s="40"/>
      <c r="CE914" s="40"/>
      <c r="CF914" s="40"/>
      <c r="CG914" s="40"/>
      <c r="CH914" s="40"/>
      <c r="CI914" s="40"/>
      <c r="CJ914" s="40"/>
      <c r="CK914" s="40"/>
      <c r="CL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  <c r="BZ915" s="11"/>
      <c r="CA915" s="11"/>
      <c r="CB915" s="11"/>
      <c r="CC915" s="40"/>
      <c r="CD915" s="40"/>
      <c r="CE915" s="40"/>
      <c r="CF915" s="40"/>
      <c r="CG915" s="40"/>
      <c r="CH915" s="40"/>
      <c r="CI915" s="40"/>
      <c r="CJ915" s="40"/>
      <c r="CK915" s="40"/>
      <c r="CL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  <c r="BZ916" s="11"/>
      <c r="CA916" s="11"/>
      <c r="CB916" s="11"/>
      <c r="CC916" s="40"/>
      <c r="CD916" s="40"/>
      <c r="CE916" s="40"/>
      <c r="CF916" s="40"/>
      <c r="CG916" s="40"/>
      <c r="CH916" s="40"/>
      <c r="CI916" s="40"/>
      <c r="CJ916" s="40"/>
      <c r="CK916" s="40"/>
      <c r="CL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  <c r="BZ917" s="11"/>
      <c r="CA917" s="11"/>
      <c r="CB917" s="11"/>
      <c r="CC917" s="40"/>
      <c r="CD917" s="40"/>
      <c r="CE917" s="40"/>
      <c r="CF917" s="40"/>
      <c r="CG917" s="40"/>
      <c r="CH917" s="40"/>
      <c r="CI917" s="40"/>
      <c r="CJ917" s="40"/>
      <c r="CK917" s="40"/>
      <c r="CL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  <c r="BZ918" s="11"/>
      <c r="CA918" s="11"/>
      <c r="CB918" s="11"/>
      <c r="CC918" s="40"/>
      <c r="CD918" s="40"/>
      <c r="CE918" s="40"/>
      <c r="CF918" s="40"/>
      <c r="CG918" s="40"/>
      <c r="CH918" s="40"/>
      <c r="CI918" s="40"/>
      <c r="CJ918" s="40"/>
      <c r="CK918" s="40"/>
      <c r="CL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  <c r="BZ919" s="11"/>
      <c r="CA919" s="11"/>
      <c r="CB919" s="11"/>
      <c r="CC919" s="40"/>
      <c r="CD919" s="40"/>
      <c r="CE919" s="40"/>
      <c r="CF919" s="40"/>
      <c r="CG919" s="40"/>
      <c r="CH919" s="40"/>
      <c r="CI919" s="40"/>
      <c r="CJ919" s="40"/>
      <c r="CK919" s="40"/>
      <c r="CL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  <c r="BZ920" s="11"/>
      <c r="CA920" s="11"/>
      <c r="CB920" s="11"/>
      <c r="CC920" s="40"/>
      <c r="CD920" s="40"/>
      <c r="CE920" s="40"/>
      <c r="CF920" s="40"/>
      <c r="CG920" s="40"/>
      <c r="CH920" s="40"/>
      <c r="CI920" s="40"/>
      <c r="CJ920" s="40"/>
      <c r="CK920" s="40"/>
      <c r="CL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  <c r="BZ921" s="11"/>
      <c r="CA921" s="11"/>
      <c r="CB921" s="11"/>
      <c r="CC921" s="40"/>
      <c r="CD921" s="40"/>
      <c r="CE921" s="40"/>
      <c r="CF921" s="40"/>
      <c r="CG921" s="40"/>
      <c r="CH921" s="40"/>
      <c r="CI921" s="40"/>
      <c r="CJ921" s="40"/>
      <c r="CK921" s="40"/>
      <c r="CL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  <c r="BZ922" s="11"/>
      <c r="CA922" s="11"/>
      <c r="CB922" s="11"/>
      <c r="CC922" s="40"/>
      <c r="CD922" s="40"/>
      <c r="CE922" s="40"/>
      <c r="CF922" s="40"/>
      <c r="CG922" s="40"/>
      <c r="CH922" s="40"/>
      <c r="CI922" s="40"/>
      <c r="CJ922" s="40"/>
      <c r="CK922" s="40"/>
      <c r="CL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  <c r="BZ923" s="11"/>
      <c r="CA923" s="11"/>
      <c r="CB923" s="11"/>
      <c r="CC923" s="40"/>
      <c r="CD923" s="40"/>
      <c r="CE923" s="40"/>
      <c r="CF923" s="40"/>
      <c r="CG923" s="40"/>
      <c r="CH923" s="40"/>
      <c r="CI923" s="40"/>
      <c r="CJ923" s="40"/>
      <c r="CK923" s="40"/>
      <c r="CL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  <c r="BZ924" s="11"/>
      <c r="CA924" s="11"/>
      <c r="CB924" s="11"/>
      <c r="CC924" s="40"/>
      <c r="CD924" s="40"/>
      <c r="CE924" s="40"/>
      <c r="CF924" s="40"/>
      <c r="CG924" s="40"/>
      <c r="CH924" s="40"/>
      <c r="CI924" s="40"/>
      <c r="CJ924" s="40"/>
      <c r="CK924" s="40"/>
      <c r="CL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  <c r="BZ925" s="11"/>
      <c r="CA925" s="11"/>
      <c r="CB925" s="11"/>
      <c r="CC925" s="40"/>
      <c r="CD925" s="40"/>
      <c r="CE925" s="40"/>
      <c r="CF925" s="40"/>
      <c r="CG925" s="40"/>
      <c r="CH925" s="40"/>
      <c r="CI925" s="40"/>
      <c r="CJ925" s="40"/>
      <c r="CK925" s="40"/>
      <c r="CL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  <c r="BZ926" s="11"/>
      <c r="CA926" s="11"/>
      <c r="CB926" s="11"/>
      <c r="CC926" s="40"/>
      <c r="CD926" s="40"/>
      <c r="CE926" s="40"/>
      <c r="CF926" s="40"/>
      <c r="CG926" s="40"/>
      <c r="CH926" s="40"/>
      <c r="CI926" s="40"/>
      <c r="CJ926" s="40"/>
      <c r="CK926" s="40"/>
      <c r="CL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  <c r="BZ927" s="11"/>
      <c r="CA927" s="11"/>
      <c r="CB927" s="11"/>
      <c r="CC927" s="40"/>
      <c r="CD927" s="40"/>
      <c r="CE927" s="40"/>
      <c r="CF927" s="40"/>
      <c r="CG927" s="40"/>
      <c r="CH927" s="40"/>
      <c r="CI927" s="40"/>
      <c r="CJ927" s="40"/>
      <c r="CK927" s="40"/>
      <c r="CL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  <c r="BZ928" s="11"/>
      <c r="CA928" s="11"/>
      <c r="CB928" s="11"/>
      <c r="CC928" s="40"/>
      <c r="CD928" s="40"/>
      <c r="CE928" s="40"/>
      <c r="CF928" s="40"/>
      <c r="CG928" s="40"/>
      <c r="CH928" s="40"/>
      <c r="CI928" s="40"/>
      <c r="CJ928" s="40"/>
      <c r="CK928" s="40"/>
      <c r="CL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  <c r="BZ929" s="11"/>
      <c r="CA929" s="11"/>
      <c r="CB929" s="11"/>
      <c r="CC929" s="40"/>
      <c r="CD929" s="40"/>
      <c r="CE929" s="40"/>
      <c r="CF929" s="40"/>
      <c r="CG929" s="40"/>
      <c r="CH929" s="40"/>
      <c r="CI929" s="40"/>
      <c r="CJ929" s="40"/>
      <c r="CK929" s="40"/>
      <c r="CL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  <c r="BZ930" s="11"/>
      <c r="CA930" s="11"/>
      <c r="CB930" s="11"/>
      <c r="CC930" s="40"/>
      <c r="CD930" s="40"/>
      <c r="CE930" s="40"/>
      <c r="CF930" s="40"/>
      <c r="CG930" s="40"/>
      <c r="CH930" s="40"/>
      <c r="CI930" s="40"/>
      <c r="CJ930" s="40"/>
      <c r="CK930" s="40"/>
      <c r="CL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  <c r="BZ931" s="11"/>
      <c r="CA931" s="11"/>
      <c r="CB931" s="11"/>
      <c r="CC931" s="40"/>
      <c r="CD931" s="40"/>
      <c r="CE931" s="40"/>
      <c r="CF931" s="40"/>
      <c r="CG931" s="40"/>
      <c r="CH931" s="40"/>
      <c r="CI931" s="40"/>
      <c r="CJ931" s="40"/>
      <c r="CK931" s="40"/>
      <c r="CL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  <c r="CA932" s="11"/>
      <c r="CB932" s="11"/>
      <c r="CC932" s="40"/>
      <c r="CD932" s="40"/>
      <c r="CE932" s="40"/>
      <c r="CF932" s="40"/>
      <c r="CG932" s="40"/>
      <c r="CH932" s="40"/>
      <c r="CI932" s="40"/>
      <c r="CJ932" s="40"/>
      <c r="CK932" s="40"/>
      <c r="CL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  <c r="BZ933" s="11"/>
      <c r="CA933" s="11"/>
      <c r="CB933" s="11"/>
      <c r="CC933" s="40"/>
      <c r="CD933" s="40"/>
      <c r="CE933" s="40"/>
      <c r="CF933" s="40"/>
      <c r="CG933" s="40"/>
      <c r="CH933" s="40"/>
      <c r="CI933" s="40"/>
      <c r="CJ933" s="40"/>
      <c r="CK933" s="40"/>
      <c r="CL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  <c r="BZ934" s="11"/>
      <c r="CA934" s="11"/>
      <c r="CB934" s="11"/>
      <c r="CC934" s="40"/>
      <c r="CD934" s="40"/>
      <c r="CE934" s="40"/>
      <c r="CF934" s="40"/>
      <c r="CG934" s="40"/>
      <c r="CH934" s="40"/>
      <c r="CI934" s="40"/>
      <c r="CJ934" s="40"/>
      <c r="CK934" s="40"/>
      <c r="CL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  <c r="BZ935" s="11"/>
      <c r="CA935" s="11"/>
      <c r="CB935" s="11"/>
      <c r="CC935" s="40"/>
      <c r="CD935" s="40"/>
      <c r="CE935" s="40"/>
      <c r="CF935" s="40"/>
      <c r="CG935" s="40"/>
      <c r="CH935" s="40"/>
      <c r="CI935" s="40"/>
      <c r="CJ935" s="40"/>
      <c r="CK935" s="40"/>
      <c r="CL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  <c r="BZ936" s="11"/>
      <c r="CA936" s="11"/>
      <c r="CB936" s="11"/>
      <c r="CC936" s="40"/>
      <c r="CD936" s="40"/>
      <c r="CE936" s="40"/>
      <c r="CF936" s="40"/>
      <c r="CG936" s="40"/>
      <c r="CH936" s="40"/>
      <c r="CI936" s="40"/>
      <c r="CJ936" s="40"/>
      <c r="CK936" s="40"/>
      <c r="CL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  <c r="BZ937" s="11"/>
      <c r="CA937" s="11"/>
      <c r="CB937" s="11"/>
      <c r="CC937" s="40"/>
      <c r="CD937" s="40"/>
      <c r="CE937" s="40"/>
      <c r="CF937" s="40"/>
      <c r="CG937" s="40"/>
      <c r="CH937" s="40"/>
      <c r="CI937" s="40"/>
      <c r="CJ937" s="40"/>
      <c r="CK937" s="40"/>
      <c r="CL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  <c r="BZ938" s="11"/>
      <c r="CA938" s="11"/>
      <c r="CB938" s="11"/>
      <c r="CC938" s="40"/>
      <c r="CD938" s="40"/>
      <c r="CE938" s="40"/>
      <c r="CF938" s="40"/>
      <c r="CG938" s="40"/>
      <c r="CH938" s="40"/>
      <c r="CI938" s="40"/>
      <c r="CJ938" s="40"/>
      <c r="CK938" s="40"/>
      <c r="CL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  <c r="BZ939" s="11"/>
      <c r="CA939" s="11"/>
      <c r="CB939" s="11"/>
      <c r="CC939" s="40"/>
      <c r="CD939" s="40"/>
      <c r="CE939" s="40"/>
      <c r="CF939" s="40"/>
      <c r="CG939" s="40"/>
      <c r="CH939" s="40"/>
      <c r="CI939" s="40"/>
      <c r="CJ939" s="40"/>
      <c r="CK939" s="40"/>
      <c r="CL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  <c r="BZ940" s="11"/>
      <c r="CA940" s="11"/>
      <c r="CB940" s="11"/>
      <c r="CC940" s="40"/>
      <c r="CD940" s="40"/>
      <c r="CE940" s="40"/>
      <c r="CF940" s="40"/>
      <c r="CG940" s="40"/>
      <c r="CH940" s="40"/>
      <c r="CI940" s="40"/>
      <c r="CJ940" s="40"/>
      <c r="CK940" s="40"/>
      <c r="CL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  <c r="BZ941" s="11"/>
      <c r="CA941" s="11"/>
      <c r="CB941" s="11"/>
      <c r="CC941" s="40"/>
      <c r="CD941" s="40"/>
      <c r="CE941" s="40"/>
      <c r="CF941" s="40"/>
      <c r="CG941" s="40"/>
      <c r="CH941" s="40"/>
      <c r="CI941" s="40"/>
      <c r="CJ941" s="40"/>
      <c r="CK941" s="40"/>
      <c r="CL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  <c r="BZ942" s="11"/>
      <c r="CA942" s="11"/>
      <c r="CB942" s="11"/>
      <c r="CC942" s="40"/>
      <c r="CD942" s="40"/>
      <c r="CE942" s="40"/>
      <c r="CF942" s="40"/>
      <c r="CG942" s="40"/>
      <c r="CH942" s="40"/>
      <c r="CI942" s="40"/>
      <c r="CJ942" s="40"/>
      <c r="CK942" s="40"/>
      <c r="CL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  <c r="BZ943" s="11"/>
      <c r="CA943" s="11"/>
      <c r="CB943" s="11"/>
      <c r="CC943" s="40"/>
      <c r="CD943" s="40"/>
      <c r="CE943" s="40"/>
      <c r="CF943" s="40"/>
      <c r="CG943" s="40"/>
      <c r="CH943" s="40"/>
      <c r="CI943" s="40"/>
      <c r="CJ943" s="40"/>
      <c r="CK943" s="40"/>
      <c r="CL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  <c r="BZ944" s="11"/>
      <c r="CA944" s="11"/>
      <c r="CB944" s="11"/>
      <c r="CC944" s="40"/>
      <c r="CD944" s="40"/>
      <c r="CE944" s="40"/>
      <c r="CF944" s="40"/>
      <c r="CG944" s="40"/>
      <c r="CH944" s="40"/>
      <c r="CI944" s="40"/>
      <c r="CJ944" s="40"/>
      <c r="CK944" s="40"/>
      <c r="CL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  <c r="BZ945" s="11"/>
      <c r="CA945" s="11"/>
      <c r="CB945" s="11"/>
      <c r="CC945" s="40"/>
      <c r="CD945" s="40"/>
      <c r="CE945" s="40"/>
      <c r="CF945" s="40"/>
      <c r="CG945" s="40"/>
      <c r="CH945" s="40"/>
      <c r="CI945" s="40"/>
      <c r="CJ945" s="40"/>
      <c r="CK945" s="40"/>
      <c r="CL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  <c r="BZ946" s="11"/>
      <c r="CA946" s="11"/>
      <c r="CB946" s="11"/>
      <c r="CC946" s="40"/>
      <c r="CD946" s="40"/>
      <c r="CE946" s="40"/>
      <c r="CF946" s="40"/>
      <c r="CG946" s="40"/>
      <c r="CH946" s="40"/>
      <c r="CI946" s="40"/>
      <c r="CJ946" s="40"/>
      <c r="CK946" s="40"/>
      <c r="CL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  <c r="BZ947" s="11"/>
      <c r="CA947" s="11"/>
      <c r="CB947" s="11"/>
      <c r="CC947" s="40"/>
      <c r="CD947" s="40"/>
      <c r="CE947" s="40"/>
      <c r="CF947" s="40"/>
      <c r="CG947" s="40"/>
      <c r="CH947" s="40"/>
      <c r="CI947" s="40"/>
      <c r="CJ947" s="40"/>
      <c r="CK947" s="40"/>
      <c r="CL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  <c r="BZ948" s="11"/>
      <c r="CA948" s="11"/>
      <c r="CB948" s="11"/>
      <c r="CC948" s="40"/>
      <c r="CD948" s="40"/>
      <c r="CE948" s="40"/>
      <c r="CF948" s="40"/>
      <c r="CG948" s="40"/>
      <c r="CH948" s="40"/>
      <c r="CI948" s="40"/>
      <c r="CJ948" s="40"/>
      <c r="CK948" s="40"/>
      <c r="CL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  <c r="BZ949" s="11"/>
      <c r="CA949" s="11"/>
      <c r="CB949" s="11"/>
      <c r="CC949" s="40"/>
      <c r="CD949" s="40"/>
      <c r="CE949" s="40"/>
      <c r="CF949" s="40"/>
      <c r="CG949" s="40"/>
      <c r="CH949" s="40"/>
      <c r="CI949" s="40"/>
      <c r="CJ949" s="40"/>
      <c r="CK949" s="40"/>
      <c r="CL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  <c r="BZ950" s="11"/>
      <c r="CA950" s="11"/>
      <c r="CB950" s="11"/>
      <c r="CC950" s="40"/>
      <c r="CD950" s="40"/>
      <c r="CE950" s="40"/>
      <c r="CF950" s="40"/>
      <c r="CG950" s="40"/>
      <c r="CH950" s="40"/>
      <c r="CI950" s="40"/>
      <c r="CJ950" s="40"/>
      <c r="CK950" s="40"/>
      <c r="CL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  <c r="BZ951" s="11"/>
      <c r="CA951" s="11"/>
      <c r="CB951" s="11"/>
      <c r="CC951" s="40"/>
      <c r="CD951" s="40"/>
      <c r="CE951" s="40"/>
      <c r="CF951" s="40"/>
      <c r="CG951" s="40"/>
      <c r="CH951" s="40"/>
      <c r="CI951" s="40"/>
      <c r="CJ951" s="40"/>
      <c r="CK951" s="40"/>
      <c r="CL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  <c r="BZ952" s="11"/>
      <c r="CA952" s="11"/>
      <c r="CB952" s="11"/>
      <c r="CC952" s="40"/>
      <c r="CD952" s="40"/>
      <c r="CE952" s="40"/>
      <c r="CF952" s="40"/>
      <c r="CG952" s="40"/>
      <c r="CH952" s="40"/>
      <c r="CI952" s="40"/>
      <c r="CJ952" s="40"/>
      <c r="CK952" s="40"/>
      <c r="CL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  <c r="CA953" s="11"/>
      <c r="CB953" s="11"/>
      <c r="CC953" s="40"/>
      <c r="CD953" s="40"/>
      <c r="CE953" s="40"/>
      <c r="CF953" s="40"/>
      <c r="CG953" s="40"/>
      <c r="CH953" s="40"/>
      <c r="CI953" s="40"/>
      <c r="CJ953" s="40"/>
      <c r="CK953" s="40"/>
      <c r="CL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40"/>
      <c r="CD954" s="40"/>
      <c r="CE954" s="40"/>
      <c r="CF954" s="40"/>
      <c r="CG954" s="40"/>
      <c r="CH954" s="40"/>
      <c r="CI954" s="40"/>
      <c r="CJ954" s="40"/>
      <c r="CK954" s="40"/>
      <c r="CL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  <c r="BZ955" s="11"/>
      <c r="CA955" s="11"/>
      <c r="CB955" s="11"/>
      <c r="CC955" s="40"/>
      <c r="CD955" s="40"/>
      <c r="CE955" s="40"/>
      <c r="CF955" s="40"/>
      <c r="CG955" s="40"/>
      <c r="CH955" s="40"/>
      <c r="CI955" s="40"/>
      <c r="CJ955" s="40"/>
      <c r="CK955" s="40"/>
      <c r="CL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  <c r="CA956" s="11"/>
      <c r="CB956" s="11"/>
      <c r="CC956" s="40"/>
      <c r="CD956" s="40"/>
      <c r="CE956" s="40"/>
      <c r="CF956" s="40"/>
      <c r="CG956" s="40"/>
      <c r="CH956" s="40"/>
      <c r="CI956" s="40"/>
      <c r="CJ956" s="40"/>
      <c r="CK956" s="40"/>
      <c r="CL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  <c r="BZ957" s="11"/>
      <c r="CA957" s="11"/>
      <c r="CB957" s="11"/>
      <c r="CC957" s="40"/>
      <c r="CD957" s="40"/>
      <c r="CE957" s="40"/>
      <c r="CF957" s="40"/>
      <c r="CG957" s="40"/>
      <c r="CH957" s="40"/>
      <c r="CI957" s="40"/>
      <c r="CJ957" s="40"/>
      <c r="CK957" s="40"/>
      <c r="CL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  <c r="CA958" s="11"/>
      <c r="CB958" s="11"/>
      <c r="CC958" s="40"/>
      <c r="CD958" s="40"/>
      <c r="CE958" s="40"/>
      <c r="CF958" s="40"/>
      <c r="CG958" s="40"/>
      <c r="CH958" s="40"/>
      <c r="CI958" s="40"/>
      <c r="CJ958" s="40"/>
      <c r="CK958" s="40"/>
      <c r="CL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  <c r="BZ959" s="11"/>
      <c r="CA959" s="11"/>
      <c r="CB959" s="11"/>
      <c r="CC959" s="40"/>
      <c r="CD959" s="40"/>
      <c r="CE959" s="40"/>
      <c r="CF959" s="40"/>
      <c r="CG959" s="40"/>
      <c r="CH959" s="40"/>
      <c r="CI959" s="40"/>
      <c r="CJ959" s="40"/>
      <c r="CK959" s="40"/>
      <c r="CL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  <c r="BZ960" s="11"/>
      <c r="CA960" s="11"/>
      <c r="CB960" s="11"/>
      <c r="CC960" s="40"/>
      <c r="CD960" s="40"/>
      <c r="CE960" s="40"/>
      <c r="CF960" s="40"/>
      <c r="CG960" s="40"/>
      <c r="CH960" s="40"/>
      <c r="CI960" s="40"/>
      <c r="CJ960" s="40"/>
      <c r="CK960" s="40"/>
      <c r="CL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  <c r="CA961" s="11"/>
      <c r="CB961" s="11"/>
      <c r="CC961" s="40"/>
      <c r="CD961" s="40"/>
      <c r="CE961" s="40"/>
      <c r="CF961" s="40"/>
      <c r="CG961" s="40"/>
      <c r="CH961" s="40"/>
      <c r="CI961" s="40"/>
      <c r="CJ961" s="40"/>
      <c r="CK961" s="40"/>
      <c r="CL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  <c r="CA962" s="11"/>
      <c r="CB962" s="11"/>
      <c r="CC962" s="40"/>
      <c r="CD962" s="40"/>
      <c r="CE962" s="40"/>
      <c r="CF962" s="40"/>
      <c r="CG962" s="40"/>
      <c r="CH962" s="40"/>
      <c r="CI962" s="40"/>
      <c r="CJ962" s="40"/>
      <c r="CK962" s="40"/>
      <c r="CL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  <c r="BZ963" s="11"/>
      <c r="CA963" s="11"/>
      <c r="CB963" s="11"/>
      <c r="CC963" s="40"/>
      <c r="CD963" s="40"/>
      <c r="CE963" s="40"/>
      <c r="CF963" s="40"/>
      <c r="CG963" s="40"/>
      <c r="CH963" s="40"/>
      <c r="CI963" s="40"/>
      <c r="CJ963" s="40"/>
      <c r="CK963" s="40"/>
      <c r="CL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  <c r="BZ964" s="11"/>
      <c r="CA964" s="11"/>
      <c r="CB964" s="11"/>
      <c r="CC964" s="40"/>
      <c r="CD964" s="40"/>
      <c r="CE964" s="40"/>
      <c r="CF964" s="40"/>
      <c r="CG964" s="40"/>
      <c r="CH964" s="40"/>
      <c r="CI964" s="40"/>
      <c r="CJ964" s="40"/>
      <c r="CK964" s="40"/>
      <c r="CL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  <c r="CA965" s="11"/>
      <c r="CB965" s="11"/>
      <c r="CC965" s="40"/>
      <c r="CD965" s="40"/>
      <c r="CE965" s="40"/>
      <c r="CF965" s="40"/>
      <c r="CG965" s="40"/>
      <c r="CH965" s="40"/>
      <c r="CI965" s="40"/>
      <c r="CJ965" s="40"/>
      <c r="CK965" s="40"/>
      <c r="CL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  <c r="BZ966" s="11"/>
      <c r="CA966" s="11"/>
      <c r="CB966" s="11"/>
      <c r="CC966" s="40"/>
      <c r="CD966" s="40"/>
      <c r="CE966" s="40"/>
      <c r="CF966" s="40"/>
      <c r="CG966" s="40"/>
      <c r="CH966" s="40"/>
      <c r="CI966" s="40"/>
      <c r="CJ966" s="40"/>
      <c r="CK966" s="40"/>
      <c r="CL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  <c r="BZ967" s="11"/>
      <c r="CA967" s="11"/>
      <c r="CB967" s="11"/>
      <c r="CC967" s="40"/>
      <c r="CD967" s="40"/>
      <c r="CE967" s="40"/>
      <c r="CF967" s="40"/>
      <c r="CG967" s="40"/>
      <c r="CH967" s="40"/>
      <c r="CI967" s="40"/>
      <c r="CJ967" s="40"/>
      <c r="CK967" s="40"/>
      <c r="CL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  <c r="CA968" s="11"/>
      <c r="CB968" s="11"/>
      <c r="CC968" s="40"/>
      <c r="CD968" s="40"/>
      <c r="CE968" s="40"/>
      <c r="CF968" s="40"/>
      <c r="CG968" s="40"/>
      <c r="CH968" s="40"/>
      <c r="CI968" s="40"/>
      <c r="CJ968" s="40"/>
      <c r="CK968" s="40"/>
      <c r="CL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  <c r="CA969" s="11"/>
      <c r="CB969" s="11"/>
      <c r="CC969" s="40"/>
      <c r="CD969" s="40"/>
      <c r="CE969" s="40"/>
      <c r="CF969" s="40"/>
      <c r="CG969" s="40"/>
      <c r="CH969" s="40"/>
      <c r="CI969" s="40"/>
      <c r="CJ969" s="40"/>
      <c r="CK969" s="40"/>
      <c r="CL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  <c r="BZ970" s="11"/>
      <c r="CA970" s="11"/>
      <c r="CB970" s="11"/>
      <c r="CC970" s="40"/>
      <c r="CD970" s="40"/>
      <c r="CE970" s="40"/>
      <c r="CF970" s="40"/>
      <c r="CG970" s="40"/>
      <c r="CH970" s="40"/>
      <c r="CI970" s="40"/>
      <c r="CJ970" s="40"/>
      <c r="CK970" s="40"/>
      <c r="CL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  <c r="BZ971" s="11"/>
      <c r="CA971" s="11"/>
      <c r="CB971" s="11"/>
      <c r="CC971" s="40"/>
      <c r="CD971" s="40"/>
      <c r="CE971" s="40"/>
      <c r="CF971" s="40"/>
      <c r="CG971" s="40"/>
      <c r="CH971" s="40"/>
      <c r="CI971" s="40"/>
      <c r="CJ971" s="40"/>
      <c r="CK971" s="40"/>
      <c r="CL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  <c r="BZ972" s="11"/>
      <c r="CA972" s="11"/>
      <c r="CB972" s="11"/>
      <c r="CC972" s="40"/>
      <c r="CD972" s="40"/>
      <c r="CE972" s="40"/>
      <c r="CF972" s="40"/>
      <c r="CG972" s="40"/>
      <c r="CH972" s="40"/>
      <c r="CI972" s="40"/>
      <c r="CJ972" s="40"/>
      <c r="CK972" s="40"/>
      <c r="CL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  <c r="BZ973" s="11"/>
      <c r="CA973" s="11"/>
      <c r="CB973" s="11"/>
      <c r="CC973" s="40"/>
      <c r="CD973" s="40"/>
      <c r="CE973" s="40"/>
      <c r="CF973" s="40"/>
      <c r="CG973" s="40"/>
      <c r="CH973" s="40"/>
      <c r="CI973" s="40"/>
      <c r="CJ973" s="40"/>
      <c r="CK973" s="40"/>
      <c r="CL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  <c r="BZ974" s="11"/>
      <c r="CA974" s="11"/>
      <c r="CB974" s="11"/>
      <c r="CC974" s="40"/>
      <c r="CD974" s="40"/>
      <c r="CE974" s="40"/>
      <c r="CF974" s="40"/>
      <c r="CG974" s="40"/>
      <c r="CH974" s="40"/>
      <c r="CI974" s="40"/>
      <c r="CJ974" s="40"/>
      <c r="CK974" s="40"/>
      <c r="CL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  <c r="CA975" s="11"/>
      <c r="CB975" s="11"/>
      <c r="CC975" s="40"/>
      <c r="CD975" s="40"/>
      <c r="CE975" s="40"/>
      <c r="CF975" s="40"/>
      <c r="CG975" s="40"/>
      <c r="CH975" s="40"/>
      <c r="CI975" s="40"/>
      <c r="CJ975" s="40"/>
      <c r="CK975" s="40"/>
      <c r="CL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  <c r="BZ976" s="11"/>
      <c r="CA976" s="11"/>
      <c r="CB976" s="11"/>
      <c r="CC976" s="40"/>
      <c r="CD976" s="40"/>
      <c r="CE976" s="40"/>
      <c r="CF976" s="40"/>
      <c r="CG976" s="40"/>
      <c r="CH976" s="40"/>
      <c r="CI976" s="40"/>
      <c r="CJ976" s="40"/>
      <c r="CK976" s="40"/>
      <c r="CL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  <c r="BZ977" s="11"/>
      <c r="CA977" s="11"/>
      <c r="CB977" s="11"/>
      <c r="CC977" s="40"/>
      <c r="CD977" s="40"/>
      <c r="CE977" s="40"/>
      <c r="CF977" s="40"/>
      <c r="CG977" s="40"/>
      <c r="CH977" s="40"/>
      <c r="CI977" s="40"/>
      <c r="CJ977" s="40"/>
      <c r="CK977" s="40"/>
      <c r="CL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  <c r="BZ978" s="11"/>
      <c r="CA978" s="11"/>
      <c r="CB978" s="11"/>
      <c r="CC978" s="40"/>
      <c r="CD978" s="40"/>
      <c r="CE978" s="40"/>
      <c r="CF978" s="40"/>
      <c r="CG978" s="40"/>
      <c r="CH978" s="40"/>
      <c r="CI978" s="40"/>
      <c r="CJ978" s="40"/>
      <c r="CK978" s="40"/>
      <c r="CL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  <c r="BZ979" s="11"/>
      <c r="CA979" s="11"/>
      <c r="CB979" s="11"/>
      <c r="CC979" s="40"/>
      <c r="CD979" s="40"/>
      <c r="CE979" s="40"/>
      <c r="CF979" s="40"/>
      <c r="CG979" s="40"/>
      <c r="CH979" s="40"/>
      <c r="CI979" s="40"/>
      <c r="CJ979" s="40"/>
      <c r="CK979" s="40"/>
      <c r="CL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  <c r="BZ980" s="11"/>
      <c r="CA980" s="11"/>
      <c r="CB980" s="11"/>
      <c r="CC980" s="40"/>
      <c r="CD980" s="40"/>
      <c r="CE980" s="40"/>
      <c r="CF980" s="40"/>
      <c r="CG980" s="40"/>
      <c r="CH980" s="40"/>
      <c r="CI980" s="40"/>
      <c r="CJ980" s="40"/>
      <c r="CK980" s="40"/>
      <c r="CL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  <c r="BZ981" s="11"/>
      <c r="CA981" s="11"/>
      <c r="CB981" s="11"/>
      <c r="CC981" s="40"/>
      <c r="CD981" s="40"/>
      <c r="CE981" s="40"/>
      <c r="CF981" s="40"/>
      <c r="CG981" s="40"/>
      <c r="CH981" s="40"/>
      <c r="CI981" s="40"/>
      <c r="CJ981" s="40"/>
      <c r="CK981" s="40"/>
      <c r="CL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  <c r="BZ982" s="11"/>
      <c r="CA982" s="11"/>
      <c r="CB982" s="11"/>
      <c r="CC982" s="40"/>
      <c r="CD982" s="40"/>
      <c r="CE982" s="40"/>
      <c r="CF982" s="40"/>
      <c r="CG982" s="40"/>
      <c r="CH982" s="40"/>
      <c r="CI982" s="40"/>
      <c r="CJ982" s="40"/>
      <c r="CK982" s="40"/>
      <c r="CL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  <c r="BZ983" s="11"/>
      <c r="CA983" s="11"/>
      <c r="CB983" s="11"/>
      <c r="CC983" s="40"/>
      <c r="CD983" s="40"/>
      <c r="CE983" s="40"/>
      <c r="CF983" s="40"/>
      <c r="CG983" s="40"/>
      <c r="CH983" s="40"/>
      <c r="CI983" s="40"/>
      <c r="CJ983" s="40"/>
      <c r="CK983" s="40"/>
      <c r="CL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  <c r="CA984" s="11"/>
      <c r="CB984" s="11"/>
      <c r="CC984" s="40"/>
      <c r="CD984" s="40"/>
      <c r="CE984" s="40"/>
      <c r="CF984" s="40"/>
      <c r="CG984" s="40"/>
      <c r="CH984" s="40"/>
      <c r="CI984" s="40"/>
      <c r="CJ984" s="40"/>
      <c r="CK984" s="40"/>
      <c r="CL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  <c r="CA985" s="11"/>
      <c r="CB985" s="11"/>
      <c r="CC985" s="40"/>
      <c r="CD985" s="40"/>
      <c r="CE985" s="40"/>
      <c r="CF985" s="40"/>
      <c r="CG985" s="40"/>
      <c r="CH985" s="40"/>
      <c r="CI985" s="40"/>
      <c r="CJ985" s="40"/>
      <c r="CK985" s="40"/>
      <c r="CL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  <c r="CA986" s="11"/>
      <c r="CB986" s="11"/>
      <c r="CC986" s="40"/>
      <c r="CD986" s="40"/>
      <c r="CE986" s="40"/>
      <c r="CF986" s="40"/>
      <c r="CG986" s="40"/>
      <c r="CH986" s="40"/>
      <c r="CI986" s="40"/>
      <c r="CJ986" s="40"/>
      <c r="CK986" s="40"/>
      <c r="CL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  <c r="BZ987" s="11"/>
      <c r="CA987" s="11"/>
      <c r="CB987" s="11"/>
      <c r="CC987" s="40"/>
      <c r="CD987" s="40"/>
      <c r="CE987" s="40"/>
      <c r="CF987" s="40"/>
      <c r="CG987" s="40"/>
      <c r="CH987" s="40"/>
      <c r="CI987" s="40"/>
      <c r="CJ987" s="40"/>
      <c r="CK987" s="40"/>
      <c r="CL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  <c r="BZ988" s="11"/>
      <c r="CA988" s="11"/>
      <c r="CB988" s="11"/>
      <c r="CC988" s="40"/>
      <c r="CD988" s="40"/>
      <c r="CE988" s="40"/>
      <c r="CF988" s="40"/>
      <c r="CG988" s="40"/>
      <c r="CH988" s="40"/>
      <c r="CI988" s="40"/>
      <c r="CJ988" s="40"/>
      <c r="CK988" s="40"/>
      <c r="CL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  <c r="BZ989" s="11"/>
      <c r="CA989" s="11"/>
      <c r="CB989" s="11"/>
      <c r="CC989" s="40"/>
      <c r="CD989" s="40"/>
      <c r="CE989" s="40"/>
      <c r="CF989" s="40"/>
      <c r="CG989" s="40"/>
      <c r="CH989" s="40"/>
      <c r="CI989" s="40"/>
      <c r="CJ989" s="40"/>
      <c r="CK989" s="40"/>
      <c r="CL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  <c r="BZ990" s="11"/>
      <c r="CA990" s="11"/>
      <c r="CB990" s="11"/>
      <c r="CC990" s="40"/>
      <c r="CD990" s="40"/>
      <c r="CE990" s="40"/>
      <c r="CF990" s="40"/>
      <c r="CG990" s="40"/>
      <c r="CH990" s="40"/>
      <c r="CI990" s="40"/>
      <c r="CJ990" s="40"/>
      <c r="CK990" s="40"/>
      <c r="CL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  <c r="BZ991" s="11"/>
      <c r="CA991" s="11"/>
      <c r="CB991" s="11"/>
      <c r="CC991" s="40"/>
      <c r="CD991" s="40"/>
      <c r="CE991" s="40"/>
      <c r="CF991" s="40"/>
      <c r="CG991" s="40"/>
      <c r="CH991" s="40"/>
      <c r="CI991" s="40"/>
      <c r="CJ991" s="40"/>
      <c r="CK991" s="40"/>
      <c r="CL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  <c r="BZ992" s="11"/>
      <c r="CA992" s="11"/>
      <c r="CB992" s="11"/>
      <c r="CC992" s="40"/>
      <c r="CD992" s="40"/>
      <c r="CE992" s="40"/>
      <c r="CF992" s="40"/>
      <c r="CG992" s="40"/>
      <c r="CH992" s="40"/>
      <c r="CI992" s="40"/>
      <c r="CJ992" s="40"/>
      <c r="CK992" s="40"/>
      <c r="CL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  <c r="BZ993" s="11"/>
      <c r="CA993" s="11"/>
      <c r="CB993" s="11"/>
      <c r="CC993" s="40"/>
      <c r="CD993" s="40"/>
      <c r="CE993" s="40"/>
      <c r="CF993" s="40"/>
      <c r="CG993" s="40"/>
      <c r="CH993" s="40"/>
      <c r="CI993" s="40"/>
      <c r="CJ993" s="40"/>
      <c r="CK993" s="40"/>
      <c r="CL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  <c r="BZ994" s="11"/>
      <c r="CA994" s="11"/>
      <c r="CB994" s="11"/>
      <c r="CC994" s="40"/>
      <c r="CD994" s="40"/>
      <c r="CE994" s="40"/>
      <c r="CF994" s="40"/>
      <c r="CG994" s="40"/>
      <c r="CH994" s="40"/>
      <c r="CI994" s="40"/>
      <c r="CJ994" s="40"/>
      <c r="CK994" s="40"/>
      <c r="CL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  <c r="BZ995" s="11"/>
      <c r="CA995" s="11"/>
      <c r="CB995" s="11"/>
      <c r="CC995" s="40"/>
      <c r="CD995" s="40"/>
      <c r="CE995" s="40"/>
      <c r="CF995" s="40"/>
      <c r="CG995" s="40"/>
      <c r="CH995" s="40"/>
      <c r="CI995" s="40"/>
      <c r="CJ995" s="40"/>
      <c r="CK995" s="40"/>
      <c r="CL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  <c r="BZ996" s="11"/>
      <c r="CA996" s="11"/>
      <c r="CB996" s="11"/>
      <c r="CC996" s="40"/>
      <c r="CD996" s="40"/>
      <c r="CE996" s="40"/>
      <c r="CF996" s="40"/>
      <c r="CG996" s="40"/>
      <c r="CH996" s="40"/>
      <c r="CI996" s="40"/>
      <c r="CJ996" s="40"/>
      <c r="CK996" s="40"/>
      <c r="CL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  <c r="BZ997" s="11"/>
      <c r="CA997" s="11"/>
      <c r="CB997" s="11"/>
      <c r="CC997" s="40"/>
      <c r="CD997" s="40"/>
      <c r="CE997" s="40"/>
      <c r="CF997" s="40"/>
      <c r="CG997" s="40"/>
      <c r="CH997" s="40"/>
      <c r="CI997" s="40"/>
      <c r="CJ997" s="40"/>
      <c r="CK997" s="40"/>
      <c r="CL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  <c r="BZ998" s="11"/>
      <c r="CA998" s="11"/>
      <c r="CB998" s="11"/>
      <c r="CC998" s="40"/>
      <c r="CD998" s="40"/>
      <c r="CE998" s="40"/>
      <c r="CF998" s="40"/>
      <c r="CG998" s="40"/>
      <c r="CH998" s="40"/>
      <c r="CI998" s="40"/>
      <c r="CJ998" s="40"/>
      <c r="CK998" s="40"/>
      <c r="CL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  <c r="BZ999" s="11"/>
      <c r="CA999" s="11"/>
      <c r="CB999" s="11"/>
      <c r="CC999" s="40"/>
      <c r="CD999" s="40"/>
      <c r="CE999" s="40"/>
      <c r="CF999" s="40"/>
      <c r="CG999" s="40"/>
      <c r="CH999" s="40"/>
      <c r="CI999" s="40"/>
      <c r="CJ999" s="40"/>
      <c r="CK999" s="40"/>
      <c r="CL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  <c r="BZ1000" s="11"/>
      <c r="CA1000" s="11"/>
      <c r="CB1000" s="11"/>
      <c r="CC1000" s="40"/>
      <c r="CD1000" s="40"/>
      <c r="CE1000" s="40"/>
      <c r="CF1000" s="40"/>
      <c r="CG1000" s="40"/>
      <c r="CH1000" s="40"/>
      <c r="CI1000" s="40"/>
      <c r="CJ1000" s="40"/>
      <c r="CK1000" s="40"/>
      <c r="CL1000" s="11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8.71"/>
  </cols>
  <sheetData>
    <row r="1">
      <c r="C1" s="7" t="s">
        <v>171</v>
      </c>
      <c r="K1" s="7" t="s">
        <v>172</v>
      </c>
      <c r="S1" s="7" t="s">
        <v>173</v>
      </c>
    </row>
    <row r="2">
      <c r="A2" s="7" t="s">
        <v>171</v>
      </c>
      <c r="C2" s="29" t="s">
        <v>17</v>
      </c>
      <c r="D2" s="29" t="s">
        <v>18</v>
      </c>
      <c r="E2" s="29" t="s">
        <v>19</v>
      </c>
      <c r="F2" s="29" t="s">
        <v>20</v>
      </c>
      <c r="G2" s="29" t="s">
        <v>21</v>
      </c>
      <c r="I2" s="7" t="s">
        <v>172</v>
      </c>
      <c r="K2" s="29" t="s">
        <v>17</v>
      </c>
      <c r="L2" s="29" t="s">
        <v>18</v>
      </c>
      <c r="M2" s="29" t="s">
        <v>19</v>
      </c>
      <c r="N2" s="29" t="s">
        <v>20</v>
      </c>
      <c r="O2" s="29" t="s">
        <v>21</v>
      </c>
      <c r="Q2" s="7" t="s">
        <v>173</v>
      </c>
      <c r="S2" s="29" t="s">
        <v>17</v>
      </c>
      <c r="T2" s="29" t="s">
        <v>18</v>
      </c>
      <c r="U2" s="29" t="s">
        <v>19</v>
      </c>
      <c r="V2" s="29" t="s">
        <v>20</v>
      </c>
      <c r="W2" s="29" t="s">
        <v>21</v>
      </c>
      <c r="Y2" s="7" t="s">
        <v>174</v>
      </c>
      <c r="AA2" s="29" t="s">
        <v>18</v>
      </c>
      <c r="AB2" s="29" t="s">
        <v>19</v>
      </c>
      <c r="AC2" s="29" t="s">
        <v>20</v>
      </c>
      <c r="AD2" s="29" t="s">
        <v>21</v>
      </c>
      <c r="AF2" s="7" t="s">
        <v>175</v>
      </c>
      <c r="AH2" s="29" t="s">
        <v>19</v>
      </c>
      <c r="AI2" s="29" t="s">
        <v>20</v>
      </c>
      <c r="AJ2" s="29" t="s">
        <v>21</v>
      </c>
    </row>
    <row r="4">
      <c r="A4" s="7" t="s">
        <v>393</v>
      </c>
      <c r="I4" s="7" t="s">
        <v>393</v>
      </c>
      <c r="Q4" s="7" t="s">
        <v>393</v>
      </c>
      <c r="Y4" s="7" t="s">
        <v>393</v>
      </c>
      <c r="AF4" s="7" t="s">
        <v>393</v>
      </c>
    </row>
    <row r="5">
      <c r="A5" s="7" t="s">
        <v>26</v>
      </c>
      <c r="I5" s="7" t="s">
        <v>26</v>
      </c>
      <c r="Q5" s="7" t="s">
        <v>26</v>
      </c>
      <c r="Y5" s="7" t="s">
        <v>26</v>
      </c>
      <c r="AF5" s="7" t="s">
        <v>26</v>
      </c>
    </row>
    <row r="6">
      <c r="A6" s="7" t="s">
        <v>340</v>
      </c>
      <c r="I6" s="7" t="s">
        <v>340</v>
      </c>
      <c r="Q6" s="7" t="s">
        <v>340</v>
      </c>
      <c r="Y6" s="7" t="s">
        <v>340</v>
      </c>
      <c r="AF6" s="7" t="s">
        <v>340</v>
      </c>
    </row>
    <row r="7">
      <c r="A7" s="7" t="s">
        <v>394</v>
      </c>
      <c r="I7" s="7" t="s">
        <v>394</v>
      </c>
      <c r="Q7" s="7" t="s">
        <v>394</v>
      </c>
      <c r="Y7" s="7" t="s">
        <v>394</v>
      </c>
      <c r="AF7" s="7" t="s">
        <v>394</v>
      </c>
    </row>
    <row r="8">
      <c r="A8" s="7" t="s">
        <v>342</v>
      </c>
      <c r="C8" s="29" t="s">
        <v>17</v>
      </c>
      <c r="D8" s="29" t="s">
        <v>18</v>
      </c>
      <c r="E8" s="29" t="s">
        <v>19</v>
      </c>
      <c r="F8" s="29" t="s">
        <v>20</v>
      </c>
      <c r="G8" s="29" t="s">
        <v>21</v>
      </c>
      <c r="I8" s="7" t="s">
        <v>342</v>
      </c>
      <c r="K8" s="29" t="s">
        <v>17</v>
      </c>
      <c r="L8" s="29" t="s">
        <v>18</v>
      </c>
      <c r="M8" s="29" t="s">
        <v>19</v>
      </c>
      <c r="N8" s="29" t="s">
        <v>20</v>
      </c>
      <c r="O8" s="29" t="s">
        <v>21</v>
      </c>
      <c r="Q8" s="7" t="s">
        <v>342</v>
      </c>
      <c r="S8" s="29" t="s">
        <v>17</v>
      </c>
      <c r="T8" s="29" t="s">
        <v>18</v>
      </c>
      <c r="U8" s="29" t="s">
        <v>19</v>
      </c>
      <c r="V8" s="29" t="s">
        <v>20</v>
      </c>
      <c r="W8" s="29" t="s">
        <v>21</v>
      </c>
      <c r="Y8" s="7" t="s">
        <v>342</v>
      </c>
      <c r="AA8" s="29" t="s">
        <v>18</v>
      </c>
      <c r="AB8" s="29" t="s">
        <v>19</v>
      </c>
      <c r="AC8" s="29" t="s">
        <v>20</v>
      </c>
      <c r="AD8" s="29" t="s">
        <v>21</v>
      </c>
      <c r="AF8" s="7" t="s">
        <v>342</v>
      </c>
      <c r="AH8" s="29" t="s">
        <v>19</v>
      </c>
      <c r="AI8" s="29" t="s">
        <v>20</v>
      </c>
      <c r="AJ8" s="29" t="s">
        <v>21</v>
      </c>
    </row>
    <row r="9">
      <c r="A9" s="7" t="s">
        <v>395</v>
      </c>
      <c r="C9" s="7">
        <v>12.0</v>
      </c>
      <c r="D9" s="7">
        <v>12.0</v>
      </c>
      <c r="E9" s="7">
        <v>12.0</v>
      </c>
      <c r="F9" s="7">
        <v>12.0</v>
      </c>
      <c r="G9" s="7">
        <v>9.0</v>
      </c>
      <c r="I9" s="7" t="s">
        <v>395</v>
      </c>
      <c r="K9" s="7">
        <v>12.0</v>
      </c>
      <c r="L9" s="7">
        <v>12.0</v>
      </c>
      <c r="M9" s="7">
        <v>12.0</v>
      </c>
      <c r="N9" s="7">
        <v>12.0</v>
      </c>
      <c r="O9" s="7">
        <v>9.0</v>
      </c>
      <c r="Q9" s="7" t="s">
        <v>395</v>
      </c>
      <c r="S9" s="7">
        <v>12.0</v>
      </c>
      <c r="T9" s="7">
        <v>12.0</v>
      </c>
      <c r="U9" s="7">
        <v>12.0</v>
      </c>
      <c r="V9" s="7">
        <v>12.0</v>
      </c>
      <c r="W9" s="7">
        <v>9.0</v>
      </c>
      <c r="Y9" s="7" t="s">
        <v>395</v>
      </c>
      <c r="AA9" s="7">
        <v>12.0</v>
      </c>
      <c r="AB9" s="7">
        <v>12.0</v>
      </c>
      <c r="AC9" s="7">
        <v>12.0</v>
      </c>
      <c r="AD9" s="7">
        <v>9.0</v>
      </c>
      <c r="AF9" s="7" t="s">
        <v>395</v>
      </c>
      <c r="AH9" s="7">
        <v>12.0</v>
      </c>
      <c r="AI9" s="7">
        <v>12.0</v>
      </c>
      <c r="AJ9" s="7">
        <v>12.0</v>
      </c>
    </row>
    <row r="10">
      <c r="A10" s="7" t="s">
        <v>343</v>
      </c>
      <c r="C10" s="7" t="s">
        <v>22</v>
      </c>
      <c r="D10" s="7" t="s">
        <v>22</v>
      </c>
      <c r="E10" s="7" t="s">
        <v>22</v>
      </c>
      <c r="F10" s="7" t="s">
        <v>22</v>
      </c>
      <c r="G10" s="7" t="s">
        <v>23</v>
      </c>
      <c r="I10" s="7" t="s">
        <v>343</v>
      </c>
      <c r="K10" s="7" t="s">
        <v>22</v>
      </c>
      <c r="L10" s="7" t="s">
        <v>22</v>
      </c>
      <c r="M10" s="7" t="s">
        <v>22</v>
      </c>
      <c r="N10" s="7" t="s">
        <v>22</v>
      </c>
      <c r="O10" s="7" t="s">
        <v>23</v>
      </c>
      <c r="Q10" s="7" t="s">
        <v>343</v>
      </c>
      <c r="S10" s="7" t="s">
        <v>22</v>
      </c>
      <c r="T10" s="7" t="s">
        <v>22</v>
      </c>
      <c r="U10" s="7" t="s">
        <v>22</v>
      </c>
      <c r="V10" s="7" t="s">
        <v>23</v>
      </c>
      <c r="W10" s="7" t="s">
        <v>23</v>
      </c>
      <c r="Y10" s="7" t="s">
        <v>343</v>
      </c>
      <c r="AA10" s="7" t="s">
        <v>22</v>
      </c>
      <c r="AB10" s="7" t="s">
        <v>22</v>
      </c>
      <c r="AC10" s="7" t="s">
        <v>22</v>
      </c>
      <c r="AD10" s="7" t="s">
        <v>23</v>
      </c>
      <c r="AF10" s="7" t="s">
        <v>343</v>
      </c>
      <c r="AH10" s="7" t="s">
        <v>22</v>
      </c>
      <c r="AI10" s="7" t="s">
        <v>22</v>
      </c>
      <c r="AJ10" s="7" t="s">
        <v>23</v>
      </c>
    </row>
    <row r="11">
      <c r="A11" s="7" t="s">
        <v>396</v>
      </c>
      <c r="C11" s="7" t="s">
        <v>208</v>
      </c>
      <c r="D11" s="7" t="s">
        <v>208</v>
      </c>
      <c r="E11" s="7" t="s">
        <v>208</v>
      </c>
      <c r="F11" s="7" t="s">
        <v>208</v>
      </c>
      <c r="G11" s="7" t="s">
        <v>53</v>
      </c>
      <c r="I11" s="7" t="s">
        <v>51</v>
      </c>
      <c r="K11" s="7" t="s">
        <v>209</v>
      </c>
      <c r="L11" s="7" t="s">
        <v>209</v>
      </c>
      <c r="M11" s="7" t="s">
        <v>208</v>
      </c>
      <c r="N11" s="7" t="s">
        <v>208</v>
      </c>
      <c r="O11" s="7" t="s">
        <v>210</v>
      </c>
      <c r="Q11" s="7" t="s">
        <v>396</v>
      </c>
      <c r="S11" s="7" t="s">
        <v>211</v>
      </c>
      <c r="T11" s="7" t="s">
        <v>208</v>
      </c>
      <c r="U11" s="7" t="s">
        <v>208</v>
      </c>
      <c r="V11" s="7" t="s">
        <v>208</v>
      </c>
      <c r="W11" s="7" t="s">
        <v>212</v>
      </c>
      <c r="Y11" s="7" t="s">
        <v>51</v>
      </c>
      <c r="AB11" s="7" t="s">
        <v>208</v>
      </c>
      <c r="AC11" s="7" t="s">
        <v>208</v>
      </c>
      <c r="AD11" s="7" t="s">
        <v>213</v>
      </c>
      <c r="AF11" s="7" t="s">
        <v>51</v>
      </c>
      <c r="AH11" s="7" t="s">
        <v>214</v>
      </c>
      <c r="AI11" s="7" t="s">
        <v>214</v>
      </c>
      <c r="AJ11" s="7" t="s">
        <v>54</v>
      </c>
    </row>
    <row r="14">
      <c r="A14" s="7">
        <v>1.0</v>
      </c>
      <c r="B14" s="7" t="s">
        <v>347</v>
      </c>
      <c r="C14" s="7">
        <v>23930.151</v>
      </c>
      <c r="D14" s="7">
        <v>23578.78</v>
      </c>
      <c r="E14" s="7">
        <v>29792.243</v>
      </c>
      <c r="F14" s="7">
        <v>32768.103</v>
      </c>
      <c r="G14" s="7">
        <v>24145.584</v>
      </c>
      <c r="I14" s="7">
        <v>1.0</v>
      </c>
      <c r="J14" s="7" t="s">
        <v>347</v>
      </c>
      <c r="K14" s="7">
        <v>337466.0</v>
      </c>
      <c r="L14" s="7">
        <v>330048.0</v>
      </c>
      <c r="M14" s="7">
        <v>360978.116</v>
      </c>
      <c r="N14" s="7">
        <v>419772.195</v>
      </c>
      <c r="O14" s="7">
        <v>312105.949</v>
      </c>
      <c r="Q14" s="7">
        <v>1.0</v>
      </c>
      <c r="R14" s="7" t="s">
        <v>347</v>
      </c>
      <c r="S14" s="7">
        <v>4317.0</v>
      </c>
      <c r="T14" s="7">
        <v>70441.169</v>
      </c>
      <c r="U14" s="7">
        <v>103822.194</v>
      </c>
      <c r="V14" s="7">
        <v>109585.884</v>
      </c>
      <c r="W14" s="7">
        <v>75793.97600000001</v>
      </c>
      <c r="Y14" s="7">
        <v>1.0</v>
      </c>
      <c r="Z14" s="7" t="s">
        <v>347</v>
      </c>
      <c r="AA14" s="7">
        <v>20425.762</v>
      </c>
      <c r="AB14" s="7">
        <v>33740.045</v>
      </c>
      <c r="AC14" s="7">
        <v>42955.437</v>
      </c>
      <c r="AD14" s="7">
        <v>33868.198</v>
      </c>
      <c r="AF14" s="7">
        <v>1.0</v>
      </c>
      <c r="AG14" s="7" t="s">
        <v>347</v>
      </c>
      <c r="AH14" s="7">
        <v>39281.699</v>
      </c>
      <c r="AI14" s="7">
        <v>52097.658</v>
      </c>
      <c r="AJ14" s="7">
        <v>54416.681</v>
      </c>
    </row>
    <row r="15">
      <c r="A15" s="7">
        <v>2.0</v>
      </c>
      <c r="B15" s="7" t="s">
        <v>349</v>
      </c>
      <c r="C15" s="7">
        <v>23930.151</v>
      </c>
      <c r="D15" s="7">
        <v>23578.78</v>
      </c>
      <c r="E15" s="7">
        <v>29792.243</v>
      </c>
      <c r="F15" s="7">
        <v>32768.103</v>
      </c>
      <c r="G15" s="7">
        <v>24145.584</v>
      </c>
      <c r="I15" s="7">
        <v>2.0</v>
      </c>
      <c r="J15" s="7" t="s">
        <v>349</v>
      </c>
      <c r="K15" s="7">
        <v>337466.0</v>
      </c>
      <c r="L15" s="7">
        <v>330048.0</v>
      </c>
      <c r="M15" s="7">
        <v>360978.116</v>
      </c>
      <c r="N15" s="7">
        <v>419772.195</v>
      </c>
      <c r="O15" s="7">
        <v>312105.949</v>
      </c>
      <c r="Q15" s="7">
        <v>2.0</v>
      </c>
      <c r="R15" s="7" t="s">
        <v>349</v>
      </c>
      <c r="S15" s="7">
        <v>4317.0</v>
      </c>
      <c r="T15" s="7">
        <v>70441.169</v>
      </c>
      <c r="U15" s="7">
        <v>103822.194</v>
      </c>
      <c r="V15" s="7">
        <v>109585.884</v>
      </c>
      <c r="W15" s="7">
        <v>75793.97600000001</v>
      </c>
      <c r="Y15" s="7">
        <v>2.0</v>
      </c>
      <c r="Z15" s="7" t="s">
        <v>349</v>
      </c>
      <c r="AA15" s="7">
        <v>20425.762</v>
      </c>
      <c r="AB15" s="7">
        <v>33740.045</v>
      </c>
      <c r="AC15" s="7">
        <v>42955.437</v>
      </c>
      <c r="AD15" s="7">
        <v>33868.198</v>
      </c>
      <c r="AF15" s="7">
        <v>2.0</v>
      </c>
      <c r="AG15" s="7" t="s">
        <v>349</v>
      </c>
      <c r="AH15" s="7">
        <v>39281.699</v>
      </c>
      <c r="AI15" s="7">
        <v>52097.658</v>
      </c>
      <c r="AJ15" s="7">
        <v>54416.681</v>
      </c>
    </row>
    <row r="16">
      <c r="A16" s="7">
        <v>3.0</v>
      </c>
      <c r="B16" s="7" t="s">
        <v>351</v>
      </c>
      <c r="C16" s="7">
        <v>-15462.805</v>
      </c>
      <c r="D16" s="7">
        <v>-12915.445</v>
      </c>
      <c r="E16" s="7">
        <v>-11598.504</v>
      </c>
      <c r="F16" s="7">
        <v>-11683.729</v>
      </c>
      <c r="G16" s="7">
        <v>-8954.474</v>
      </c>
      <c r="I16" s="7">
        <v>3.0</v>
      </c>
      <c r="J16" s="7" t="s">
        <v>351</v>
      </c>
      <c r="K16" s="7">
        <v>-151220.0</v>
      </c>
      <c r="L16" s="7">
        <v>-201551.0</v>
      </c>
      <c r="M16" s="7">
        <v>-232949.844</v>
      </c>
      <c r="N16" s="7">
        <v>-245523.443</v>
      </c>
      <c r="O16" s="7">
        <v>-186879.058</v>
      </c>
      <c r="Q16" s="7">
        <v>3.0</v>
      </c>
      <c r="R16" s="7" t="s">
        <v>352</v>
      </c>
      <c r="S16" s="7">
        <v>-2451.0</v>
      </c>
      <c r="T16" s="7">
        <v>-23875.784</v>
      </c>
      <c r="U16" s="7">
        <v>-33975.261</v>
      </c>
      <c r="V16" s="7">
        <v>-37811.063</v>
      </c>
      <c r="W16" s="7">
        <v>-25528.488</v>
      </c>
      <c r="Y16" s="7">
        <v>3.0</v>
      </c>
      <c r="Z16" s="7" t="s">
        <v>351</v>
      </c>
      <c r="AA16" s="7">
        <v>-18340.468</v>
      </c>
      <c r="AB16" s="7">
        <v>-32279.762</v>
      </c>
      <c r="AC16" s="7">
        <v>-33968.029</v>
      </c>
      <c r="AD16" s="7">
        <v>-25079.993</v>
      </c>
      <c r="AF16" s="7">
        <v>3.0</v>
      </c>
      <c r="AG16" s="7" t="s">
        <v>351</v>
      </c>
      <c r="AH16" s="7">
        <v>-27621.723</v>
      </c>
      <c r="AI16" s="7">
        <v>-36838.04</v>
      </c>
      <c r="AJ16" s="7">
        <v>-36914.725</v>
      </c>
    </row>
    <row r="17">
      <c r="A17" s="7">
        <v>4.0</v>
      </c>
      <c r="B17" s="7" t="s">
        <v>355</v>
      </c>
      <c r="C17" s="7">
        <v>0.0</v>
      </c>
      <c r="D17" s="7">
        <v>0.0</v>
      </c>
      <c r="E17" s="7">
        <v>0.0</v>
      </c>
      <c r="F17" s="7">
        <v>0.0</v>
      </c>
      <c r="G17" s="7">
        <v>0.0</v>
      </c>
      <c r="I17" s="7">
        <v>4.0</v>
      </c>
      <c r="J17" s="7" t="s">
        <v>355</v>
      </c>
      <c r="K17" s="7">
        <v>0.0</v>
      </c>
      <c r="L17" s="7">
        <v>0.0</v>
      </c>
      <c r="M17" s="7">
        <v>-55877.684</v>
      </c>
      <c r="N17" s="7">
        <v>-55517.559</v>
      </c>
      <c r="O17" s="7">
        <v>0.0</v>
      </c>
      <c r="Q17" s="7">
        <v>4.0</v>
      </c>
      <c r="R17" s="7" t="s">
        <v>355</v>
      </c>
      <c r="S17" s="7">
        <v>0.0</v>
      </c>
      <c r="T17" s="7">
        <v>-20888.606</v>
      </c>
      <c r="U17" s="7">
        <v>-31836.604</v>
      </c>
      <c r="V17" s="7">
        <v>-38586.109</v>
      </c>
      <c r="W17" s="7">
        <v>0.0</v>
      </c>
      <c r="Y17" s="7">
        <v>4.0</v>
      </c>
      <c r="Z17" s="7" t="s">
        <v>355</v>
      </c>
      <c r="AA17" s="7">
        <v>0.0</v>
      </c>
      <c r="AB17" s="7">
        <v>0.0</v>
      </c>
      <c r="AC17" s="7">
        <v>0.0</v>
      </c>
      <c r="AD17" s="7">
        <v>0.0</v>
      </c>
      <c r="AF17" s="7">
        <v>5.0</v>
      </c>
      <c r="AG17" s="7" t="s">
        <v>353</v>
      </c>
      <c r="AH17" s="7">
        <v>11659.976</v>
      </c>
      <c r="AI17" s="7">
        <v>15259.61799999999</v>
      </c>
      <c r="AJ17" s="7">
        <v>17501.956</v>
      </c>
    </row>
    <row r="18">
      <c r="A18" s="7">
        <v>5.0</v>
      </c>
      <c r="B18" s="7" t="s">
        <v>353</v>
      </c>
      <c r="C18" s="7">
        <v>8467.346</v>
      </c>
      <c r="D18" s="7">
        <v>10663.335</v>
      </c>
      <c r="E18" s="7">
        <v>18193.739</v>
      </c>
      <c r="F18" s="7">
        <v>21084.374</v>
      </c>
      <c r="G18" s="7">
        <v>15191.11</v>
      </c>
      <c r="I18" s="7">
        <v>5.0</v>
      </c>
      <c r="J18" s="7" t="s">
        <v>353</v>
      </c>
      <c r="K18" s="7">
        <v>186246.0</v>
      </c>
      <c r="L18" s="7">
        <v>128497.0</v>
      </c>
      <c r="M18" s="7">
        <v>72150.58799999996</v>
      </c>
      <c r="N18" s="7">
        <v>118731.193</v>
      </c>
      <c r="O18" s="7">
        <v>125226.891</v>
      </c>
      <c r="Q18" s="7">
        <v>5.0</v>
      </c>
      <c r="R18" s="7" t="s">
        <v>353</v>
      </c>
      <c r="S18" s="7">
        <v>1866.0</v>
      </c>
      <c r="T18" s="7">
        <v>25676.77899999999</v>
      </c>
      <c r="U18" s="7">
        <v>38010.32900000001</v>
      </c>
      <c r="V18" s="7">
        <v>33188.712</v>
      </c>
      <c r="W18" s="7">
        <v>50265.48800000001</v>
      </c>
      <c r="Y18" s="7">
        <v>5.0</v>
      </c>
      <c r="Z18" s="7" t="s">
        <v>353</v>
      </c>
      <c r="AA18" s="7">
        <v>2085.294</v>
      </c>
      <c r="AB18" s="7">
        <v>1460.283</v>
      </c>
      <c r="AC18" s="7">
        <v>8987.408</v>
      </c>
      <c r="AD18" s="7">
        <v>8788.205</v>
      </c>
      <c r="AF18" s="7">
        <v>6.0</v>
      </c>
      <c r="AG18" s="7" t="s">
        <v>357</v>
      </c>
      <c r="AH18" s="7">
        <v>-2685.732</v>
      </c>
      <c r="AI18" s="7">
        <v>-2686.578</v>
      </c>
      <c r="AJ18" s="7">
        <v>-2729.234</v>
      </c>
    </row>
    <row r="19">
      <c r="A19" s="7">
        <v>6.0</v>
      </c>
      <c r="B19" s="7" t="s">
        <v>357</v>
      </c>
      <c r="C19" s="7">
        <v>0.0</v>
      </c>
      <c r="D19" s="7">
        <v>0.0</v>
      </c>
      <c r="E19" s="7">
        <v>0.0</v>
      </c>
      <c r="F19" s="7">
        <v>0.0</v>
      </c>
      <c r="G19" s="7">
        <v>0.0</v>
      </c>
      <c r="I19" s="7">
        <v>6.0</v>
      </c>
      <c r="J19" s="7" t="s">
        <v>357</v>
      </c>
      <c r="K19" s="7">
        <v>-121127.0</v>
      </c>
      <c r="L19" s="7">
        <v>-71779.0</v>
      </c>
      <c r="M19" s="7">
        <v>0.0</v>
      </c>
      <c r="N19" s="7">
        <v>0.0</v>
      </c>
      <c r="O19" s="7">
        <v>0.0</v>
      </c>
      <c r="Q19" s="7">
        <v>6.0</v>
      </c>
      <c r="R19" s="7" t="s">
        <v>357</v>
      </c>
      <c r="S19" s="7">
        <v>-2638.0</v>
      </c>
      <c r="T19" s="7">
        <v>0.0</v>
      </c>
      <c r="U19" s="7">
        <v>0.0</v>
      </c>
      <c r="V19" s="7">
        <v>0.0</v>
      </c>
      <c r="W19" s="7">
        <v>0.0</v>
      </c>
      <c r="Y19" s="7">
        <v>6.0</v>
      </c>
      <c r="Z19" s="7" t="s">
        <v>357</v>
      </c>
      <c r="AA19" s="7">
        <v>0.0</v>
      </c>
      <c r="AB19" s="7">
        <v>0.0</v>
      </c>
      <c r="AC19" s="7">
        <v>0.0</v>
      </c>
      <c r="AD19" s="7">
        <v>0.0</v>
      </c>
      <c r="AF19" s="7">
        <v>7.0</v>
      </c>
      <c r="AG19" s="7" t="s">
        <v>356</v>
      </c>
      <c r="AH19" s="7">
        <v>-4964.617</v>
      </c>
      <c r="AI19" s="7">
        <v>-6716.534</v>
      </c>
      <c r="AJ19" s="7">
        <v>-7394.33</v>
      </c>
    </row>
    <row r="20">
      <c r="A20" s="7">
        <v>7.0</v>
      </c>
      <c r="B20" s="7" t="s">
        <v>356</v>
      </c>
      <c r="C20" s="7">
        <v>-5280.811</v>
      </c>
      <c r="D20" s="7">
        <v>-7727.857</v>
      </c>
      <c r="E20" s="7">
        <v>-13232.878</v>
      </c>
      <c r="F20" s="7">
        <v>-14878.945</v>
      </c>
      <c r="G20" s="7">
        <v>0.0</v>
      </c>
      <c r="I20" s="7">
        <v>7.0</v>
      </c>
      <c r="J20" s="7" t="s">
        <v>356</v>
      </c>
      <c r="K20" s="7">
        <v>0.0</v>
      </c>
      <c r="L20" s="7">
        <v>0.0</v>
      </c>
      <c r="M20" s="7">
        <v>-47750.816</v>
      </c>
      <c r="N20" s="7">
        <v>-35870.766</v>
      </c>
      <c r="O20" s="7">
        <v>-68485.369</v>
      </c>
      <c r="Q20" s="7">
        <v>7.0</v>
      </c>
      <c r="R20" s="7" t="s">
        <v>361</v>
      </c>
      <c r="S20" s="7">
        <v>-1363.0</v>
      </c>
      <c r="T20" s="7">
        <v>-19654.592</v>
      </c>
      <c r="U20" s="7">
        <v>-25045.563</v>
      </c>
      <c r="V20" s="7">
        <v>-17485.196</v>
      </c>
      <c r="W20" s="7">
        <v>0.0</v>
      </c>
      <c r="Y20" s="7">
        <v>7.0</v>
      </c>
      <c r="Z20" s="7" t="s">
        <v>356</v>
      </c>
      <c r="AA20" s="7">
        <v>0.0</v>
      </c>
      <c r="AB20" s="7">
        <v>0.0</v>
      </c>
      <c r="AC20" s="7">
        <v>0.0</v>
      </c>
      <c r="AD20" s="7">
        <v>0.0</v>
      </c>
      <c r="AF20" s="7">
        <v>12.0</v>
      </c>
      <c r="AG20" s="7" t="s">
        <v>358</v>
      </c>
      <c r="AH20" s="7">
        <v>-7650.349</v>
      </c>
      <c r="AI20" s="7">
        <v>-9403.112</v>
      </c>
      <c r="AJ20" s="7">
        <v>-10123.564</v>
      </c>
    </row>
    <row r="21" ht="15.75" customHeight="1">
      <c r="A21" s="7">
        <v>8.0</v>
      </c>
      <c r="B21" s="7" t="s">
        <v>363</v>
      </c>
      <c r="C21" s="7">
        <v>0.0</v>
      </c>
      <c r="D21" s="7">
        <v>0.0</v>
      </c>
      <c r="E21" s="7">
        <v>0.0</v>
      </c>
      <c r="F21" s="7">
        <v>0.0</v>
      </c>
      <c r="G21" s="7">
        <v>-9665.694</v>
      </c>
      <c r="I21" s="7">
        <v>12.0</v>
      </c>
      <c r="J21" s="7" t="s">
        <v>358</v>
      </c>
      <c r="K21" s="7">
        <v>-121127.0</v>
      </c>
      <c r="L21" s="7">
        <v>-71779.0</v>
      </c>
      <c r="M21" s="7">
        <v>-47750.816</v>
      </c>
      <c r="N21" s="7">
        <v>-35870.766</v>
      </c>
      <c r="O21" s="7">
        <v>-68485.369</v>
      </c>
      <c r="Q21" s="7">
        <v>8.0</v>
      </c>
      <c r="R21" s="7" t="s">
        <v>364</v>
      </c>
      <c r="S21" s="7">
        <v>0.0</v>
      </c>
      <c r="T21" s="7">
        <v>0.0</v>
      </c>
      <c r="U21" s="7">
        <v>0.0</v>
      </c>
      <c r="V21" s="7">
        <v>0.0</v>
      </c>
      <c r="W21" s="7">
        <v>-41790.343</v>
      </c>
      <c r="Y21" s="7">
        <v>8.0</v>
      </c>
      <c r="Z21" s="7" t="s">
        <v>363</v>
      </c>
      <c r="AA21" s="7">
        <v>-2123.984</v>
      </c>
      <c r="AB21" s="7">
        <v>-3785.491</v>
      </c>
      <c r="AC21" s="7">
        <v>-7594.94</v>
      </c>
      <c r="AD21" s="7">
        <v>-7747.944</v>
      </c>
      <c r="AF21" s="7">
        <v>13.0</v>
      </c>
      <c r="AG21" s="7" t="s">
        <v>359</v>
      </c>
      <c r="AH21" s="7">
        <v>4009.626999999999</v>
      </c>
      <c r="AI21" s="7">
        <v>5856.505999999996</v>
      </c>
      <c r="AJ21" s="7">
        <v>7378.391999999998</v>
      </c>
    </row>
    <row r="22" ht="15.75" customHeight="1">
      <c r="A22" s="7">
        <v>12.0</v>
      </c>
      <c r="B22" s="7" t="s">
        <v>358</v>
      </c>
      <c r="C22" s="7">
        <v>-5280.811</v>
      </c>
      <c r="D22" s="7">
        <v>-7727.857</v>
      </c>
      <c r="E22" s="7">
        <v>-13232.878</v>
      </c>
      <c r="F22" s="7">
        <v>-14878.945</v>
      </c>
      <c r="G22" s="7">
        <v>-9665.694</v>
      </c>
      <c r="I22" s="7">
        <v>13.0</v>
      </c>
      <c r="J22" s="7" t="s">
        <v>359</v>
      </c>
      <c r="K22" s="7">
        <v>65119.0</v>
      </c>
      <c r="L22" s="7">
        <v>56718.0</v>
      </c>
      <c r="M22" s="7">
        <v>24399.77199999996</v>
      </c>
      <c r="N22" s="7">
        <v>82860.427</v>
      </c>
      <c r="O22" s="7">
        <v>56741.52200000003</v>
      </c>
      <c r="Q22" s="7">
        <v>10.0</v>
      </c>
      <c r="R22" s="7" t="s">
        <v>360</v>
      </c>
      <c r="S22" s="7">
        <v>0.0</v>
      </c>
      <c r="T22" s="7">
        <v>0.0</v>
      </c>
      <c r="U22" s="7">
        <v>0.0</v>
      </c>
      <c r="V22" s="7">
        <v>0.0</v>
      </c>
      <c r="W22" s="7">
        <v>-892.218</v>
      </c>
      <c r="Y22" s="7">
        <v>9.0</v>
      </c>
      <c r="Z22" s="7" t="s">
        <v>368</v>
      </c>
      <c r="AA22" s="7">
        <v>0.0</v>
      </c>
      <c r="AB22" s="7">
        <v>0.0</v>
      </c>
      <c r="AC22" s="7">
        <v>0.0</v>
      </c>
      <c r="AD22" s="7">
        <v>0.0</v>
      </c>
      <c r="AF22" s="7">
        <v>14.0</v>
      </c>
      <c r="AG22" s="7" t="s">
        <v>366</v>
      </c>
      <c r="AH22" s="7">
        <v>28.825</v>
      </c>
      <c r="AI22" s="7">
        <v>36.26</v>
      </c>
      <c r="AJ22" s="7">
        <v>1510.771</v>
      </c>
    </row>
    <row r="23" ht="15.75" customHeight="1">
      <c r="A23" s="7">
        <v>13.0</v>
      </c>
      <c r="B23" s="7" t="s">
        <v>359</v>
      </c>
      <c r="C23" s="7">
        <v>3186.535</v>
      </c>
      <c r="D23" s="7">
        <v>2935.478</v>
      </c>
      <c r="E23" s="7">
        <v>4960.861</v>
      </c>
      <c r="F23" s="7">
        <v>6205.429</v>
      </c>
      <c r="G23" s="7">
        <v>5525.416</v>
      </c>
      <c r="I23" s="7">
        <v>16.0</v>
      </c>
      <c r="J23" s="7" t="s">
        <v>373</v>
      </c>
      <c r="K23" s="7">
        <v>-9697.0</v>
      </c>
      <c r="L23" s="7">
        <v>-7491.0</v>
      </c>
      <c r="M23" s="7">
        <v>11096.432</v>
      </c>
      <c r="N23" s="7">
        <v>-48207.211</v>
      </c>
      <c r="O23" s="7">
        <v>-12947.056</v>
      </c>
      <c r="Q23" s="7">
        <v>11.0</v>
      </c>
      <c r="R23" s="7" t="s">
        <v>371</v>
      </c>
      <c r="S23" s="7">
        <v>0.0</v>
      </c>
      <c r="T23" s="7">
        <v>0.0</v>
      </c>
      <c r="U23" s="7">
        <v>0.0</v>
      </c>
      <c r="V23" s="7">
        <v>0.0</v>
      </c>
      <c r="W23" s="7">
        <v>-710.364</v>
      </c>
      <c r="Y23" s="7">
        <v>10.0</v>
      </c>
      <c r="Z23" s="7" t="s">
        <v>360</v>
      </c>
      <c r="AA23" s="7">
        <v>0.0</v>
      </c>
      <c r="AB23" s="7">
        <v>0.0</v>
      </c>
      <c r="AC23" s="7">
        <v>0.0</v>
      </c>
      <c r="AD23" s="7">
        <v>0.0</v>
      </c>
      <c r="AF23" s="7">
        <v>15.0</v>
      </c>
      <c r="AG23" s="7" t="s">
        <v>362</v>
      </c>
      <c r="AH23" s="7">
        <v>0.0</v>
      </c>
      <c r="AI23" s="7">
        <v>0.0</v>
      </c>
      <c r="AJ23" s="7">
        <v>-372.01</v>
      </c>
    </row>
    <row r="24" ht="15.75" customHeight="1">
      <c r="A24" s="7">
        <v>16.0</v>
      </c>
      <c r="B24" s="7" t="s">
        <v>373</v>
      </c>
      <c r="C24" s="7">
        <v>11232.151</v>
      </c>
      <c r="D24" s="7">
        <v>-41.595</v>
      </c>
      <c r="E24" s="7">
        <v>273.615</v>
      </c>
      <c r="F24" s="7">
        <v>14.075</v>
      </c>
      <c r="G24" s="7">
        <v>-1734.978</v>
      </c>
      <c r="I24" s="7">
        <v>20.0</v>
      </c>
      <c r="J24" s="7" t="s">
        <v>370</v>
      </c>
      <c r="K24" s="7">
        <v>0.0</v>
      </c>
      <c r="L24" s="7">
        <v>0.0</v>
      </c>
      <c r="M24" s="7">
        <v>0.0</v>
      </c>
      <c r="N24" s="7">
        <v>0.0</v>
      </c>
      <c r="O24" s="7">
        <v>-41642.513</v>
      </c>
      <c r="Q24" s="7">
        <v>12.0</v>
      </c>
      <c r="R24" s="7" t="s">
        <v>358</v>
      </c>
      <c r="S24" s="7">
        <v>-4001.0</v>
      </c>
      <c r="T24" s="7">
        <v>-19654.592</v>
      </c>
      <c r="U24" s="7">
        <v>-25045.563</v>
      </c>
      <c r="V24" s="7">
        <v>-17485.196</v>
      </c>
      <c r="W24" s="7">
        <v>-43392.925</v>
      </c>
      <c r="Y24" s="7">
        <v>11.0</v>
      </c>
      <c r="Z24" s="7" t="s">
        <v>371</v>
      </c>
      <c r="AA24" s="7">
        <v>0.0</v>
      </c>
      <c r="AB24" s="7">
        <v>0.0</v>
      </c>
      <c r="AC24" s="7">
        <v>0.0</v>
      </c>
      <c r="AD24" s="7">
        <v>0.0</v>
      </c>
      <c r="AF24" s="7">
        <v>20.0</v>
      </c>
      <c r="AG24" s="7" t="s">
        <v>370</v>
      </c>
      <c r="AH24" s="7">
        <v>-2401.992</v>
      </c>
      <c r="AI24" s="7">
        <v>-4478.469</v>
      </c>
      <c r="AJ24" s="7">
        <v>-5548.633</v>
      </c>
    </row>
    <row r="25" ht="15.75" customHeight="1">
      <c r="A25" s="7">
        <v>23.0</v>
      </c>
      <c r="B25" s="7" t="s">
        <v>377</v>
      </c>
      <c r="C25" s="7">
        <v>11232.151</v>
      </c>
      <c r="D25" s="7">
        <v>-41.595</v>
      </c>
      <c r="E25" s="7">
        <v>273.615</v>
      </c>
      <c r="F25" s="7">
        <v>14.075</v>
      </c>
      <c r="G25" s="7">
        <v>-1734.978</v>
      </c>
      <c r="I25" s="7">
        <v>21.0</v>
      </c>
      <c r="J25" s="7" t="s">
        <v>378</v>
      </c>
      <c r="K25" s="7">
        <v>-28859.0</v>
      </c>
      <c r="L25" s="7">
        <v>-22736.0</v>
      </c>
      <c r="M25" s="7">
        <v>-23429.493</v>
      </c>
      <c r="N25" s="7">
        <v>-24862.069</v>
      </c>
      <c r="O25" s="7">
        <v>0.0</v>
      </c>
      <c r="Q25" s="7">
        <v>13.0</v>
      </c>
      <c r="R25" s="7" t="s">
        <v>359</v>
      </c>
      <c r="S25" s="7">
        <v>-2135.0</v>
      </c>
      <c r="T25" s="7">
        <v>6022.186999999994</v>
      </c>
      <c r="U25" s="7">
        <v>12964.76600000001</v>
      </c>
      <c r="V25" s="7">
        <v>15703.516</v>
      </c>
      <c r="W25" s="7">
        <v>6872.563000000009</v>
      </c>
      <c r="Y25" s="7">
        <v>12.0</v>
      </c>
      <c r="Z25" s="7" t="s">
        <v>358</v>
      </c>
      <c r="AA25" s="7">
        <v>-2123.984</v>
      </c>
      <c r="AB25" s="7">
        <v>-3785.491</v>
      </c>
      <c r="AC25" s="7">
        <v>-7594.94</v>
      </c>
      <c r="AD25" s="7">
        <v>-7747.944</v>
      </c>
      <c r="AF25" s="7">
        <v>23.0</v>
      </c>
      <c r="AG25" s="7" t="s">
        <v>377</v>
      </c>
      <c r="AH25" s="7">
        <v>-2373.167</v>
      </c>
      <c r="AI25" s="7">
        <v>-4442.209</v>
      </c>
      <c r="AJ25" s="7">
        <v>-4409.871999999999</v>
      </c>
    </row>
    <row r="26" ht="15.75" customHeight="1">
      <c r="A26" s="7">
        <v>24.0</v>
      </c>
      <c r="B26" s="7" t="s">
        <v>369</v>
      </c>
      <c r="C26" s="7">
        <v>14418.686</v>
      </c>
      <c r="D26" s="7">
        <v>2893.883</v>
      </c>
      <c r="E26" s="7">
        <v>5234.476</v>
      </c>
      <c r="F26" s="7">
        <v>6219.504</v>
      </c>
      <c r="G26" s="7">
        <v>3790.438</v>
      </c>
      <c r="I26" s="7">
        <v>22.0</v>
      </c>
      <c r="J26" s="7" t="s">
        <v>380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Q26" s="7">
        <v>14.0</v>
      </c>
      <c r="R26" s="7" t="s">
        <v>382</v>
      </c>
      <c r="S26" s="7">
        <v>47.0</v>
      </c>
      <c r="T26" s="7">
        <v>0.0</v>
      </c>
      <c r="U26" s="7">
        <v>0.0</v>
      </c>
      <c r="V26" s="7">
        <v>0.0</v>
      </c>
      <c r="W26" s="7">
        <v>0.0</v>
      </c>
      <c r="Y26" s="7">
        <v>13.0</v>
      </c>
      <c r="Z26" s="7" t="s">
        <v>359</v>
      </c>
      <c r="AA26" s="7">
        <v>-38.69</v>
      </c>
      <c r="AB26" s="7">
        <v>-2325.208</v>
      </c>
      <c r="AC26" s="7">
        <v>1392.468</v>
      </c>
      <c r="AD26" s="7">
        <v>1040.261</v>
      </c>
      <c r="AF26" s="7">
        <v>24.0</v>
      </c>
      <c r="AG26" s="7" t="s">
        <v>369</v>
      </c>
      <c r="AH26" s="7">
        <v>1636.459999999998</v>
      </c>
      <c r="AI26" s="7">
        <v>1414.296999999996</v>
      </c>
      <c r="AJ26" s="7">
        <v>2968.519999999999</v>
      </c>
    </row>
    <row r="27" ht="15.75" customHeight="1">
      <c r="A27" s="7">
        <v>25.0</v>
      </c>
      <c r="B27" s="7" t="s">
        <v>374</v>
      </c>
      <c r="C27" s="7">
        <v>0.0</v>
      </c>
      <c r="D27" s="7">
        <v>0.0</v>
      </c>
      <c r="E27" s="7">
        <v>0.0</v>
      </c>
      <c r="F27" s="7">
        <v>0.0</v>
      </c>
      <c r="G27" s="7">
        <v>0.0</v>
      </c>
      <c r="I27" s="7">
        <v>23.0</v>
      </c>
      <c r="J27" s="7" t="s">
        <v>377</v>
      </c>
      <c r="K27" s="7">
        <v>-38556.0</v>
      </c>
      <c r="L27" s="7">
        <v>-30227.0</v>
      </c>
      <c r="M27" s="7">
        <v>-12333.061</v>
      </c>
      <c r="N27" s="7">
        <v>-73069.28</v>
      </c>
      <c r="O27" s="7">
        <v>-54589.569</v>
      </c>
      <c r="Q27" s="7">
        <v>15.0</v>
      </c>
      <c r="R27" s="7" t="s">
        <v>362</v>
      </c>
      <c r="S27" s="7">
        <v>-393.0</v>
      </c>
      <c r="T27" s="7">
        <v>0.0</v>
      </c>
      <c r="U27" s="7">
        <v>-6972.309</v>
      </c>
      <c r="V27" s="7">
        <v>-6928.491</v>
      </c>
      <c r="W27" s="7">
        <v>0.0</v>
      </c>
      <c r="Y27" s="7">
        <v>14.0</v>
      </c>
      <c r="Z27" s="7" t="s">
        <v>366</v>
      </c>
      <c r="AA27" s="7">
        <v>0.0</v>
      </c>
      <c r="AB27" s="7">
        <v>0.0</v>
      </c>
      <c r="AC27" s="7">
        <v>0.0</v>
      </c>
      <c r="AD27" s="7">
        <v>0.0</v>
      </c>
      <c r="AF27" s="7">
        <v>26.0</v>
      </c>
      <c r="AG27" s="7" t="s">
        <v>376</v>
      </c>
      <c r="AH27" s="7">
        <v>1636.459999999998</v>
      </c>
      <c r="AI27" s="7">
        <v>1414.296999999996</v>
      </c>
      <c r="AJ27" s="7">
        <v>2968.519999999999</v>
      </c>
    </row>
    <row r="28" ht="15.75" customHeight="1">
      <c r="A28" s="7">
        <v>26.0</v>
      </c>
      <c r="B28" s="7" t="s">
        <v>376</v>
      </c>
      <c r="C28" s="7">
        <v>14418.686</v>
      </c>
      <c r="D28" s="7">
        <v>2893.883</v>
      </c>
      <c r="E28" s="7">
        <v>5234.476</v>
      </c>
      <c r="F28" s="7">
        <v>6219.504</v>
      </c>
      <c r="G28" s="7">
        <v>3790.438</v>
      </c>
      <c r="I28" s="7">
        <v>24.0</v>
      </c>
      <c r="J28" s="7" t="s">
        <v>369</v>
      </c>
      <c r="K28" s="7">
        <v>26563.0</v>
      </c>
      <c r="L28" s="7">
        <v>26491.0</v>
      </c>
      <c r="M28" s="7">
        <v>12066.71099999996</v>
      </c>
      <c r="N28" s="7">
        <v>9791.146999999997</v>
      </c>
      <c r="O28" s="7">
        <v>2151.953000000023</v>
      </c>
      <c r="Q28" s="7">
        <v>16.0</v>
      </c>
      <c r="R28" s="7" t="s">
        <v>373</v>
      </c>
      <c r="S28" s="7">
        <v>0.0</v>
      </c>
      <c r="T28" s="7">
        <v>0.0</v>
      </c>
      <c r="U28" s="7">
        <v>0.0</v>
      </c>
      <c r="V28" s="7">
        <v>0.0</v>
      </c>
      <c r="W28" s="7">
        <v>-2425.693</v>
      </c>
      <c r="Y28" s="7">
        <v>15.0</v>
      </c>
      <c r="Z28" s="7" t="s">
        <v>362</v>
      </c>
      <c r="AA28" s="7">
        <v>0.0</v>
      </c>
      <c r="AB28" s="7">
        <v>0.0</v>
      </c>
      <c r="AC28" s="7">
        <v>0.0</v>
      </c>
      <c r="AD28" s="7">
        <v>0.0</v>
      </c>
      <c r="AF28" s="7">
        <v>27.0</v>
      </c>
      <c r="AG28" s="7" t="s">
        <v>379</v>
      </c>
      <c r="AH28" s="7">
        <v>-476.188</v>
      </c>
      <c r="AI28" s="7">
        <v>-527.059</v>
      </c>
      <c r="AJ28" s="7">
        <v>0.0</v>
      </c>
    </row>
    <row r="29" ht="15.75" customHeight="1">
      <c r="A29" s="7">
        <v>28.0</v>
      </c>
      <c r="B29" s="7" t="s">
        <v>383</v>
      </c>
      <c r="C29" s="7">
        <v>14418.686</v>
      </c>
      <c r="D29" s="7">
        <v>2893.883</v>
      </c>
      <c r="E29" s="7">
        <v>5234.476</v>
      </c>
      <c r="F29" s="7">
        <v>6219.504</v>
      </c>
      <c r="G29" s="7">
        <v>3790.438</v>
      </c>
      <c r="I29" s="7">
        <v>25.0</v>
      </c>
      <c r="J29" s="7" t="s">
        <v>374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Q29" s="7">
        <v>19.0</v>
      </c>
      <c r="R29" s="7" t="s">
        <v>386</v>
      </c>
      <c r="S29" s="7">
        <v>0.0</v>
      </c>
      <c r="T29" s="7">
        <v>61.147</v>
      </c>
      <c r="U29" s="7">
        <v>11.521</v>
      </c>
      <c r="V29" s="7">
        <v>0.0</v>
      </c>
      <c r="W29" s="7">
        <v>0.0</v>
      </c>
      <c r="Y29" s="7">
        <v>16.0</v>
      </c>
      <c r="Z29" s="7" t="s">
        <v>373</v>
      </c>
      <c r="AA29" s="7">
        <v>3.186</v>
      </c>
      <c r="AB29" s="7">
        <v>-383.15</v>
      </c>
      <c r="AC29" s="7">
        <v>-430.325</v>
      </c>
      <c r="AD29" s="7">
        <v>71.365</v>
      </c>
      <c r="AF29" s="7">
        <v>28.0</v>
      </c>
      <c r="AG29" s="7" t="s">
        <v>383</v>
      </c>
      <c r="AH29" s="7">
        <v>1160.271999999998</v>
      </c>
      <c r="AI29" s="7">
        <v>887.237999999996</v>
      </c>
      <c r="AJ29" s="7">
        <v>2968.519999999999</v>
      </c>
    </row>
    <row r="30" ht="15.75" customHeight="1">
      <c r="I30" s="7">
        <v>26.0</v>
      </c>
      <c r="J30" s="7" t="s">
        <v>376</v>
      </c>
      <c r="K30" s="7">
        <v>26563.0</v>
      </c>
      <c r="L30" s="7">
        <v>26491.0</v>
      </c>
      <c r="M30" s="7">
        <v>12066.71099999996</v>
      </c>
      <c r="N30" s="7">
        <v>9791.146999999997</v>
      </c>
      <c r="O30" s="7">
        <v>2151.953000000023</v>
      </c>
      <c r="Q30" s="7">
        <v>20.0</v>
      </c>
      <c r="R30" s="7" t="s">
        <v>370</v>
      </c>
      <c r="S30" s="7">
        <v>-360.0</v>
      </c>
      <c r="T30" s="7">
        <v>-3182.04</v>
      </c>
      <c r="U30" s="7">
        <v>-3111.028</v>
      </c>
      <c r="V30" s="7">
        <v>-3208.625</v>
      </c>
      <c r="W30" s="7">
        <v>-3621.007</v>
      </c>
      <c r="Y30" s="7">
        <v>17.0</v>
      </c>
      <c r="Z30" s="7" t="s">
        <v>381</v>
      </c>
      <c r="AA30" s="7">
        <v>0.0</v>
      </c>
      <c r="AB30" s="7">
        <v>0.0</v>
      </c>
      <c r="AC30" s="7">
        <v>0.0</v>
      </c>
      <c r="AD30" s="7">
        <v>0.0</v>
      </c>
    </row>
    <row r="31" ht="15.75" customHeight="1">
      <c r="A31" s="7">
        <v>2.0</v>
      </c>
      <c r="B31" s="7" t="s">
        <v>387</v>
      </c>
      <c r="C31" s="7">
        <v>14418.686</v>
      </c>
      <c r="D31" s="7">
        <v>2893.883</v>
      </c>
      <c r="E31" s="7">
        <v>5234.476</v>
      </c>
      <c r="F31" s="7">
        <v>6219.504</v>
      </c>
      <c r="G31" s="7">
        <v>3790.438</v>
      </c>
      <c r="I31" s="7">
        <v>27.0</v>
      </c>
      <c r="J31" s="7" t="s">
        <v>379</v>
      </c>
      <c r="K31" s="7">
        <v>-7128.0</v>
      </c>
      <c r="L31" s="7">
        <v>-5077.0</v>
      </c>
      <c r="M31" s="7">
        <v>0.0</v>
      </c>
      <c r="N31" s="7">
        <v>0.0</v>
      </c>
      <c r="O31" s="7">
        <v>0.0</v>
      </c>
      <c r="Q31" s="7">
        <v>21.0</v>
      </c>
      <c r="R31" s="7" t="s">
        <v>388</v>
      </c>
      <c r="S31" s="7">
        <v>0.0</v>
      </c>
      <c r="T31" s="7">
        <v>0.0</v>
      </c>
      <c r="U31" s="7">
        <v>0.0</v>
      </c>
      <c r="V31" s="7">
        <v>0.0</v>
      </c>
      <c r="W31" s="7">
        <v>-3470.576</v>
      </c>
      <c r="Y31" s="7">
        <v>18.0</v>
      </c>
      <c r="Z31" s="7" t="s">
        <v>389</v>
      </c>
      <c r="AA31" s="7">
        <v>0.0</v>
      </c>
      <c r="AB31" s="7">
        <v>0.0</v>
      </c>
      <c r="AC31" s="7">
        <v>0.0</v>
      </c>
      <c r="AD31" s="7">
        <v>0.0</v>
      </c>
      <c r="AF31" s="7">
        <v>2.0</v>
      </c>
      <c r="AG31" s="7" t="s">
        <v>387</v>
      </c>
      <c r="AH31" s="7">
        <v>1160.271999999998</v>
      </c>
      <c r="AI31" s="7">
        <v>887.237999999996</v>
      </c>
      <c r="AJ31" s="7">
        <v>2968.519999999999</v>
      </c>
    </row>
    <row r="32" ht="15.75" customHeight="1">
      <c r="I32" s="7">
        <v>28.0</v>
      </c>
      <c r="J32" s="7" t="s">
        <v>390</v>
      </c>
      <c r="K32" s="7">
        <v>0.0</v>
      </c>
      <c r="L32" s="7">
        <v>0.0</v>
      </c>
      <c r="M32" s="7">
        <v>0.0</v>
      </c>
      <c r="N32" s="7">
        <v>-3998.758</v>
      </c>
      <c r="O32" s="7">
        <v>0.0</v>
      </c>
      <c r="Q32" s="7">
        <v>24.0</v>
      </c>
      <c r="R32" s="7" t="s">
        <v>377</v>
      </c>
      <c r="S32" s="7">
        <v>-706.0</v>
      </c>
      <c r="T32" s="7">
        <v>-3120.893</v>
      </c>
      <c r="U32" s="7">
        <v>-10071.816</v>
      </c>
      <c r="V32" s="7">
        <v>-10137.116</v>
      </c>
      <c r="W32" s="7">
        <v>-9517.276000000002</v>
      </c>
      <c r="Y32" s="7">
        <v>19.0</v>
      </c>
      <c r="Z32" s="7" t="s">
        <v>386</v>
      </c>
      <c r="AA32" s="7">
        <v>0.0</v>
      </c>
      <c r="AB32" s="7">
        <v>0.0</v>
      </c>
      <c r="AC32" s="7">
        <v>0.0</v>
      </c>
      <c r="AD32" s="7">
        <v>0.0</v>
      </c>
    </row>
    <row r="33" ht="15.75" customHeight="1">
      <c r="A33" s="7">
        <v>30.0</v>
      </c>
      <c r="B33" s="7" t="s">
        <v>385</v>
      </c>
      <c r="C33" s="7">
        <v>15462.859</v>
      </c>
      <c r="D33" s="7">
        <v>12915.395</v>
      </c>
      <c r="E33" s="7">
        <v>11598.5</v>
      </c>
      <c r="F33" s="7">
        <v>11683.729</v>
      </c>
      <c r="G33" s="7">
        <v>8954.474</v>
      </c>
      <c r="I33" s="7">
        <v>29.0</v>
      </c>
      <c r="J33" s="7" t="s">
        <v>391</v>
      </c>
      <c r="K33" s="7">
        <v>0.0</v>
      </c>
      <c r="L33" s="7">
        <v>0.0</v>
      </c>
      <c r="M33" s="7">
        <v>4056.259</v>
      </c>
      <c r="N33" s="7">
        <v>1422.562</v>
      </c>
      <c r="O33" s="7">
        <v>0.0</v>
      </c>
      <c r="Q33" s="7">
        <v>25.0</v>
      </c>
      <c r="R33" s="7" t="s">
        <v>369</v>
      </c>
      <c r="S33" s="7">
        <v>-2841.0</v>
      </c>
      <c r="T33" s="7">
        <v>2901.293999999994</v>
      </c>
      <c r="U33" s="7">
        <v>2892.950000000006</v>
      </c>
      <c r="V33" s="7">
        <v>5566.4</v>
      </c>
      <c r="W33" s="7">
        <v>-2644.712999999992</v>
      </c>
      <c r="Y33" s="7">
        <v>20.0</v>
      </c>
      <c r="Z33" s="7" t="s">
        <v>370</v>
      </c>
      <c r="AA33" s="7">
        <v>0.0</v>
      </c>
      <c r="AB33" s="7">
        <v>0.0</v>
      </c>
      <c r="AC33" s="7">
        <v>0.0</v>
      </c>
      <c r="AD33" s="7">
        <v>0.0</v>
      </c>
      <c r="AF33" s="7">
        <v>30.0</v>
      </c>
      <c r="AG33" s="7" t="s">
        <v>385</v>
      </c>
      <c r="AH33" s="7">
        <v>40395.987</v>
      </c>
      <c r="AI33" s="7">
        <v>37857.769</v>
      </c>
      <c r="AJ33" s="7">
        <v>36894.298</v>
      </c>
    </row>
    <row r="34" ht="15.75" customHeight="1">
      <c r="I34" s="7">
        <v>28.0</v>
      </c>
      <c r="J34" s="7" t="s">
        <v>383</v>
      </c>
      <c r="K34" s="7">
        <v>19435.0</v>
      </c>
      <c r="L34" s="7">
        <v>21414.0</v>
      </c>
      <c r="M34" s="7">
        <v>16122.96999999996</v>
      </c>
      <c r="N34" s="7">
        <v>7214.950999999997</v>
      </c>
      <c r="O34" s="7">
        <v>2151.953000000023</v>
      </c>
      <c r="Q34" s="7">
        <v>26.0</v>
      </c>
      <c r="R34" s="7" t="s">
        <v>374</v>
      </c>
      <c r="S34" s="7">
        <v>0.0</v>
      </c>
      <c r="T34" s="7">
        <v>0.0</v>
      </c>
      <c r="U34" s="7">
        <v>0.0</v>
      </c>
      <c r="V34" s="7">
        <v>0.0</v>
      </c>
      <c r="W34" s="7">
        <v>0.0</v>
      </c>
      <c r="Y34" s="7">
        <v>21.0</v>
      </c>
      <c r="Z34" s="7" t="s">
        <v>378</v>
      </c>
      <c r="AA34" s="7">
        <v>0.0</v>
      </c>
      <c r="AB34" s="7">
        <v>0.0</v>
      </c>
      <c r="AC34" s="7">
        <v>0.0</v>
      </c>
      <c r="AD34" s="7">
        <v>0.0</v>
      </c>
    </row>
    <row r="35" ht="15.75" customHeight="1">
      <c r="Q35" s="7">
        <v>27.0</v>
      </c>
      <c r="R35" s="7" t="s">
        <v>376</v>
      </c>
      <c r="S35" s="7">
        <v>-2841.0</v>
      </c>
      <c r="T35" s="7">
        <v>2901.293999999994</v>
      </c>
      <c r="U35" s="7">
        <v>2892.950000000006</v>
      </c>
      <c r="V35" s="7">
        <v>5566.4</v>
      </c>
      <c r="W35" s="7">
        <v>-2644.712999999992</v>
      </c>
      <c r="Y35" s="7">
        <v>22.0</v>
      </c>
      <c r="Z35" s="7" t="s">
        <v>380</v>
      </c>
      <c r="AA35" s="7">
        <v>0.0</v>
      </c>
      <c r="AB35" s="7">
        <v>0.0</v>
      </c>
      <c r="AC35" s="7">
        <v>0.0</v>
      </c>
      <c r="AD35" s="7">
        <v>0.0</v>
      </c>
    </row>
    <row r="36" ht="15.75" customHeight="1">
      <c r="I36" s="7">
        <v>1.0</v>
      </c>
      <c r="J36" s="7" t="s">
        <v>392</v>
      </c>
      <c r="K36" s="7">
        <v>0.0</v>
      </c>
      <c r="L36" s="7">
        <v>0.0</v>
      </c>
      <c r="M36" s="7">
        <v>-690.114</v>
      </c>
      <c r="N36" s="7">
        <v>814.917</v>
      </c>
      <c r="O36" s="7">
        <v>0.0</v>
      </c>
      <c r="Q36" s="7">
        <v>28.0</v>
      </c>
      <c r="R36" s="7" t="s">
        <v>379</v>
      </c>
      <c r="S36" s="7">
        <v>-155.0</v>
      </c>
      <c r="T36" s="7">
        <v>-1625.338</v>
      </c>
      <c r="U36" s="7">
        <v>-306.746</v>
      </c>
      <c r="V36" s="7">
        <v>-995.089</v>
      </c>
      <c r="W36" s="7">
        <v>-191.149</v>
      </c>
      <c r="Y36" s="7">
        <v>23.0</v>
      </c>
      <c r="Z36" s="7" t="s">
        <v>377</v>
      </c>
      <c r="AA36" s="7">
        <v>3.186</v>
      </c>
      <c r="AB36" s="7">
        <v>-383.15</v>
      </c>
      <c r="AC36" s="7">
        <v>-430.325</v>
      </c>
      <c r="AD36" s="7">
        <v>71.365</v>
      </c>
    </row>
    <row r="37" ht="15.75" customHeight="1">
      <c r="I37" s="7">
        <v>2.0</v>
      </c>
      <c r="J37" s="7" t="s">
        <v>338</v>
      </c>
      <c r="K37" s="7">
        <v>0.0</v>
      </c>
      <c r="L37" s="7">
        <v>0.0</v>
      </c>
      <c r="M37" s="7">
        <v>0.0</v>
      </c>
      <c r="N37" s="7">
        <v>38442.628</v>
      </c>
      <c r="O37" s="7">
        <v>0.0</v>
      </c>
      <c r="Q37" s="7">
        <v>29.0</v>
      </c>
      <c r="R37" s="7" t="s">
        <v>383</v>
      </c>
      <c r="S37" s="7">
        <v>-2996.0</v>
      </c>
      <c r="T37" s="7">
        <v>1275.955999999994</v>
      </c>
      <c r="U37" s="7">
        <v>2586.204000000006</v>
      </c>
      <c r="V37" s="7">
        <v>4571.311</v>
      </c>
      <c r="W37" s="7">
        <v>-2835.861999999992</v>
      </c>
      <c r="Y37" s="7">
        <v>24.0</v>
      </c>
      <c r="Z37" s="7" t="s">
        <v>369</v>
      </c>
      <c r="AA37" s="7">
        <v>-35.504</v>
      </c>
      <c r="AB37" s="7">
        <v>-2708.358</v>
      </c>
      <c r="AC37" s="7">
        <v>962.143</v>
      </c>
      <c r="AD37" s="7">
        <v>1111.626</v>
      </c>
    </row>
    <row r="38" ht="15.75" customHeight="1">
      <c r="I38" s="7">
        <v>3.0</v>
      </c>
      <c r="J38" s="7" t="s">
        <v>308</v>
      </c>
      <c r="K38" s="7">
        <v>0.0</v>
      </c>
      <c r="L38" s="7">
        <v>0.0</v>
      </c>
      <c r="M38" s="7">
        <v>172.528</v>
      </c>
      <c r="N38" s="7">
        <v>-9986.915</v>
      </c>
      <c r="O38" s="7">
        <v>0.0</v>
      </c>
      <c r="Y38" s="7">
        <v>25.0</v>
      </c>
      <c r="Z38" s="7" t="s">
        <v>374</v>
      </c>
      <c r="AA38" s="7">
        <v>0.0</v>
      </c>
      <c r="AB38" s="7">
        <v>0.0</v>
      </c>
      <c r="AC38" s="7">
        <v>0.0</v>
      </c>
      <c r="AD38" s="7">
        <v>0.0</v>
      </c>
    </row>
    <row r="39" ht="15.75" customHeight="1">
      <c r="I39" s="7">
        <v>2.0</v>
      </c>
      <c r="J39" s="7" t="s">
        <v>387</v>
      </c>
      <c r="K39" s="7">
        <v>19435.0</v>
      </c>
      <c r="L39" s="7">
        <v>21414.0</v>
      </c>
      <c r="M39" s="7">
        <v>15605.38399999996</v>
      </c>
      <c r="N39" s="7">
        <v>36485.58099999999</v>
      </c>
      <c r="O39" s="7">
        <v>2151.953000000023</v>
      </c>
      <c r="R39" s="7" t="s">
        <v>385</v>
      </c>
      <c r="S39" s="7">
        <v>1158.0</v>
      </c>
      <c r="T39" s="7">
        <v>25517.385</v>
      </c>
      <c r="U39" s="7">
        <v>36553.82199999999</v>
      </c>
      <c r="V39" s="7">
        <v>45174.121</v>
      </c>
      <c r="W39" s="7">
        <v>21651.745</v>
      </c>
      <c r="Y39" s="7">
        <v>26.0</v>
      </c>
      <c r="Z39" s="7" t="s">
        <v>376</v>
      </c>
      <c r="AA39" s="7">
        <v>-35.504</v>
      </c>
      <c r="AB39" s="7">
        <v>-2708.358</v>
      </c>
      <c r="AC39" s="7">
        <v>962.143</v>
      </c>
      <c r="AD39" s="7">
        <v>1111.626</v>
      </c>
    </row>
    <row r="40" ht="15.75" customHeight="1">
      <c r="Y40" s="7">
        <v>27.0</v>
      </c>
      <c r="Z40" s="7" t="s">
        <v>379</v>
      </c>
      <c r="AA40" s="7">
        <v>0.0</v>
      </c>
      <c r="AB40" s="7">
        <v>0.0</v>
      </c>
      <c r="AC40" s="7">
        <v>-250.482</v>
      </c>
      <c r="AD40" s="7">
        <v>0.0</v>
      </c>
    </row>
    <row r="41" ht="15.75" customHeight="1">
      <c r="I41" s="7">
        <v>30.0</v>
      </c>
      <c r="J41" s="7" t="s">
        <v>385</v>
      </c>
      <c r="K41" s="7">
        <v>264108.0</v>
      </c>
      <c r="L41" s="7">
        <v>188639.0</v>
      </c>
      <c r="M41" s="7">
        <v>214095.806</v>
      </c>
      <c r="N41" s="7">
        <v>260000.834</v>
      </c>
      <c r="O41" s="7">
        <v>243835.679</v>
      </c>
      <c r="Y41" s="7">
        <v>28.0</v>
      </c>
      <c r="Z41" s="7" t="s">
        <v>390</v>
      </c>
    </row>
    <row r="42" ht="15.75" customHeight="1">
      <c r="Y42" s="7">
        <v>29.0</v>
      </c>
      <c r="Z42" s="7" t="s">
        <v>391</v>
      </c>
    </row>
    <row r="43" ht="15.75" customHeight="1">
      <c r="Y43" s="7">
        <v>28.0</v>
      </c>
      <c r="Z43" s="7" t="s">
        <v>383</v>
      </c>
      <c r="AA43" s="7">
        <v>-35.504</v>
      </c>
      <c r="AB43" s="7">
        <v>-2708.358</v>
      </c>
      <c r="AC43" s="7">
        <v>711.661</v>
      </c>
      <c r="AD43" s="7">
        <v>1111.626</v>
      </c>
    </row>
    <row r="44" ht="15.75" customHeight="1"/>
    <row r="45" ht="15.75" customHeight="1">
      <c r="Y45" s="7">
        <v>1.0</v>
      </c>
      <c r="Z45" s="7" t="s">
        <v>392</v>
      </c>
    </row>
    <row r="46" ht="15.75" customHeight="1">
      <c r="Y46" s="7">
        <v>2.0</v>
      </c>
      <c r="Z46" s="7" t="s">
        <v>338</v>
      </c>
    </row>
    <row r="47" ht="15.75" customHeight="1">
      <c r="Y47" s="7">
        <v>3.0</v>
      </c>
      <c r="Z47" s="7" t="s">
        <v>308</v>
      </c>
    </row>
    <row r="48" ht="15.75" customHeight="1">
      <c r="Y48" s="7">
        <v>2.0</v>
      </c>
      <c r="Z48" s="7" t="s">
        <v>387</v>
      </c>
      <c r="AA48" s="7">
        <v>-35.504</v>
      </c>
      <c r="AB48" s="7">
        <v>-2708.358</v>
      </c>
      <c r="AC48" s="7">
        <v>711.661</v>
      </c>
      <c r="AD48" s="7">
        <v>1111.626</v>
      </c>
    </row>
    <row r="49" ht="15.75" customHeight="1"/>
    <row r="50" ht="15.75" customHeight="1">
      <c r="Y50" s="7">
        <v>30.0</v>
      </c>
      <c r="Z50" s="7" t="s">
        <v>385</v>
      </c>
      <c r="AA50" s="7">
        <v>21821.635</v>
      </c>
      <c r="AB50" s="7">
        <v>34174.053</v>
      </c>
      <c r="AC50" s="7">
        <v>33803.666</v>
      </c>
      <c r="AD50" s="7">
        <v>25189.5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9" width="8.71"/>
    <col customWidth="1" min="40" max="88" width="11.14"/>
    <col customWidth="1" min="89" max="104" width="8.71"/>
  </cols>
  <sheetData>
    <row r="1">
      <c r="B1" s="31" t="s">
        <v>171</v>
      </c>
      <c r="J1" s="31" t="s">
        <v>172</v>
      </c>
      <c r="K1" s="31"/>
      <c r="L1" s="31"/>
      <c r="M1" s="31"/>
      <c r="N1" s="31"/>
      <c r="O1" s="31"/>
      <c r="P1" s="31"/>
      <c r="Q1" s="31"/>
      <c r="R1" s="31" t="s">
        <v>173</v>
      </c>
      <c r="S1" s="31"/>
      <c r="T1" s="31"/>
      <c r="U1" s="31"/>
      <c r="V1" s="31"/>
      <c r="W1" s="31"/>
      <c r="X1" s="31"/>
      <c r="Y1" s="31"/>
      <c r="Z1" s="31" t="s">
        <v>174</v>
      </c>
      <c r="AA1" s="31"/>
      <c r="AB1" s="31"/>
      <c r="AC1" s="31"/>
      <c r="AD1" s="31"/>
      <c r="AE1" s="31"/>
      <c r="AF1" s="31"/>
      <c r="AG1" s="31"/>
      <c r="AH1" s="31" t="s">
        <v>175</v>
      </c>
      <c r="AI1" s="31"/>
      <c r="AJ1" s="31"/>
      <c r="AK1" s="31"/>
      <c r="AL1" s="31"/>
      <c r="AN1" s="11"/>
      <c r="AO1" s="11"/>
      <c r="AP1" s="31" t="s">
        <v>200</v>
      </c>
      <c r="AQ1" s="31"/>
      <c r="AR1" s="31"/>
      <c r="AS1" s="31"/>
      <c r="AT1" s="31"/>
      <c r="AU1" s="31" t="s">
        <v>193</v>
      </c>
      <c r="AV1" s="31"/>
      <c r="AW1" s="31"/>
      <c r="AX1" s="31"/>
      <c r="AY1" s="31"/>
      <c r="AZ1" s="31" t="s">
        <v>194</v>
      </c>
      <c r="BA1" s="31"/>
      <c r="BB1" s="31"/>
      <c r="BC1" s="31"/>
      <c r="BD1" s="31"/>
      <c r="BE1" s="31" t="s">
        <v>195</v>
      </c>
      <c r="BF1" s="31"/>
      <c r="BG1" s="31"/>
      <c r="BH1" s="31"/>
      <c r="BI1" s="31"/>
      <c r="BJ1" s="31"/>
      <c r="BK1" s="31" t="s">
        <v>196</v>
      </c>
      <c r="BL1" s="31"/>
      <c r="BM1" s="31"/>
      <c r="BN1" s="31"/>
      <c r="BO1" s="31"/>
      <c r="BP1" s="31" t="s">
        <v>201</v>
      </c>
      <c r="BQ1" s="31"/>
      <c r="BR1" s="31"/>
      <c r="BS1" s="31"/>
      <c r="BT1" s="31"/>
      <c r="BU1" s="31"/>
      <c r="BV1" s="31"/>
      <c r="BW1" s="31" t="s">
        <v>202</v>
      </c>
      <c r="BX1" s="31"/>
      <c r="BY1" s="31"/>
      <c r="BZ1" s="31"/>
      <c r="CA1" s="31"/>
      <c r="CB1" s="31"/>
      <c r="CC1" s="31" t="s">
        <v>203</v>
      </c>
      <c r="CD1" s="31"/>
      <c r="CE1" s="31"/>
      <c r="CF1" s="31"/>
      <c r="CG1" s="31"/>
      <c r="CH1" s="31" t="s">
        <v>204</v>
      </c>
      <c r="CI1" s="11"/>
      <c r="CJ1" s="11"/>
      <c r="CK1" s="11"/>
      <c r="CL1" s="31" t="s">
        <v>205</v>
      </c>
      <c r="CM1" s="31"/>
      <c r="CN1" s="31"/>
      <c r="CO1" s="31"/>
      <c r="CP1" s="31" t="s">
        <v>206</v>
      </c>
      <c r="CQ1" s="40"/>
      <c r="CR1" s="40"/>
      <c r="CS1" s="40"/>
      <c r="CT1" s="40"/>
      <c r="CU1" s="40"/>
      <c r="CV1" s="11"/>
      <c r="CW1" s="11"/>
      <c r="CX1" s="11"/>
      <c r="CY1" s="11"/>
      <c r="CZ1" s="11"/>
    </row>
    <row r="2">
      <c r="A2" s="36" t="s">
        <v>230</v>
      </c>
      <c r="B2" s="37">
        <v>2019.0</v>
      </c>
      <c r="C2" s="37">
        <v>2020.0</v>
      </c>
      <c r="D2" s="37">
        <v>2021.0</v>
      </c>
      <c r="E2" s="37">
        <v>2022.0</v>
      </c>
      <c r="F2" s="37">
        <v>2023.0</v>
      </c>
      <c r="G2" s="37">
        <v>2024.0</v>
      </c>
      <c r="H2" s="36"/>
      <c r="I2" s="36" t="s">
        <v>230</v>
      </c>
      <c r="J2" s="37">
        <v>2019.0</v>
      </c>
      <c r="K2" s="37">
        <v>2020.0</v>
      </c>
      <c r="L2" s="37">
        <v>2021.0</v>
      </c>
      <c r="M2" s="37">
        <v>2022.0</v>
      </c>
      <c r="N2" s="37">
        <v>2023.0</v>
      </c>
      <c r="O2" s="37">
        <v>2024.0</v>
      </c>
      <c r="P2" s="36"/>
      <c r="Q2" s="36" t="s">
        <v>230</v>
      </c>
      <c r="R2" s="37">
        <v>2019.0</v>
      </c>
      <c r="S2" s="37">
        <v>2020.0</v>
      </c>
      <c r="T2" s="37">
        <v>2021.0</v>
      </c>
      <c r="U2" s="37">
        <v>2022.0</v>
      </c>
      <c r="V2" s="37">
        <v>2023.0</v>
      </c>
      <c r="W2" s="37">
        <v>2024.0</v>
      </c>
      <c r="X2" s="36"/>
      <c r="Y2" s="36" t="s">
        <v>230</v>
      </c>
      <c r="Z2" s="37">
        <v>2019.0</v>
      </c>
      <c r="AA2" s="37">
        <v>2020.0</v>
      </c>
      <c r="AB2" s="37">
        <v>2021.0</v>
      </c>
      <c r="AC2" s="37">
        <v>2022.0</v>
      </c>
      <c r="AD2" s="37">
        <v>2023.0</v>
      </c>
      <c r="AE2" s="37">
        <v>2024.0</v>
      </c>
      <c r="AF2" s="36"/>
      <c r="AG2" s="36" t="s">
        <v>230</v>
      </c>
      <c r="AH2" s="37">
        <v>2019.0</v>
      </c>
      <c r="AI2" s="37">
        <v>2020.0</v>
      </c>
      <c r="AJ2" s="37">
        <v>2021.0</v>
      </c>
      <c r="AK2" s="37">
        <v>2022.0</v>
      </c>
      <c r="AL2" s="37">
        <v>2023.0</v>
      </c>
      <c r="AM2" s="37">
        <v>2024.0</v>
      </c>
      <c r="AN2" s="48"/>
      <c r="AO2" s="48"/>
      <c r="AP2" s="49">
        <v>2021.0</v>
      </c>
      <c r="AQ2" s="49">
        <v>2022.0</v>
      </c>
      <c r="AR2" s="49">
        <v>2023.0</v>
      </c>
      <c r="AS2" s="48"/>
      <c r="AT2" s="48"/>
      <c r="AU2" s="49">
        <v>2022.0</v>
      </c>
      <c r="AV2" s="49">
        <v>2023.0</v>
      </c>
      <c r="AW2" s="49">
        <v>2023.0</v>
      </c>
      <c r="AX2" s="48"/>
      <c r="AY2" s="48"/>
      <c r="AZ2" s="49">
        <v>2020.0</v>
      </c>
      <c r="BA2" s="49">
        <v>2021.0</v>
      </c>
      <c r="BB2" s="49">
        <v>2022.0</v>
      </c>
      <c r="BC2" s="49">
        <v>2023.0</v>
      </c>
      <c r="BD2" s="48"/>
      <c r="BE2" s="49"/>
      <c r="BF2" s="49">
        <v>2022.0</v>
      </c>
      <c r="BG2" s="49">
        <v>2023.0</v>
      </c>
      <c r="BH2" s="49">
        <v>2024.0</v>
      </c>
      <c r="BI2" s="48"/>
      <c r="BJ2" s="48"/>
      <c r="BK2" s="49">
        <v>2022.0</v>
      </c>
      <c r="BL2" s="49">
        <v>2023.0</v>
      </c>
      <c r="BM2" s="49">
        <v>2024.0</v>
      </c>
      <c r="BN2" s="48"/>
      <c r="BO2" s="48"/>
      <c r="BP2" s="49">
        <v>2020.0</v>
      </c>
      <c r="BQ2" s="49">
        <v>2021.0</v>
      </c>
      <c r="BR2" s="49">
        <v>2022.0</v>
      </c>
      <c r="BS2" s="49">
        <v>2023.0</v>
      </c>
      <c r="BT2" s="49">
        <v>2023.0</v>
      </c>
      <c r="BU2" s="48"/>
      <c r="BV2" s="48"/>
      <c r="BW2" s="49">
        <v>2021.0</v>
      </c>
      <c r="BX2" s="49">
        <v>2022.0</v>
      </c>
      <c r="BY2" s="49">
        <v>2023.0</v>
      </c>
      <c r="BZ2" s="49">
        <v>2024.0</v>
      </c>
      <c r="CA2" s="48"/>
      <c r="CB2" s="48"/>
      <c r="CC2" s="49">
        <v>2022.0</v>
      </c>
      <c r="CD2" s="49">
        <v>2023.0</v>
      </c>
      <c r="CE2" s="49">
        <v>2024.0</v>
      </c>
      <c r="CF2" s="48"/>
      <c r="CG2" s="48"/>
      <c r="CH2" s="49">
        <v>2021.0</v>
      </c>
      <c r="CI2" s="49">
        <v>2022.0</v>
      </c>
      <c r="CJ2" s="49">
        <v>2023.0</v>
      </c>
      <c r="CK2" s="37"/>
      <c r="CL2" s="50"/>
      <c r="CM2" s="51" t="s">
        <v>18</v>
      </c>
      <c r="CN2" s="51" t="s">
        <v>19</v>
      </c>
      <c r="CO2" s="50"/>
      <c r="CP2" s="50"/>
      <c r="CQ2" s="51" t="s">
        <v>17</v>
      </c>
      <c r="CR2" s="51" t="s">
        <v>18</v>
      </c>
      <c r="CS2" s="51" t="s">
        <v>19</v>
      </c>
      <c r="CT2" s="51" t="s">
        <v>20</v>
      </c>
      <c r="CU2" s="51" t="s">
        <v>21</v>
      </c>
      <c r="CV2" s="37"/>
      <c r="CW2" s="37"/>
      <c r="CX2" s="37"/>
      <c r="CY2" s="37"/>
      <c r="CZ2" s="37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11"/>
      <c r="CW3" s="11"/>
      <c r="CX3" s="11"/>
      <c r="CY3" s="11"/>
      <c r="CZ3" s="11"/>
    </row>
    <row r="4">
      <c r="A4" s="11" t="s">
        <v>229</v>
      </c>
      <c r="B4" s="53">
        <v>43830.0</v>
      </c>
      <c r="C4" s="53">
        <v>44196.0</v>
      </c>
      <c r="D4" s="53">
        <v>44561.0</v>
      </c>
      <c r="E4" s="53">
        <v>44926.0</v>
      </c>
      <c r="F4" s="53">
        <v>45291.0</v>
      </c>
      <c r="G4" s="53">
        <v>45565.0</v>
      </c>
      <c r="H4" s="11"/>
      <c r="I4" s="11" t="s">
        <v>229</v>
      </c>
      <c r="J4" s="53">
        <v>43830.0</v>
      </c>
      <c r="K4" s="53">
        <v>44196.0</v>
      </c>
      <c r="L4" s="53">
        <v>44561.0</v>
      </c>
      <c r="M4" s="53">
        <v>44926.0</v>
      </c>
      <c r="N4" s="53">
        <v>45291.0</v>
      </c>
      <c r="O4" s="53">
        <v>45565.0</v>
      </c>
      <c r="P4" s="11"/>
      <c r="Q4" s="11" t="s">
        <v>229</v>
      </c>
      <c r="R4" s="53">
        <v>43830.0</v>
      </c>
      <c r="S4" s="53">
        <v>44196.0</v>
      </c>
      <c r="T4" s="53">
        <v>44561.0</v>
      </c>
      <c r="U4" s="53">
        <v>44926.0</v>
      </c>
      <c r="V4" s="53">
        <v>45291.0</v>
      </c>
      <c r="W4" s="53">
        <v>45565.0</v>
      </c>
      <c r="X4" s="11"/>
      <c r="Y4" s="11" t="s">
        <v>229</v>
      </c>
      <c r="Z4" s="53">
        <v>43830.0</v>
      </c>
      <c r="AA4" s="53">
        <v>44196.0</v>
      </c>
      <c r="AB4" s="53">
        <v>44561.0</v>
      </c>
      <c r="AC4" s="53">
        <v>44926.0</v>
      </c>
      <c r="AD4" s="53">
        <v>45291.0</v>
      </c>
      <c r="AE4" s="53">
        <v>45565.0</v>
      </c>
      <c r="AF4" s="11"/>
      <c r="AG4" s="11" t="s">
        <v>229</v>
      </c>
      <c r="AH4" s="53">
        <v>43830.0</v>
      </c>
      <c r="AI4" s="53">
        <v>44196.0</v>
      </c>
      <c r="AJ4" s="53">
        <v>44561.0</v>
      </c>
      <c r="AK4" s="53">
        <v>44926.0</v>
      </c>
      <c r="AL4" s="53">
        <v>45291.0</v>
      </c>
      <c r="AM4" s="53">
        <v>45657.0</v>
      </c>
      <c r="AN4" s="11"/>
      <c r="AO4" s="11" t="s">
        <v>229</v>
      </c>
      <c r="AP4" s="11"/>
      <c r="AQ4" s="11"/>
      <c r="AR4" s="11"/>
      <c r="AS4" s="11"/>
      <c r="AT4" s="11" t="s">
        <v>229</v>
      </c>
      <c r="AU4" s="11"/>
      <c r="AV4" s="11"/>
      <c r="AW4" s="11"/>
      <c r="AX4" s="11"/>
      <c r="AY4" s="11" t="s">
        <v>229</v>
      </c>
      <c r="AZ4" s="11"/>
      <c r="BA4" s="11"/>
      <c r="BB4" s="11"/>
      <c r="BC4" s="11"/>
      <c r="BD4" s="11"/>
      <c r="BE4" s="11" t="s">
        <v>229</v>
      </c>
      <c r="BF4" s="53"/>
      <c r="BG4" s="53"/>
      <c r="BH4" s="53"/>
      <c r="BI4" s="11"/>
      <c r="BJ4" s="11" t="s">
        <v>229</v>
      </c>
      <c r="BK4" s="53"/>
      <c r="BL4" s="53"/>
      <c r="BM4" s="53"/>
      <c r="BN4" s="11"/>
      <c r="BO4" s="11" t="s">
        <v>229</v>
      </c>
      <c r="BP4" s="11"/>
      <c r="BQ4" s="11"/>
      <c r="BR4" s="11"/>
      <c r="BS4" s="11"/>
      <c r="BT4" s="11"/>
      <c r="BU4" s="11"/>
      <c r="BV4" s="11" t="s">
        <v>229</v>
      </c>
      <c r="BW4" s="11"/>
      <c r="BX4" s="11"/>
      <c r="BY4" s="11"/>
      <c r="BZ4" s="11"/>
      <c r="CA4" s="11"/>
      <c r="CB4" s="11" t="s">
        <v>229</v>
      </c>
      <c r="CC4" s="11"/>
      <c r="CD4" s="11"/>
      <c r="CE4" s="11"/>
      <c r="CF4" s="11"/>
      <c r="CG4" s="11" t="s">
        <v>229</v>
      </c>
      <c r="CH4" s="11"/>
      <c r="CI4" s="11"/>
      <c r="CJ4" s="11"/>
      <c r="CK4" s="11"/>
      <c r="CL4" s="52" t="s">
        <v>229</v>
      </c>
      <c r="CM4" s="52"/>
      <c r="CN4" s="52"/>
      <c r="CO4" s="52"/>
      <c r="CP4" s="52" t="s">
        <v>229</v>
      </c>
      <c r="CQ4" s="52"/>
      <c r="CR4" s="52"/>
      <c r="CS4" s="52"/>
      <c r="CT4" s="52"/>
      <c r="CU4" s="52"/>
      <c r="CV4" s="11"/>
      <c r="CW4" s="11"/>
      <c r="CX4" s="11"/>
      <c r="CY4" s="11"/>
      <c r="CZ4" s="11"/>
    </row>
    <row r="5">
      <c r="A5" s="11" t="s">
        <v>230</v>
      </c>
      <c r="B5" s="11"/>
      <c r="C5" s="11"/>
      <c r="D5" s="11"/>
      <c r="E5" s="11"/>
      <c r="F5" s="11"/>
      <c r="G5" s="11"/>
      <c r="H5" s="11"/>
      <c r="I5" s="11" t="s">
        <v>230</v>
      </c>
      <c r="J5" s="11"/>
      <c r="K5" s="11"/>
      <c r="L5" s="11"/>
      <c r="M5" s="11"/>
      <c r="N5" s="11"/>
      <c r="O5" s="11"/>
      <c r="P5" s="11"/>
      <c r="Q5" s="11" t="s">
        <v>230</v>
      </c>
      <c r="R5" s="11"/>
      <c r="S5" s="11"/>
      <c r="T5" s="11"/>
      <c r="U5" s="11"/>
      <c r="V5" s="11"/>
      <c r="W5" s="11"/>
      <c r="X5" s="11"/>
      <c r="Y5" s="11" t="s">
        <v>230</v>
      </c>
      <c r="Z5" s="11"/>
      <c r="AA5" s="11"/>
      <c r="AB5" s="11"/>
      <c r="AC5" s="11"/>
      <c r="AD5" s="11"/>
      <c r="AE5" s="11"/>
      <c r="AF5" s="11"/>
      <c r="AG5" s="11" t="s">
        <v>230</v>
      </c>
      <c r="AH5" s="11"/>
      <c r="AI5" s="11"/>
      <c r="AJ5" s="11"/>
      <c r="AK5" s="11"/>
      <c r="AL5" s="11"/>
      <c r="AM5" s="11"/>
      <c r="AN5" s="11"/>
      <c r="AO5" s="11" t="s">
        <v>230</v>
      </c>
      <c r="AP5" s="11"/>
      <c r="AQ5" s="11"/>
      <c r="AR5" s="11"/>
      <c r="AS5" s="11"/>
      <c r="AT5" s="11" t="s">
        <v>230</v>
      </c>
      <c r="AU5" s="11"/>
      <c r="AV5" s="11"/>
      <c r="AW5" s="11"/>
      <c r="AX5" s="11"/>
      <c r="AY5" s="11" t="s">
        <v>230</v>
      </c>
      <c r="AZ5" s="11"/>
      <c r="BA5" s="11"/>
      <c r="BB5" s="11"/>
      <c r="BC5" s="11"/>
      <c r="BD5" s="11"/>
      <c r="BE5" s="40" t="s">
        <v>230</v>
      </c>
      <c r="BF5" s="53">
        <v>0.0</v>
      </c>
      <c r="BG5" s="53">
        <v>0.0</v>
      </c>
      <c r="BH5" s="53">
        <v>0.0</v>
      </c>
      <c r="BI5" s="11"/>
      <c r="BJ5" s="11" t="s">
        <v>230</v>
      </c>
      <c r="BK5" s="53">
        <v>0.0</v>
      </c>
      <c r="BL5" s="53">
        <v>0.0</v>
      </c>
      <c r="BM5" s="53">
        <v>0.0</v>
      </c>
      <c r="BN5" s="11"/>
      <c r="BO5" s="11" t="s">
        <v>230</v>
      </c>
      <c r="BP5" s="53">
        <v>0.0</v>
      </c>
      <c r="BQ5" s="53">
        <v>0.0</v>
      </c>
      <c r="BR5" s="53">
        <v>0.0</v>
      </c>
      <c r="BS5" s="53">
        <v>0.0</v>
      </c>
      <c r="BT5" s="53">
        <v>0.0</v>
      </c>
      <c r="BU5" s="11"/>
      <c r="BV5" s="11" t="s">
        <v>230</v>
      </c>
      <c r="BW5" s="53">
        <v>0.0</v>
      </c>
      <c r="BX5" s="53">
        <v>0.0</v>
      </c>
      <c r="BY5" s="53">
        <v>0.0</v>
      </c>
      <c r="BZ5" s="53">
        <v>0.0</v>
      </c>
      <c r="CA5" s="11"/>
      <c r="CB5" s="11" t="s">
        <v>397</v>
      </c>
      <c r="CC5" s="11"/>
      <c r="CD5" s="11"/>
      <c r="CE5" s="11"/>
      <c r="CF5" s="11"/>
      <c r="CG5" s="11" t="s">
        <v>397</v>
      </c>
      <c r="CH5" s="11"/>
      <c r="CI5" s="11"/>
      <c r="CJ5" s="11"/>
      <c r="CK5" s="11"/>
      <c r="CL5" s="40" t="s">
        <v>397</v>
      </c>
      <c r="CM5" s="40"/>
      <c r="CN5" s="40"/>
      <c r="CO5" s="40"/>
      <c r="CP5" s="40" t="s">
        <v>397</v>
      </c>
      <c r="CQ5" s="40"/>
      <c r="CR5" s="40"/>
      <c r="CS5" s="40"/>
      <c r="CT5" s="40"/>
      <c r="CU5" s="40"/>
      <c r="CV5" s="11"/>
      <c r="CW5" s="11"/>
      <c r="CX5" s="11"/>
      <c r="CY5" s="11"/>
      <c r="CZ5" s="11"/>
    </row>
    <row r="6">
      <c r="A6" s="11" t="s">
        <v>398</v>
      </c>
      <c r="B6" s="11"/>
      <c r="C6" s="11">
        <v>219.281</v>
      </c>
      <c r="D6" s="11">
        <v>303.998</v>
      </c>
      <c r="E6" s="11">
        <v>467.822</v>
      </c>
      <c r="F6" s="11">
        <v>0.068</v>
      </c>
      <c r="G6" s="11">
        <v>388.108</v>
      </c>
      <c r="H6" s="11"/>
      <c r="I6" s="11" t="s">
        <v>398</v>
      </c>
      <c r="J6" s="11"/>
      <c r="K6" s="11">
        <v>10076.0</v>
      </c>
      <c r="L6" s="11">
        <v>18290.0</v>
      </c>
      <c r="M6" s="11"/>
      <c r="N6" s="11"/>
      <c r="O6" s="11"/>
      <c r="P6" s="11"/>
      <c r="Q6" s="11" t="s">
        <v>399</v>
      </c>
      <c r="R6" s="11">
        <v>1697.0</v>
      </c>
      <c r="S6" s="11">
        <v>1885.0</v>
      </c>
      <c r="T6" s="11"/>
      <c r="U6" s="11"/>
      <c r="V6" s="11">
        <v>1914.786</v>
      </c>
      <c r="W6" s="11"/>
      <c r="X6" s="11"/>
      <c r="Y6" s="11" t="s">
        <v>400</v>
      </c>
      <c r="Z6" s="11"/>
      <c r="AA6" s="11"/>
      <c r="AB6" s="11">
        <v>197.63</v>
      </c>
      <c r="AC6" s="11">
        <v>364.578</v>
      </c>
      <c r="AD6" s="11">
        <v>46.361</v>
      </c>
      <c r="AE6" s="11">
        <v>50.182</v>
      </c>
      <c r="AF6" s="11"/>
      <c r="AG6" s="11" t="s">
        <v>401</v>
      </c>
      <c r="AH6" s="11"/>
      <c r="AI6" s="11"/>
      <c r="AJ6" s="11">
        <v>0.0</v>
      </c>
      <c r="AK6" s="11">
        <v>23.0</v>
      </c>
      <c r="AL6" s="11"/>
      <c r="AM6" s="11">
        <v>28.0</v>
      </c>
      <c r="AN6" s="11"/>
      <c r="AO6" s="11" t="s">
        <v>229</v>
      </c>
      <c r="AP6" s="11"/>
      <c r="AQ6" s="11"/>
      <c r="AR6" s="11"/>
      <c r="AS6" s="11"/>
      <c r="AT6" s="11" t="s">
        <v>229</v>
      </c>
      <c r="AU6" s="11"/>
      <c r="AV6" s="11"/>
      <c r="AW6" s="11"/>
      <c r="AX6" s="11"/>
      <c r="AY6" s="11" t="s">
        <v>229</v>
      </c>
      <c r="AZ6" s="11"/>
      <c r="BA6" s="11"/>
      <c r="BB6" s="11"/>
      <c r="BC6" s="11"/>
      <c r="BD6" s="11"/>
      <c r="BE6" s="40" t="s">
        <v>402</v>
      </c>
      <c r="BF6" s="11">
        <v>412.618</v>
      </c>
      <c r="BG6" s="11">
        <v>2427.923</v>
      </c>
      <c r="BH6" s="11">
        <v>2540.947</v>
      </c>
      <c r="BI6" s="11"/>
      <c r="BJ6" s="11" t="s">
        <v>403</v>
      </c>
      <c r="BK6" s="11">
        <v>0.0</v>
      </c>
      <c r="BL6" s="11">
        <v>12.648</v>
      </c>
      <c r="BM6" s="11">
        <v>95.475</v>
      </c>
      <c r="BN6" s="11"/>
      <c r="BO6" s="11" t="s">
        <v>404</v>
      </c>
      <c r="BP6" s="11">
        <v>45.59096</v>
      </c>
      <c r="BQ6" s="11">
        <v>870.80132</v>
      </c>
      <c r="BR6" s="11">
        <v>427.34899</v>
      </c>
      <c r="BS6" s="11"/>
      <c r="BT6" s="11"/>
      <c r="BU6" s="11"/>
      <c r="BV6" s="11" t="s">
        <v>405</v>
      </c>
      <c r="BW6" s="11">
        <v>25.0</v>
      </c>
      <c r="BX6" s="11">
        <v>45.0</v>
      </c>
      <c r="BY6" s="11">
        <v>95.0</v>
      </c>
      <c r="BZ6" s="11"/>
      <c r="CA6" s="11"/>
      <c r="CB6" s="11" t="s">
        <v>230</v>
      </c>
      <c r="CC6" s="53">
        <v>0.0</v>
      </c>
      <c r="CD6" s="53">
        <v>0.0</v>
      </c>
      <c r="CE6" s="53">
        <v>0.0</v>
      </c>
      <c r="CF6" s="11"/>
      <c r="CG6" s="11" t="s">
        <v>230</v>
      </c>
      <c r="CH6" s="53">
        <v>0.0</v>
      </c>
      <c r="CI6" s="53">
        <v>0.0</v>
      </c>
      <c r="CJ6" s="53">
        <v>0.0</v>
      </c>
      <c r="CK6" s="11"/>
      <c r="CL6" s="40" t="s">
        <v>230</v>
      </c>
      <c r="CO6" s="40"/>
      <c r="CP6" s="40" t="s">
        <v>230</v>
      </c>
      <c r="CV6" s="11"/>
      <c r="CW6" s="11"/>
      <c r="CX6" s="11"/>
      <c r="CY6" s="11"/>
      <c r="CZ6" s="11"/>
    </row>
    <row r="7">
      <c r="A7" s="11" t="s">
        <v>406</v>
      </c>
      <c r="B7" s="11">
        <v>0.0</v>
      </c>
      <c r="C7" s="11">
        <v>219.281</v>
      </c>
      <c r="D7" s="11">
        <v>303.998</v>
      </c>
      <c r="E7" s="11">
        <v>467.822</v>
      </c>
      <c r="F7" s="11">
        <v>0.068</v>
      </c>
      <c r="G7" s="11">
        <v>388.108</v>
      </c>
      <c r="H7" s="11"/>
      <c r="I7" s="11" t="s">
        <v>400</v>
      </c>
      <c r="J7" s="11"/>
      <c r="K7" s="11">
        <v>4090.0</v>
      </c>
      <c r="L7" s="11">
        <v>8482.0</v>
      </c>
      <c r="M7" s="11"/>
      <c r="N7" s="11"/>
      <c r="O7" s="11"/>
      <c r="P7" s="11"/>
      <c r="Q7" s="11" t="s">
        <v>407</v>
      </c>
      <c r="R7" s="11">
        <v>427.0</v>
      </c>
      <c r="S7" s="11">
        <v>988.0</v>
      </c>
      <c r="T7" s="11">
        <v>6100.646</v>
      </c>
      <c r="U7" s="11">
        <v>8336.164</v>
      </c>
      <c r="V7" s="11">
        <v>450.83</v>
      </c>
      <c r="W7" s="11">
        <v>6421.995</v>
      </c>
      <c r="X7" s="11"/>
      <c r="Y7" s="11" t="s">
        <v>406</v>
      </c>
      <c r="Z7" s="11">
        <v>0.0</v>
      </c>
      <c r="AA7" s="11">
        <v>0.0</v>
      </c>
      <c r="AB7" s="11">
        <v>197.63</v>
      </c>
      <c r="AC7" s="11">
        <v>364.578</v>
      </c>
      <c r="AD7" s="11">
        <v>46.361</v>
      </c>
      <c r="AE7" s="11">
        <v>50.182</v>
      </c>
      <c r="AF7" s="11"/>
      <c r="AG7" s="11" t="s">
        <v>408</v>
      </c>
      <c r="AH7" s="11"/>
      <c r="AI7" s="11"/>
      <c r="AJ7" s="11">
        <v>0.0</v>
      </c>
      <c r="AK7" s="11">
        <v>0.0</v>
      </c>
      <c r="AL7" s="11"/>
      <c r="AM7" s="11"/>
      <c r="AN7" s="11"/>
      <c r="AO7" s="11" t="s">
        <v>397</v>
      </c>
      <c r="AP7" s="11"/>
      <c r="AQ7" s="11"/>
      <c r="AR7" s="11"/>
      <c r="AS7" s="11"/>
      <c r="AT7" s="11" t="s">
        <v>397</v>
      </c>
      <c r="AU7" s="11"/>
      <c r="AV7" s="11"/>
      <c r="AW7" s="11"/>
      <c r="AX7" s="11"/>
      <c r="AY7" s="11" t="s">
        <v>397</v>
      </c>
      <c r="AZ7" s="11"/>
      <c r="BA7" s="11"/>
      <c r="BB7" s="11"/>
      <c r="BC7" s="11"/>
      <c r="BD7" s="11"/>
      <c r="BE7" s="40" t="s">
        <v>409</v>
      </c>
      <c r="BF7" s="11">
        <v>1173.716</v>
      </c>
      <c r="BG7" s="11">
        <v>1987.493</v>
      </c>
      <c r="BH7" s="11">
        <v>1501.796</v>
      </c>
      <c r="BI7" s="11"/>
      <c r="BJ7" s="11" t="s">
        <v>410</v>
      </c>
      <c r="BK7" s="11">
        <v>2.445</v>
      </c>
      <c r="BL7" s="11">
        <v>8.728</v>
      </c>
      <c r="BM7" s="11">
        <v>22.029</v>
      </c>
      <c r="BN7" s="11"/>
      <c r="BO7" s="11" t="s">
        <v>411</v>
      </c>
      <c r="BP7" s="11">
        <v>45.59096</v>
      </c>
      <c r="BQ7" s="11">
        <v>870.80132</v>
      </c>
      <c r="BR7" s="11">
        <v>427.34899</v>
      </c>
      <c r="BS7" s="11">
        <v>633.43317</v>
      </c>
      <c r="BT7" s="11">
        <v>0.0</v>
      </c>
      <c r="BU7" s="11"/>
      <c r="BV7" s="11" t="s">
        <v>412</v>
      </c>
      <c r="BW7" s="11">
        <v>15.0</v>
      </c>
      <c r="BX7" s="11">
        <v>15.0</v>
      </c>
      <c r="BY7" s="11"/>
      <c r="BZ7" s="11"/>
      <c r="CA7" s="11"/>
      <c r="CB7" s="11" t="s">
        <v>413</v>
      </c>
      <c r="CC7" s="11"/>
      <c r="CD7" s="11">
        <v>217.886</v>
      </c>
      <c r="CE7" s="11"/>
      <c r="CF7" s="11"/>
      <c r="CG7" s="11" t="s">
        <v>414</v>
      </c>
      <c r="CH7" s="11">
        <v>3.5</v>
      </c>
      <c r="CI7" s="11">
        <v>3.5</v>
      </c>
      <c r="CJ7" s="11">
        <v>5.0</v>
      </c>
      <c r="CK7" s="11"/>
      <c r="CL7" s="40" t="s">
        <v>415</v>
      </c>
      <c r="CM7" s="40"/>
      <c r="CN7" s="43">
        <v>30.0</v>
      </c>
      <c r="CO7" s="40"/>
      <c r="CP7" s="40" t="s">
        <v>414</v>
      </c>
      <c r="CQ7" s="43">
        <v>15.0</v>
      </c>
      <c r="CR7" s="40"/>
      <c r="CS7" s="43">
        <v>12.51684</v>
      </c>
      <c r="CT7" s="40"/>
      <c r="CU7" s="40"/>
      <c r="CV7" s="11"/>
      <c r="CW7" s="11"/>
      <c r="CX7" s="11"/>
      <c r="CY7" s="11"/>
      <c r="CZ7" s="11"/>
    </row>
    <row r="8">
      <c r="A8" s="11"/>
      <c r="B8" s="11"/>
      <c r="C8" s="11"/>
      <c r="D8" s="11"/>
      <c r="E8" s="11"/>
      <c r="F8" s="11"/>
      <c r="G8" s="11"/>
      <c r="H8" s="11"/>
      <c r="I8" s="11" t="s">
        <v>230</v>
      </c>
      <c r="J8" s="11"/>
      <c r="K8" s="11"/>
      <c r="L8" s="11"/>
      <c r="M8" s="11">
        <v>38682.088</v>
      </c>
      <c r="N8" s="11">
        <v>13331.938</v>
      </c>
      <c r="O8" s="11">
        <v>10752.389</v>
      </c>
      <c r="P8" s="11"/>
      <c r="Q8" s="11" t="s">
        <v>416</v>
      </c>
      <c r="R8" s="11">
        <v>436.0</v>
      </c>
      <c r="S8" s="11">
        <v>159.0</v>
      </c>
      <c r="T8" s="11"/>
      <c r="U8" s="11"/>
      <c r="V8" s="11">
        <v>1910.909</v>
      </c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 t="s">
        <v>230</v>
      </c>
      <c r="AH8" s="11"/>
      <c r="AI8" s="11"/>
      <c r="AJ8" s="11">
        <v>0.0</v>
      </c>
      <c r="AK8" s="11">
        <v>742.951</v>
      </c>
      <c r="AL8" s="11">
        <v>1011.194</v>
      </c>
      <c r="AM8" s="11">
        <v>73.049</v>
      </c>
      <c r="AN8" s="11"/>
      <c r="AO8" s="11" t="s">
        <v>230</v>
      </c>
      <c r="AP8" s="53">
        <v>0.0</v>
      </c>
      <c r="AQ8" s="53">
        <v>0.0</v>
      </c>
      <c r="AR8" s="53">
        <v>0.0</v>
      </c>
      <c r="AS8" s="11"/>
      <c r="AT8" s="11" t="s">
        <v>230</v>
      </c>
      <c r="AU8" s="53">
        <v>0.0</v>
      </c>
      <c r="AV8" s="53">
        <v>0.0</v>
      </c>
      <c r="AW8" s="53">
        <v>0.0</v>
      </c>
      <c r="AX8" s="11"/>
      <c r="AY8" s="11" t="s">
        <v>230</v>
      </c>
      <c r="AZ8" s="53">
        <v>0.0</v>
      </c>
      <c r="BA8" s="53">
        <v>0.0</v>
      </c>
      <c r="BB8" s="53">
        <v>0.0</v>
      </c>
      <c r="BC8" s="53">
        <v>0.0</v>
      </c>
      <c r="BD8" s="11"/>
      <c r="BE8" s="40" t="s">
        <v>417</v>
      </c>
      <c r="BF8" s="11">
        <v>10.261</v>
      </c>
      <c r="BG8" s="11">
        <v>38.595</v>
      </c>
      <c r="BH8" s="11">
        <v>50.571</v>
      </c>
      <c r="BI8" s="11"/>
      <c r="BJ8" s="11" t="s">
        <v>411</v>
      </c>
      <c r="BK8" s="11">
        <v>2.445</v>
      </c>
      <c r="BL8" s="11">
        <v>21.376</v>
      </c>
      <c r="BM8" s="11">
        <v>117.504</v>
      </c>
      <c r="BN8" s="11"/>
      <c r="BO8" s="11"/>
      <c r="BP8" s="11"/>
      <c r="BQ8" s="11"/>
      <c r="BR8" s="11"/>
      <c r="BS8" s="11"/>
      <c r="BT8" s="11"/>
      <c r="BU8" s="11"/>
      <c r="BV8" s="11" t="s">
        <v>418</v>
      </c>
      <c r="BW8" s="11"/>
      <c r="BX8" s="11">
        <v>5.0</v>
      </c>
      <c r="BY8" s="11">
        <v>15.0</v>
      </c>
      <c r="BZ8" s="11"/>
      <c r="CA8" s="11"/>
      <c r="CB8" s="11" t="s">
        <v>403</v>
      </c>
      <c r="CC8" s="11">
        <v>9189.766</v>
      </c>
      <c r="CD8" s="11">
        <v>7632.223</v>
      </c>
      <c r="CE8" s="11">
        <v>989.9005</v>
      </c>
      <c r="CF8" s="11"/>
      <c r="CG8" s="11" t="s">
        <v>419</v>
      </c>
      <c r="CH8" s="11">
        <v>14.02291</v>
      </c>
      <c r="CI8" s="11"/>
      <c r="CJ8" s="11">
        <v>0.0</v>
      </c>
      <c r="CK8" s="53"/>
      <c r="CL8" s="40" t="s">
        <v>413</v>
      </c>
      <c r="CM8" s="43">
        <v>2.5</v>
      </c>
      <c r="CN8" s="43">
        <v>2.5</v>
      </c>
      <c r="CO8" s="40"/>
      <c r="CP8" s="40" t="s">
        <v>420</v>
      </c>
      <c r="CQ8" s="40"/>
      <c r="CR8" s="40"/>
      <c r="CS8" s="40"/>
      <c r="CT8" s="40"/>
      <c r="CU8" s="40"/>
      <c r="CV8" s="53"/>
      <c r="CW8" s="53"/>
      <c r="CX8" s="53"/>
      <c r="CY8" s="53"/>
      <c r="CZ8" s="53"/>
    </row>
    <row r="9">
      <c r="A9" s="11" t="s">
        <v>421</v>
      </c>
      <c r="B9" s="53">
        <v>2019.0</v>
      </c>
      <c r="C9" s="53">
        <v>2020.0</v>
      </c>
      <c r="D9" s="53">
        <v>2021.0</v>
      </c>
      <c r="E9" s="53">
        <v>2022.0</v>
      </c>
      <c r="F9" s="53">
        <v>2023.0</v>
      </c>
      <c r="G9" s="53">
        <v>2024.0</v>
      </c>
      <c r="H9" s="11"/>
      <c r="I9" s="11" t="s">
        <v>406</v>
      </c>
      <c r="J9" s="11">
        <v>0.0</v>
      </c>
      <c r="K9" s="11">
        <v>14166.0</v>
      </c>
      <c r="L9" s="11">
        <v>26772.0</v>
      </c>
      <c r="M9" s="11">
        <v>38682.088</v>
      </c>
      <c r="N9" s="11">
        <v>13331.938</v>
      </c>
      <c r="O9" s="11">
        <v>10752.389</v>
      </c>
      <c r="P9" s="11"/>
      <c r="Q9" s="11" t="s">
        <v>422</v>
      </c>
      <c r="R9" s="11">
        <v>643.0</v>
      </c>
      <c r="S9" s="11">
        <v>364.0</v>
      </c>
      <c r="T9" s="11"/>
      <c r="U9" s="11"/>
      <c r="V9" s="11">
        <v>576.162</v>
      </c>
      <c r="W9" s="11"/>
      <c r="X9" s="11"/>
      <c r="Y9" s="11" t="s">
        <v>234</v>
      </c>
      <c r="Z9" s="53">
        <v>2019.0</v>
      </c>
      <c r="AA9" s="53">
        <v>2020.0</v>
      </c>
      <c r="AB9" s="53">
        <v>2021.0</v>
      </c>
      <c r="AC9" s="53">
        <v>2022.0</v>
      </c>
      <c r="AD9" s="53">
        <v>2023.0</v>
      </c>
      <c r="AE9" s="53">
        <v>2024.0</v>
      </c>
      <c r="AF9" s="11"/>
      <c r="AG9" s="11" t="s">
        <v>406</v>
      </c>
      <c r="AH9" s="11">
        <v>0.0</v>
      </c>
      <c r="AI9" s="11">
        <v>0.0</v>
      </c>
      <c r="AJ9" s="11">
        <v>0.0</v>
      </c>
      <c r="AK9" s="11">
        <v>765.951</v>
      </c>
      <c r="AL9" s="11">
        <v>1011.194</v>
      </c>
      <c r="AM9" s="11">
        <v>101.049</v>
      </c>
      <c r="AN9" s="11"/>
      <c r="AO9" s="11" t="s">
        <v>423</v>
      </c>
      <c r="AP9" s="11">
        <v>0.30216</v>
      </c>
      <c r="AQ9" s="11">
        <v>0.38613</v>
      </c>
      <c r="AR9" s="11">
        <v>0.17525</v>
      </c>
      <c r="AS9" s="11"/>
      <c r="AT9" s="11" t="s">
        <v>414</v>
      </c>
      <c r="AU9" s="11">
        <v>5.0</v>
      </c>
      <c r="AV9" s="11">
        <v>436.04914</v>
      </c>
      <c r="AW9" s="11"/>
      <c r="AX9" s="11"/>
      <c r="AY9" s="11" t="s">
        <v>424</v>
      </c>
      <c r="AZ9" s="11">
        <v>390.42702</v>
      </c>
      <c r="BA9" s="11">
        <v>452.50731</v>
      </c>
      <c r="BB9" s="11">
        <v>1581.08858</v>
      </c>
      <c r="BC9" s="11"/>
      <c r="BD9" s="11"/>
      <c r="BE9" s="40" t="s">
        <v>411</v>
      </c>
      <c r="BF9" s="11">
        <v>1596.595</v>
      </c>
      <c r="BG9" s="11">
        <v>4454.011</v>
      </c>
      <c r="BH9" s="11">
        <v>4093.314</v>
      </c>
      <c r="BI9" s="11"/>
      <c r="BJ9" s="11"/>
      <c r="BK9" s="11"/>
      <c r="BL9" s="11"/>
      <c r="BM9" s="11"/>
      <c r="BN9" s="11"/>
      <c r="BO9" s="11" t="s">
        <v>231</v>
      </c>
      <c r="BP9" s="53">
        <v>0.0</v>
      </c>
      <c r="BQ9" s="53">
        <v>0.0</v>
      </c>
      <c r="BR9" s="53">
        <v>0.0</v>
      </c>
      <c r="BS9" s="53">
        <v>0.0</v>
      </c>
      <c r="BT9" s="53">
        <v>0.0</v>
      </c>
      <c r="BU9" s="11"/>
      <c r="BV9" s="11" t="s">
        <v>425</v>
      </c>
      <c r="BW9" s="11">
        <v>5.0</v>
      </c>
      <c r="BX9" s="11">
        <v>1.5</v>
      </c>
      <c r="BY9" s="11">
        <v>5.0</v>
      </c>
      <c r="BZ9" s="11"/>
      <c r="CA9" s="11"/>
      <c r="CB9" s="11" t="s">
        <v>426</v>
      </c>
      <c r="CC9" s="11">
        <v>5.578</v>
      </c>
      <c r="CD9" s="11">
        <v>226.045</v>
      </c>
      <c r="CE9" s="11">
        <v>80.192</v>
      </c>
      <c r="CF9" s="11"/>
      <c r="CG9" s="11" t="s">
        <v>427</v>
      </c>
      <c r="CH9" s="11">
        <v>2.50347</v>
      </c>
      <c r="CI9" s="11">
        <v>67.55499</v>
      </c>
      <c r="CJ9" s="11">
        <v>0.0</v>
      </c>
      <c r="CK9" s="11"/>
      <c r="CL9" s="40" t="s">
        <v>420</v>
      </c>
      <c r="CM9" s="40"/>
      <c r="CN9" s="40"/>
      <c r="CO9" s="40"/>
      <c r="CP9" s="40" t="s">
        <v>428</v>
      </c>
      <c r="CQ9" s="40"/>
      <c r="CR9" s="40"/>
      <c r="CS9" s="40"/>
      <c r="CT9" s="40"/>
      <c r="CU9" s="40"/>
      <c r="CV9" s="11"/>
      <c r="CW9" s="11"/>
      <c r="CX9" s="11"/>
      <c r="CY9" s="11"/>
      <c r="CZ9" s="11"/>
    </row>
    <row r="10">
      <c r="A10" s="11" t="s">
        <v>429</v>
      </c>
      <c r="B10" s="11"/>
      <c r="C10" s="11"/>
      <c r="D10" s="11"/>
      <c r="E10" s="11">
        <v>387.652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 t="s">
        <v>430</v>
      </c>
      <c r="R10" s="11">
        <v>2.0</v>
      </c>
      <c r="S10" s="11">
        <v>19.0</v>
      </c>
      <c r="T10" s="11"/>
      <c r="U10" s="11"/>
      <c r="V10" s="11">
        <v>78.349</v>
      </c>
      <c r="W10" s="11"/>
      <c r="X10" s="11"/>
      <c r="Y10" s="11" t="s">
        <v>431</v>
      </c>
      <c r="Z10" s="11">
        <v>0.0</v>
      </c>
      <c r="AA10" s="11">
        <v>0.0</v>
      </c>
      <c r="AB10" s="11">
        <v>0.0</v>
      </c>
      <c r="AC10" s="11">
        <v>0.0</v>
      </c>
      <c r="AD10" s="11">
        <v>0.0</v>
      </c>
      <c r="AE10" s="11">
        <v>0.0</v>
      </c>
      <c r="AF10" s="11"/>
      <c r="AG10" s="11"/>
      <c r="AH10" s="11"/>
      <c r="AI10" s="11"/>
      <c r="AJ10" s="11"/>
      <c r="AK10" s="11"/>
      <c r="AL10" s="11"/>
      <c r="AM10" s="11"/>
      <c r="AN10" s="11"/>
      <c r="AO10" s="11" t="s">
        <v>414</v>
      </c>
      <c r="AP10" s="11">
        <v>10.0</v>
      </c>
      <c r="AQ10" s="11">
        <v>10.0</v>
      </c>
      <c r="AR10" s="11"/>
      <c r="AS10" s="11"/>
      <c r="AT10" s="11" t="s">
        <v>411</v>
      </c>
      <c r="AU10" s="11">
        <v>5.0</v>
      </c>
      <c r="AV10" s="11">
        <v>436.04914</v>
      </c>
      <c r="AW10" s="11">
        <v>0.0</v>
      </c>
      <c r="AX10" s="11"/>
      <c r="AY10" s="11" t="s">
        <v>432</v>
      </c>
      <c r="AZ10" s="11">
        <v>297.20269</v>
      </c>
      <c r="BA10" s="11">
        <v>7.71571</v>
      </c>
      <c r="BB10" s="11">
        <v>140.79157</v>
      </c>
      <c r="BC10" s="11"/>
      <c r="BD10" s="11"/>
      <c r="BE10" s="40"/>
      <c r="BF10" s="11"/>
      <c r="BG10" s="11"/>
      <c r="BH10" s="11"/>
      <c r="BI10" s="11"/>
      <c r="BJ10" s="11" t="s">
        <v>231</v>
      </c>
      <c r="BK10" s="53">
        <v>0.0</v>
      </c>
      <c r="BL10" s="53">
        <v>0.0</v>
      </c>
      <c r="BM10" s="53">
        <v>0.0</v>
      </c>
      <c r="BN10" s="11"/>
      <c r="BO10" s="11" t="s">
        <v>433</v>
      </c>
      <c r="BP10" s="11"/>
      <c r="BQ10" s="11">
        <v>5947.07115</v>
      </c>
      <c r="BR10" s="11">
        <v>9051.94995</v>
      </c>
      <c r="BS10" s="11">
        <v>12347.75081</v>
      </c>
      <c r="BT10" s="11"/>
      <c r="BU10" s="11"/>
      <c r="BV10" s="11" t="s">
        <v>434</v>
      </c>
      <c r="BW10" s="11">
        <v>1.0</v>
      </c>
      <c r="BX10" s="11"/>
      <c r="BY10" s="11">
        <v>1.5</v>
      </c>
      <c r="BZ10" s="11"/>
      <c r="CA10" s="11"/>
      <c r="CB10" s="11" t="s">
        <v>411</v>
      </c>
      <c r="CC10" s="11">
        <v>9195.344</v>
      </c>
      <c r="CD10" s="11">
        <v>8076.154</v>
      </c>
      <c r="CE10" s="11">
        <v>1070.0925</v>
      </c>
      <c r="CF10" s="11"/>
      <c r="CG10" s="11" t="s">
        <v>435</v>
      </c>
      <c r="CH10" s="11">
        <v>0.48093</v>
      </c>
      <c r="CI10" s="11">
        <v>0.53252</v>
      </c>
      <c r="CJ10" s="11">
        <v>2.39458</v>
      </c>
      <c r="CK10" s="11"/>
      <c r="CL10" s="40" t="s">
        <v>428</v>
      </c>
      <c r="CM10" s="40"/>
      <c r="CN10" s="40"/>
      <c r="CO10" s="40"/>
      <c r="CP10" s="40" t="s">
        <v>436</v>
      </c>
      <c r="CQ10" s="43">
        <v>43.838</v>
      </c>
      <c r="CR10" s="43">
        <v>914.779</v>
      </c>
      <c r="CS10" s="43">
        <v>762.61793</v>
      </c>
      <c r="CT10" s="43">
        <v>279.39185</v>
      </c>
      <c r="CU10" s="43">
        <v>51.78433</v>
      </c>
      <c r="CV10" s="11"/>
      <c r="CW10" s="11"/>
      <c r="CX10" s="11"/>
      <c r="CY10" s="11"/>
      <c r="CZ10" s="11"/>
    </row>
    <row r="11">
      <c r="A11" s="11" t="s">
        <v>437</v>
      </c>
      <c r="B11" s="11">
        <v>0.0</v>
      </c>
      <c r="C11" s="11">
        <v>0.0</v>
      </c>
      <c r="D11" s="11">
        <v>0.0</v>
      </c>
      <c r="E11" s="11">
        <v>387.652</v>
      </c>
      <c r="F11" s="11">
        <v>0.0</v>
      </c>
      <c r="G11" s="11">
        <v>0.0</v>
      </c>
      <c r="H11" s="11"/>
      <c r="I11" s="11" t="s">
        <v>234</v>
      </c>
      <c r="J11" s="53">
        <v>2019.0</v>
      </c>
      <c r="K11" s="53">
        <v>2020.0</v>
      </c>
      <c r="L11" s="53">
        <v>2021.0</v>
      </c>
      <c r="M11" s="53">
        <v>2022.0</v>
      </c>
      <c r="N11" s="53">
        <v>2023.0</v>
      </c>
      <c r="O11" s="53">
        <v>2024.0</v>
      </c>
      <c r="P11" s="11"/>
      <c r="Q11" s="11" t="s">
        <v>438</v>
      </c>
      <c r="R11" s="11">
        <v>66.0</v>
      </c>
      <c r="S11" s="11">
        <v>54.0</v>
      </c>
      <c r="T11" s="11"/>
      <c r="U11" s="11"/>
      <c r="V11" s="11">
        <v>502.24</v>
      </c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 t="s">
        <v>234</v>
      </c>
      <c r="AH11" s="53">
        <v>2019.0</v>
      </c>
      <c r="AI11" s="53">
        <v>2020.0</v>
      </c>
      <c r="AJ11" s="53">
        <v>2021.0</v>
      </c>
      <c r="AK11" s="53">
        <v>2022.0</v>
      </c>
      <c r="AL11" s="53">
        <v>2023.0</v>
      </c>
      <c r="AM11" s="53">
        <v>2024.0</v>
      </c>
      <c r="AN11" s="11"/>
      <c r="AO11" s="11" t="s">
        <v>411</v>
      </c>
      <c r="AP11" s="11">
        <v>10.30216</v>
      </c>
      <c r="AQ11" s="11">
        <v>10.38613</v>
      </c>
      <c r="AR11" s="11">
        <v>0.17525</v>
      </c>
      <c r="AS11" s="11"/>
      <c r="AT11" s="11"/>
      <c r="AU11" s="11"/>
      <c r="AV11" s="11"/>
      <c r="AW11" s="11"/>
      <c r="AX11" s="11"/>
      <c r="AY11" s="11" t="s">
        <v>439</v>
      </c>
      <c r="AZ11" s="11">
        <v>8.600114</v>
      </c>
      <c r="BA11" s="11">
        <v>-0.80759</v>
      </c>
      <c r="BB11" s="11">
        <v>0.0</v>
      </c>
      <c r="BC11" s="11"/>
      <c r="BD11" s="11"/>
      <c r="BE11" s="40" t="s">
        <v>231</v>
      </c>
      <c r="BF11" s="53">
        <v>0.0</v>
      </c>
      <c r="BG11" s="53">
        <v>0.0</v>
      </c>
      <c r="BH11" s="53">
        <v>0.0</v>
      </c>
      <c r="BI11" s="11"/>
      <c r="BJ11" s="11" t="s">
        <v>440</v>
      </c>
      <c r="BK11" s="11">
        <v>459828.0</v>
      </c>
      <c r="BL11" s="11">
        <v>459828.0</v>
      </c>
      <c r="BM11" s="11">
        <v>416681.166</v>
      </c>
      <c r="BN11" s="11"/>
      <c r="BO11" s="11" t="s">
        <v>441</v>
      </c>
      <c r="BP11" s="11"/>
      <c r="BQ11" s="11">
        <v>2640.53927</v>
      </c>
      <c r="BR11" s="11">
        <v>2842.19115</v>
      </c>
      <c r="BS11" s="11">
        <v>3175.75191</v>
      </c>
      <c r="BT11" s="11"/>
      <c r="BU11" s="11"/>
      <c r="BV11" s="11" t="s">
        <v>442</v>
      </c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 t="s">
        <v>443</v>
      </c>
      <c r="CH11" s="11"/>
      <c r="CI11" s="11">
        <v>0.1</v>
      </c>
      <c r="CJ11" s="11"/>
      <c r="CK11" s="11"/>
      <c r="CL11" s="40" t="s">
        <v>444</v>
      </c>
      <c r="CM11" s="43">
        <v>43.458</v>
      </c>
      <c r="CN11" s="43">
        <v>37.60739</v>
      </c>
      <c r="CO11" s="40"/>
      <c r="CP11" s="40" t="s">
        <v>423</v>
      </c>
      <c r="CQ11" s="43">
        <v>1.156</v>
      </c>
      <c r="CR11" s="40"/>
      <c r="CS11" s="40"/>
      <c r="CT11" s="40"/>
      <c r="CU11" s="40"/>
      <c r="CV11" s="11"/>
      <c r="CW11" s="11"/>
      <c r="CX11" s="11"/>
      <c r="CY11" s="11"/>
      <c r="CZ11" s="11"/>
    </row>
    <row r="12">
      <c r="A12" s="11"/>
      <c r="B12" s="11"/>
      <c r="C12" s="11"/>
      <c r="D12" s="11"/>
      <c r="E12" s="11"/>
      <c r="F12" s="11"/>
      <c r="G12" s="11"/>
      <c r="H12" s="11"/>
      <c r="I12" s="11" t="s">
        <v>445</v>
      </c>
      <c r="J12" s="11"/>
      <c r="K12" s="11">
        <v>43767.0</v>
      </c>
      <c r="L12" s="11">
        <v>43767.0</v>
      </c>
      <c r="M12" s="11"/>
      <c r="N12" s="11"/>
      <c r="O12" s="11"/>
      <c r="P12" s="11"/>
      <c r="Q12" s="11" t="s">
        <v>446</v>
      </c>
      <c r="R12" s="11">
        <v>16.0</v>
      </c>
      <c r="S12" s="11">
        <v>98.0</v>
      </c>
      <c r="T12" s="11"/>
      <c r="U12" s="11"/>
      <c r="V12" s="11">
        <v>0.828</v>
      </c>
      <c r="W12" s="11"/>
      <c r="X12" s="11"/>
      <c r="Y12" s="11" t="s">
        <v>421</v>
      </c>
      <c r="Z12" s="53">
        <v>2019.0</v>
      </c>
      <c r="AA12" s="53">
        <v>2020.0</v>
      </c>
      <c r="AB12" s="53">
        <v>2021.0</v>
      </c>
      <c r="AC12" s="53">
        <v>2022.0</v>
      </c>
      <c r="AD12" s="53">
        <v>2023.0</v>
      </c>
      <c r="AE12" s="53">
        <v>2024.0</v>
      </c>
      <c r="AF12" s="11"/>
      <c r="AG12" s="11" t="s">
        <v>447</v>
      </c>
      <c r="AH12" s="11"/>
      <c r="AI12" s="11"/>
      <c r="AJ12" s="11">
        <v>2463.0</v>
      </c>
      <c r="AK12" s="11">
        <v>5.914</v>
      </c>
      <c r="AL12" s="11"/>
      <c r="AM12" s="11">
        <v>5.941</v>
      </c>
      <c r="AN12" s="11"/>
      <c r="AO12" s="11"/>
      <c r="AP12" s="11"/>
      <c r="AQ12" s="11"/>
      <c r="AR12" s="11"/>
      <c r="AS12" s="11"/>
      <c r="AT12" s="11" t="s">
        <v>231</v>
      </c>
      <c r="AU12" s="53">
        <v>0.0</v>
      </c>
      <c r="AV12" s="53">
        <v>0.0</v>
      </c>
      <c r="AW12" s="53">
        <v>0.0</v>
      </c>
      <c r="AX12" s="11"/>
      <c r="AY12" s="11" t="s">
        <v>448</v>
      </c>
      <c r="AZ12" s="11">
        <v>84.79197</v>
      </c>
      <c r="BA12" s="11">
        <v>30.6163</v>
      </c>
      <c r="BB12" s="11">
        <v>0.0</v>
      </c>
      <c r="BC12" s="11"/>
      <c r="BD12" s="11"/>
      <c r="BE12" s="40" t="s">
        <v>449</v>
      </c>
      <c r="BF12" s="11">
        <v>613.2</v>
      </c>
      <c r="BG12" s="11">
        <v>613.2</v>
      </c>
      <c r="BH12" s="11">
        <v>613.2</v>
      </c>
      <c r="BI12" s="11"/>
      <c r="BJ12" s="11" t="s">
        <v>450</v>
      </c>
      <c r="BK12" s="11">
        <v>0.2</v>
      </c>
      <c r="BL12" s="11">
        <v>0.2</v>
      </c>
      <c r="BM12" s="11">
        <v>0.2</v>
      </c>
      <c r="BN12" s="11"/>
      <c r="BO12" s="11" t="s">
        <v>451</v>
      </c>
      <c r="BP12" s="11"/>
      <c r="BQ12" s="11"/>
      <c r="BR12" s="11"/>
      <c r="BS12" s="11"/>
      <c r="BT12" s="11"/>
      <c r="BU12" s="11"/>
      <c r="BV12" s="11" t="s">
        <v>452</v>
      </c>
      <c r="BW12" s="11">
        <v>924.023</v>
      </c>
      <c r="BX12" s="11">
        <v>481.523</v>
      </c>
      <c r="BY12" s="11">
        <v>5081.474</v>
      </c>
      <c r="BZ12" s="11"/>
      <c r="CA12" s="11"/>
      <c r="CB12" s="11" t="s">
        <v>231</v>
      </c>
      <c r="CC12" s="53">
        <v>0.0</v>
      </c>
      <c r="CD12" s="53">
        <v>0.0</v>
      </c>
      <c r="CE12" s="53">
        <v>0.0</v>
      </c>
      <c r="CF12" s="11"/>
      <c r="CG12" s="11" t="s">
        <v>432</v>
      </c>
      <c r="CH12" s="11"/>
      <c r="CI12" s="11">
        <v>127.0607</v>
      </c>
      <c r="CJ12" s="11">
        <v>4.95719</v>
      </c>
      <c r="CK12" s="11"/>
      <c r="CL12" s="40" t="s">
        <v>453</v>
      </c>
      <c r="CM12" s="43">
        <v>20.674</v>
      </c>
      <c r="CN12" s="43">
        <v>27.69943</v>
      </c>
      <c r="CO12" s="40"/>
      <c r="CP12" s="40" t="s">
        <v>454</v>
      </c>
      <c r="CQ12" s="43">
        <v>12.367</v>
      </c>
      <c r="CR12" s="43">
        <v>9.384</v>
      </c>
      <c r="CS12" s="43">
        <v>54.29981</v>
      </c>
      <c r="CT12" s="43">
        <v>14.77859</v>
      </c>
      <c r="CU12" s="43">
        <v>7.36712</v>
      </c>
      <c r="CV12" s="11"/>
      <c r="CW12" s="11"/>
      <c r="CX12" s="11"/>
      <c r="CY12" s="11"/>
      <c r="CZ12" s="11"/>
    </row>
    <row r="13">
      <c r="A13" s="11" t="s">
        <v>455</v>
      </c>
      <c r="B13" s="53">
        <v>2019.0</v>
      </c>
      <c r="C13" s="53">
        <v>2020.0</v>
      </c>
      <c r="D13" s="53">
        <v>2021.0</v>
      </c>
      <c r="E13" s="53">
        <v>2022.0</v>
      </c>
      <c r="F13" s="53">
        <v>2023.0</v>
      </c>
      <c r="G13" s="53">
        <v>2024.0</v>
      </c>
      <c r="H13" s="11"/>
      <c r="I13" s="11" t="s">
        <v>456</v>
      </c>
      <c r="J13" s="11"/>
      <c r="K13" s="11">
        <v>2088.0</v>
      </c>
      <c r="L13" s="11">
        <v>2088.0</v>
      </c>
      <c r="M13" s="11"/>
      <c r="N13" s="11"/>
      <c r="O13" s="11"/>
      <c r="P13" s="11"/>
      <c r="Q13" s="11" t="s">
        <v>457</v>
      </c>
      <c r="R13" s="11">
        <v>5.0</v>
      </c>
      <c r="S13" s="11">
        <v>16.0</v>
      </c>
      <c r="T13" s="11"/>
      <c r="U13" s="11"/>
      <c r="V13" s="11">
        <v>32.596</v>
      </c>
      <c r="W13" s="11"/>
      <c r="X13" s="11"/>
      <c r="Y13" s="11" t="s">
        <v>437</v>
      </c>
      <c r="Z13" s="11">
        <v>0.0</v>
      </c>
      <c r="AA13" s="11">
        <v>0.0</v>
      </c>
      <c r="AB13" s="11">
        <v>0.0</v>
      </c>
      <c r="AC13" s="11">
        <v>0.0</v>
      </c>
      <c r="AD13" s="11">
        <v>0.0</v>
      </c>
      <c r="AE13" s="11">
        <v>0.0</v>
      </c>
      <c r="AF13" s="11"/>
      <c r="AG13" s="11" t="s">
        <v>431</v>
      </c>
      <c r="AH13" s="11">
        <v>0.0</v>
      </c>
      <c r="AI13" s="11">
        <v>0.0</v>
      </c>
      <c r="AJ13" s="11">
        <v>4149.0</v>
      </c>
      <c r="AK13" s="11">
        <v>5.914</v>
      </c>
      <c r="AL13" s="11">
        <v>0.0</v>
      </c>
      <c r="AM13" s="11">
        <v>5.941</v>
      </c>
      <c r="AN13" s="11"/>
      <c r="AO13" s="11" t="s">
        <v>231</v>
      </c>
      <c r="AP13" s="53">
        <v>0.0</v>
      </c>
      <c r="AQ13" s="53">
        <v>0.0</v>
      </c>
      <c r="AR13" s="53">
        <v>0.0</v>
      </c>
      <c r="AS13" s="11"/>
      <c r="AT13" s="11" t="s">
        <v>411</v>
      </c>
      <c r="AU13" s="11">
        <v>0.0</v>
      </c>
      <c r="AV13" s="11">
        <v>0.0</v>
      </c>
      <c r="AW13" s="11">
        <v>0.0</v>
      </c>
      <c r="AX13" s="11"/>
      <c r="AY13" s="11" t="s">
        <v>443</v>
      </c>
      <c r="AZ13" s="11">
        <v>4.21338</v>
      </c>
      <c r="BA13" s="11">
        <v>995.31183</v>
      </c>
      <c r="BB13" s="11">
        <v>0.0</v>
      </c>
      <c r="BC13" s="11"/>
      <c r="BD13" s="11"/>
      <c r="BE13" s="40" t="s">
        <v>411</v>
      </c>
      <c r="BF13" s="11">
        <v>613.2</v>
      </c>
      <c r="BG13" s="11">
        <v>613.2</v>
      </c>
      <c r="BH13" s="11">
        <v>613.2</v>
      </c>
      <c r="BI13" s="11"/>
      <c r="BJ13" s="11" t="s">
        <v>411</v>
      </c>
      <c r="BK13" s="11">
        <v>459828.2</v>
      </c>
      <c r="BL13" s="11">
        <v>459828.2</v>
      </c>
      <c r="BM13" s="11">
        <v>416681.366</v>
      </c>
      <c r="BN13" s="11"/>
      <c r="BO13" s="11" t="s">
        <v>411</v>
      </c>
      <c r="BP13" s="11">
        <v>0.0</v>
      </c>
      <c r="BQ13" s="11">
        <v>8587.61042</v>
      </c>
      <c r="BR13" s="11">
        <v>11894.1411</v>
      </c>
      <c r="BS13" s="11">
        <v>15523.50272</v>
      </c>
      <c r="BT13" s="11">
        <v>0.0</v>
      </c>
      <c r="BU13" s="11"/>
      <c r="BV13" s="11" t="s">
        <v>432</v>
      </c>
      <c r="BW13" s="11">
        <v>11.247</v>
      </c>
      <c r="BX13" s="11">
        <v>441.375</v>
      </c>
      <c r="BY13" s="11">
        <v>1.088</v>
      </c>
      <c r="BZ13" s="11"/>
      <c r="CA13" s="11"/>
      <c r="CB13" s="11" t="s">
        <v>458</v>
      </c>
      <c r="CC13" s="11">
        <v>20508.103</v>
      </c>
      <c r="CD13" s="11"/>
      <c r="CE13" s="11">
        <v>42437.64</v>
      </c>
      <c r="CF13" s="11"/>
      <c r="CG13" s="11" t="s">
        <v>459</v>
      </c>
      <c r="CH13" s="11">
        <v>0.63115</v>
      </c>
      <c r="CI13" s="11">
        <v>16.04442</v>
      </c>
      <c r="CJ13" s="11">
        <v>287.09977</v>
      </c>
      <c r="CK13" s="11"/>
      <c r="CL13" s="40" t="s">
        <v>460</v>
      </c>
      <c r="CM13" s="43">
        <v>13.301</v>
      </c>
      <c r="CN13" s="43">
        <v>59.53623</v>
      </c>
      <c r="CO13" s="40"/>
      <c r="CP13" s="40" t="s">
        <v>461</v>
      </c>
      <c r="CQ13" s="40"/>
      <c r="CR13" s="43">
        <v>859.0</v>
      </c>
      <c r="CS13" s="40"/>
      <c r="CT13" s="40"/>
      <c r="CU13" s="40"/>
      <c r="CV13" s="11"/>
      <c r="CW13" s="11"/>
      <c r="CX13" s="11"/>
      <c r="CY13" s="11"/>
      <c r="CZ13" s="11"/>
    </row>
    <row r="14">
      <c r="A14" s="11" t="s">
        <v>455</v>
      </c>
      <c r="B14" s="11"/>
      <c r="C14" s="11">
        <v>21211.101</v>
      </c>
      <c r="D14" s="11">
        <v>15227.824</v>
      </c>
      <c r="E14" s="11"/>
      <c r="F14" s="11"/>
      <c r="G14" s="11">
        <v>25171.44</v>
      </c>
      <c r="H14" s="11"/>
      <c r="I14" s="11" t="s">
        <v>447</v>
      </c>
      <c r="J14" s="11"/>
      <c r="K14" s="11">
        <v>110.0</v>
      </c>
      <c r="L14" s="11">
        <v>110.0</v>
      </c>
      <c r="M14" s="11"/>
      <c r="N14" s="11"/>
      <c r="O14" s="11"/>
      <c r="P14" s="11"/>
      <c r="Q14" s="11" t="s">
        <v>462</v>
      </c>
      <c r="R14" s="11"/>
      <c r="S14" s="11"/>
      <c r="T14" s="11"/>
      <c r="U14" s="11"/>
      <c r="V14" s="11">
        <v>29.303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 t="s">
        <v>463</v>
      </c>
      <c r="AP14" s="11">
        <v>500.0</v>
      </c>
      <c r="AQ14" s="11">
        <v>500.0</v>
      </c>
      <c r="AR14" s="11">
        <v>500.0</v>
      </c>
      <c r="AS14" s="11"/>
      <c r="AT14" s="11"/>
      <c r="AU14" s="11"/>
      <c r="AV14" s="11"/>
      <c r="AW14" s="11"/>
      <c r="AX14" s="11"/>
      <c r="AY14" s="11" t="s">
        <v>464</v>
      </c>
      <c r="AZ14" s="11"/>
      <c r="BA14" s="11">
        <v>-3.0E-5</v>
      </c>
      <c r="BB14" s="11">
        <v>0.0</v>
      </c>
      <c r="BC14" s="11"/>
      <c r="BD14" s="11"/>
      <c r="BE14" s="40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 t="s">
        <v>465</v>
      </c>
      <c r="BW14" s="11">
        <v>77.808</v>
      </c>
      <c r="BX14" s="11">
        <v>41.587</v>
      </c>
      <c r="BY14" s="11">
        <v>170.774</v>
      </c>
      <c r="BZ14" s="11"/>
      <c r="CA14" s="11"/>
      <c r="CB14" s="11" t="s">
        <v>466</v>
      </c>
      <c r="CC14" s="11">
        <v>3333.333</v>
      </c>
      <c r="CD14" s="11">
        <v>3333.333</v>
      </c>
      <c r="CE14" s="11">
        <v>3333.333</v>
      </c>
      <c r="CF14" s="11"/>
      <c r="CG14" s="11" t="s">
        <v>467</v>
      </c>
      <c r="CH14" s="11">
        <v>5.85518</v>
      </c>
      <c r="CI14" s="11">
        <v>533.4087</v>
      </c>
      <c r="CJ14" s="11">
        <v>370.23668</v>
      </c>
      <c r="CK14" s="11"/>
      <c r="CL14" s="40" t="s">
        <v>468</v>
      </c>
      <c r="CM14" s="43">
        <v>12.013</v>
      </c>
      <c r="CN14" s="43">
        <v>22.64984</v>
      </c>
      <c r="CO14" s="40"/>
      <c r="CP14" s="40" t="s">
        <v>411</v>
      </c>
      <c r="CQ14" s="43">
        <v>72.361</v>
      </c>
      <c r="CR14" s="43">
        <v>1783.163</v>
      </c>
      <c r="CS14" s="43">
        <v>829.43458</v>
      </c>
      <c r="CT14" s="43">
        <v>294.17044</v>
      </c>
      <c r="CU14" s="43">
        <v>59.15145</v>
      </c>
      <c r="CV14" s="11"/>
      <c r="CW14" s="11"/>
      <c r="CX14" s="11"/>
      <c r="CY14" s="11"/>
      <c r="CZ14" s="11"/>
    </row>
    <row r="15">
      <c r="A15" s="11" t="s">
        <v>469</v>
      </c>
      <c r="B15" s="11">
        <v>0.0</v>
      </c>
      <c r="C15" s="11">
        <v>21211.101</v>
      </c>
      <c r="D15" s="11">
        <v>15227.824</v>
      </c>
      <c r="E15" s="11">
        <v>23900.83</v>
      </c>
      <c r="F15" s="11">
        <v>28045.861</v>
      </c>
      <c r="G15" s="11">
        <v>25171.44</v>
      </c>
      <c r="H15" s="11"/>
      <c r="I15" s="11" t="s">
        <v>470</v>
      </c>
      <c r="J15" s="11"/>
      <c r="K15" s="11">
        <v>5.0</v>
      </c>
      <c r="L15" s="11">
        <v>5.0</v>
      </c>
      <c r="M15" s="11"/>
      <c r="N15" s="11"/>
      <c r="O15" s="11"/>
      <c r="P15" s="11"/>
      <c r="Q15" s="11" t="s">
        <v>471</v>
      </c>
      <c r="R15" s="11"/>
      <c r="S15" s="11"/>
      <c r="T15" s="11"/>
      <c r="U15" s="11"/>
      <c r="V15" s="11">
        <v>443.202</v>
      </c>
      <c r="W15" s="11"/>
      <c r="X15" s="11"/>
      <c r="Y15" s="11" t="s">
        <v>472</v>
      </c>
      <c r="Z15" s="53">
        <v>2019.0</v>
      </c>
      <c r="AA15" s="53">
        <v>2020.0</v>
      </c>
      <c r="AB15" s="53">
        <v>2021.0</v>
      </c>
      <c r="AC15" s="53">
        <v>2022.0</v>
      </c>
      <c r="AD15" s="53">
        <v>2023.0</v>
      </c>
      <c r="AE15" s="53">
        <v>2024.0</v>
      </c>
      <c r="AF15" s="11"/>
      <c r="AG15" s="11" t="s">
        <v>421</v>
      </c>
      <c r="AH15" s="53">
        <v>2019.0</v>
      </c>
      <c r="AI15" s="53">
        <v>2020.0</v>
      </c>
      <c r="AJ15" s="53">
        <v>2021.0</v>
      </c>
      <c r="AK15" s="53">
        <v>2022.0</v>
      </c>
      <c r="AL15" s="53">
        <v>2023.0</v>
      </c>
      <c r="AM15" s="53">
        <v>2024.0</v>
      </c>
      <c r="AN15" s="11"/>
      <c r="AO15" s="11" t="s">
        <v>473</v>
      </c>
      <c r="AP15" s="11">
        <v>14700.0</v>
      </c>
      <c r="AQ15" s="11">
        <v>14700.0</v>
      </c>
      <c r="AR15" s="11">
        <v>14700.0</v>
      </c>
      <c r="AS15" s="11"/>
      <c r="AT15" s="11" t="s">
        <v>421</v>
      </c>
      <c r="AU15" s="53">
        <v>0.0</v>
      </c>
      <c r="AV15" s="53">
        <v>0.0</v>
      </c>
      <c r="AW15" s="53">
        <v>0.0</v>
      </c>
      <c r="AX15" s="11"/>
      <c r="AY15" s="11" t="s">
        <v>474</v>
      </c>
      <c r="AZ15" s="11"/>
      <c r="BA15" s="11">
        <v>0.00774</v>
      </c>
      <c r="BB15" s="11"/>
      <c r="BC15" s="11"/>
      <c r="BD15" s="11"/>
      <c r="BE15" s="40" t="s">
        <v>421</v>
      </c>
      <c r="BF15" s="53">
        <v>0.0</v>
      </c>
      <c r="BG15" s="53">
        <v>0.0</v>
      </c>
      <c r="BH15" s="53">
        <v>0.0</v>
      </c>
      <c r="BI15" s="11"/>
      <c r="BJ15" s="11" t="s">
        <v>421</v>
      </c>
      <c r="BK15" s="53">
        <v>0.0</v>
      </c>
      <c r="BL15" s="53">
        <v>0.0</v>
      </c>
      <c r="BM15" s="53">
        <v>0.0</v>
      </c>
      <c r="BN15" s="11"/>
      <c r="BO15" s="11" t="s">
        <v>421</v>
      </c>
      <c r="BP15" s="53">
        <v>0.0</v>
      </c>
      <c r="BQ15" s="53">
        <v>0.0</v>
      </c>
      <c r="BR15" s="53">
        <v>0.0</v>
      </c>
      <c r="BS15" s="53">
        <v>0.0</v>
      </c>
      <c r="BT15" s="53">
        <v>0.0</v>
      </c>
      <c r="BU15" s="11"/>
      <c r="BV15" s="11" t="s">
        <v>439</v>
      </c>
      <c r="BW15" s="11">
        <v>0.0</v>
      </c>
      <c r="BX15" s="11">
        <v>5.031</v>
      </c>
      <c r="BY15" s="11">
        <v>5.279</v>
      </c>
      <c r="BZ15" s="11"/>
      <c r="CA15" s="11"/>
      <c r="CB15" s="11" t="s">
        <v>411</v>
      </c>
      <c r="CC15" s="11">
        <v>23841.436</v>
      </c>
      <c r="CD15" s="11">
        <v>3333.333</v>
      </c>
      <c r="CE15" s="11">
        <v>45770.973</v>
      </c>
      <c r="CF15" s="11"/>
      <c r="CG15" s="11" t="s">
        <v>475</v>
      </c>
      <c r="CH15" s="11">
        <v>0.104159</v>
      </c>
      <c r="CI15" s="11">
        <v>0.47182</v>
      </c>
      <c r="CJ15" s="11">
        <v>2.13607</v>
      </c>
      <c r="CK15" s="11"/>
      <c r="CL15" s="40" t="s">
        <v>476</v>
      </c>
      <c r="CM15" s="43">
        <v>25.979</v>
      </c>
      <c r="CN15" s="43">
        <v>56.33599</v>
      </c>
      <c r="CO15" s="40"/>
      <c r="CP15" s="40"/>
      <c r="CQ15" s="40"/>
      <c r="CR15" s="40"/>
      <c r="CS15" s="40"/>
      <c r="CT15" s="40"/>
      <c r="CU15" s="40"/>
      <c r="CV15" s="11"/>
      <c r="CW15" s="11"/>
      <c r="CX15" s="11"/>
      <c r="CY15" s="11"/>
      <c r="CZ15" s="11"/>
    </row>
    <row r="16">
      <c r="A16" s="11"/>
      <c r="B16" s="11"/>
      <c r="C16" s="11"/>
      <c r="D16" s="11"/>
      <c r="E16" s="11"/>
      <c r="F16" s="11"/>
      <c r="G16" s="11"/>
      <c r="H16" s="11"/>
      <c r="I16" s="11" t="s">
        <v>477</v>
      </c>
      <c r="J16" s="11"/>
      <c r="K16" s="11">
        <v>0.0</v>
      </c>
      <c r="L16" s="11">
        <v>80299.0</v>
      </c>
      <c r="M16" s="11"/>
      <c r="N16" s="11"/>
      <c r="O16" s="11"/>
      <c r="P16" s="11"/>
      <c r="Q16" s="11" t="s">
        <v>478</v>
      </c>
      <c r="R16" s="11">
        <v>2.0</v>
      </c>
      <c r="S16" s="11">
        <v>2.0</v>
      </c>
      <c r="T16" s="11"/>
      <c r="U16" s="11"/>
      <c r="V16" s="11">
        <v>1.097</v>
      </c>
      <c r="W16" s="11"/>
      <c r="X16" s="11"/>
      <c r="Y16" s="11" t="s">
        <v>479</v>
      </c>
      <c r="Z16" s="11">
        <v>0.0</v>
      </c>
      <c r="AA16" s="11">
        <v>0.0</v>
      </c>
      <c r="AB16" s="11">
        <v>0.0</v>
      </c>
      <c r="AC16" s="11">
        <v>0.0</v>
      </c>
      <c r="AD16" s="11">
        <v>0.0</v>
      </c>
      <c r="AE16" s="11">
        <v>0.0</v>
      </c>
      <c r="AF16" s="11"/>
      <c r="AG16" s="11" t="s">
        <v>480</v>
      </c>
      <c r="AH16" s="11"/>
      <c r="AI16" s="11"/>
      <c r="AJ16" s="11"/>
      <c r="AK16" s="11">
        <v>9294.08</v>
      </c>
      <c r="AL16" s="11">
        <v>5900.931999999997</v>
      </c>
      <c r="AM16" s="11">
        <v>32322.864</v>
      </c>
      <c r="AN16" s="11"/>
      <c r="AO16" s="11" t="s">
        <v>411</v>
      </c>
      <c r="AP16" s="11">
        <v>15200.0</v>
      </c>
      <c r="AQ16" s="11">
        <v>15200.0</v>
      </c>
      <c r="AR16" s="11">
        <v>15200.0</v>
      </c>
      <c r="AS16" s="11"/>
      <c r="AT16" s="11" t="s">
        <v>421</v>
      </c>
      <c r="AU16" s="11">
        <v>0.0</v>
      </c>
      <c r="AV16" s="11">
        <v>8075.56474</v>
      </c>
      <c r="AW16" s="11"/>
      <c r="AX16" s="11"/>
      <c r="AY16" s="11" t="s">
        <v>481</v>
      </c>
      <c r="AZ16" s="11"/>
      <c r="BA16" s="11">
        <v>0.01781</v>
      </c>
      <c r="BB16" s="11"/>
      <c r="BC16" s="11"/>
      <c r="BD16" s="11"/>
      <c r="BE16" s="40" t="s">
        <v>482</v>
      </c>
      <c r="BF16" s="11">
        <v>20548.84</v>
      </c>
      <c r="BG16" s="11">
        <v>25804.89</v>
      </c>
      <c r="BH16" s="11">
        <v>24600.444</v>
      </c>
      <c r="BI16" s="11"/>
      <c r="BJ16" s="11" t="s">
        <v>483</v>
      </c>
      <c r="BK16" s="11">
        <v>4896.367</v>
      </c>
      <c r="BL16" s="11">
        <v>8658.035</v>
      </c>
      <c r="BM16" s="11">
        <v>7948.988</v>
      </c>
      <c r="BN16" s="11"/>
      <c r="BO16" s="11" t="s">
        <v>484</v>
      </c>
      <c r="BP16" s="11">
        <v>5544.56312</v>
      </c>
      <c r="BQ16" s="11">
        <v>1152.63883</v>
      </c>
      <c r="BR16" s="11">
        <v>10668.6408</v>
      </c>
      <c r="BS16" s="11">
        <v>16158.81684</v>
      </c>
      <c r="BT16" s="11"/>
      <c r="BU16" s="11"/>
      <c r="BV16" s="11" t="s">
        <v>485</v>
      </c>
      <c r="BW16" s="11">
        <v>18.472</v>
      </c>
      <c r="BX16" s="11">
        <v>3.972</v>
      </c>
      <c r="BY16" s="11">
        <v>3.345</v>
      </c>
      <c r="BZ16" s="11"/>
      <c r="CA16" s="11"/>
      <c r="CB16" s="11"/>
      <c r="CC16" s="11"/>
      <c r="CD16" s="11"/>
      <c r="CE16" s="11"/>
      <c r="CF16" s="11"/>
      <c r="CG16" s="11" t="s">
        <v>411</v>
      </c>
      <c r="CH16" s="11">
        <v>27.097799</v>
      </c>
      <c r="CI16" s="11">
        <v>748.67315</v>
      </c>
      <c r="CJ16" s="11">
        <v>671.82429</v>
      </c>
      <c r="CK16" s="11"/>
      <c r="CL16" s="40" t="s">
        <v>411</v>
      </c>
      <c r="CM16" s="43">
        <v>117.925</v>
      </c>
      <c r="CN16" s="43">
        <v>236.32888</v>
      </c>
      <c r="CO16" s="40"/>
      <c r="CP16" s="40" t="s">
        <v>231</v>
      </c>
      <c r="CQ16" s="46" t="s">
        <v>17</v>
      </c>
      <c r="CR16" s="46" t="s">
        <v>18</v>
      </c>
      <c r="CS16" s="46" t="s">
        <v>19</v>
      </c>
      <c r="CT16" s="46" t="s">
        <v>20</v>
      </c>
      <c r="CU16" s="46" t="s">
        <v>21</v>
      </c>
      <c r="CV16" s="11"/>
      <c r="CW16" s="11"/>
      <c r="CX16" s="11"/>
      <c r="CY16" s="11"/>
      <c r="CZ16" s="11"/>
    </row>
    <row r="17">
      <c r="A17" s="11" t="s">
        <v>486</v>
      </c>
      <c r="B17" s="53">
        <v>2019.0</v>
      </c>
      <c r="C17" s="53">
        <v>2020.0</v>
      </c>
      <c r="D17" s="53">
        <v>2021.0</v>
      </c>
      <c r="E17" s="53">
        <v>2022.0</v>
      </c>
      <c r="F17" s="53">
        <v>2023.0</v>
      </c>
      <c r="G17" s="53">
        <v>2024.0</v>
      </c>
      <c r="H17" s="11"/>
      <c r="I17" s="11" t="s">
        <v>431</v>
      </c>
      <c r="J17" s="11">
        <v>0.0</v>
      </c>
      <c r="K17" s="11">
        <v>45970.0</v>
      </c>
      <c r="L17" s="11">
        <v>126269.0</v>
      </c>
      <c r="M17" s="11">
        <v>0.0</v>
      </c>
      <c r="N17" s="11">
        <v>0.0</v>
      </c>
      <c r="O17" s="11">
        <v>0.0</v>
      </c>
      <c r="P17" s="11"/>
      <c r="Q17" s="11" t="s">
        <v>406</v>
      </c>
      <c r="R17" s="11">
        <v>3294.0</v>
      </c>
      <c r="S17" s="11">
        <v>3585.0</v>
      </c>
      <c r="T17" s="11">
        <v>6100.646</v>
      </c>
      <c r="U17" s="11">
        <v>8336.164</v>
      </c>
      <c r="V17" s="11">
        <v>5940.302</v>
      </c>
      <c r="W17" s="11">
        <v>6421.995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 t="s">
        <v>487</v>
      </c>
      <c r="AH17" s="11"/>
      <c r="AI17" s="11"/>
      <c r="AJ17" s="11"/>
      <c r="AK17" s="11"/>
      <c r="AL17" s="11"/>
      <c r="AM17" s="11">
        <v>-69.022</v>
      </c>
      <c r="AN17" s="11"/>
      <c r="AO17" s="11"/>
      <c r="AP17" s="11"/>
      <c r="AQ17" s="11"/>
      <c r="AR17" s="11"/>
      <c r="AS17" s="11"/>
      <c r="AT17" s="11" t="s">
        <v>411</v>
      </c>
      <c r="AU17" s="11">
        <v>0.0</v>
      </c>
      <c r="AV17" s="11">
        <v>8075.56474</v>
      </c>
      <c r="AW17" s="11">
        <v>0.0</v>
      </c>
      <c r="AX17" s="11"/>
      <c r="AY17" s="11" t="s">
        <v>488</v>
      </c>
      <c r="AZ17" s="11"/>
      <c r="BA17" s="11">
        <v>1.15258</v>
      </c>
      <c r="BB17" s="11">
        <v>7.94123</v>
      </c>
      <c r="BC17" s="11"/>
      <c r="BD17" s="11"/>
      <c r="BE17" s="40" t="s">
        <v>489</v>
      </c>
      <c r="BF17" s="11">
        <v>312.0</v>
      </c>
      <c r="BG17" s="11">
        <v>391.341</v>
      </c>
      <c r="BH17" s="11">
        <v>358.142</v>
      </c>
      <c r="BI17" s="11"/>
      <c r="BJ17" s="11" t="s">
        <v>411</v>
      </c>
      <c r="BK17" s="11">
        <v>4896.367</v>
      </c>
      <c r="BL17" s="11">
        <v>8658.035</v>
      </c>
      <c r="BM17" s="11">
        <v>7948.988</v>
      </c>
      <c r="BN17" s="11"/>
      <c r="BO17" s="11" t="s">
        <v>486</v>
      </c>
      <c r="BP17" s="11">
        <v>3570.10027</v>
      </c>
      <c r="BQ17" s="11">
        <v>1183.64179</v>
      </c>
      <c r="BR17" s="11">
        <v>1285.11326</v>
      </c>
      <c r="BS17" s="11">
        <v>2775.39447</v>
      </c>
      <c r="BT17" s="11"/>
      <c r="BU17" s="11"/>
      <c r="BV17" s="11" t="s">
        <v>490</v>
      </c>
      <c r="BW17" s="11">
        <v>3.224</v>
      </c>
      <c r="BX17" s="11">
        <v>1.474</v>
      </c>
      <c r="BY17" s="11">
        <v>6.235</v>
      </c>
      <c r="BZ17" s="11"/>
      <c r="CA17" s="11"/>
      <c r="CB17" s="11" t="s">
        <v>421</v>
      </c>
      <c r="CC17" s="53">
        <v>0.0</v>
      </c>
      <c r="CD17" s="53">
        <v>0.0</v>
      </c>
      <c r="CE17" s="53">
        <v>0.0</v>
      </c>
      <c r="CF17" s="11"/>
      <c r="CG17" s="11"/>
      <c r="CH17" s="11"/>
      <c r="CI17" s="11"/>
      <c r="CJ17" s="11"/>
      <c r="CK17" s="11"/>
      <c r="CL17" s="40"/>
      <c r="CM17" s="40"/>
      <c r="CN17" s="40"/>
      <c r="CO17" s="40"/>
      <c r="CP17" s="40" t="s">
        <v>411</v>
      </c>
      <c r="CQ17" s="43">
        <v>0.0</v>
      </c>
      <c r="CR17" s="43">
        <v>0.0</v>
      </c>
      <c r="CS17" s="43">
        <v>0.0</v>
      </c>
      <c r="CT17" s="43">
        <v>0.0</v>
      </c>
      <c r="CU17" s="43">
        <v>0.0</v>
      </c>
      <c r="CV17" s="11"/>
      <c r="CW17" s="11"/>
      <c r="CX17" s="11"/>
      <c r="CY17" s="11"/>
      <c r="CZ17" s="11"/>
    </row>
    <row r="18">
      <c r="A18" s="11" t="s">
        <v>486</v>
      </c>
      <c r="B18" s="11"/>
      <c r="C18" s="11"/>
      <c r="D18" s="11"/>
      <c r="E18" s="11">
        <v>2501.694</v>
      </c>
      <c r="F18" s="11">
        <v>1689.761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 t="s">
        <v>455</v>
      </c>
      <c r="Z18" s="53">
        <v>2019.0</v>
      </c>
      <c r="AA18" s="53">
        <v>2020.0</v>
      </c>
      <c r="AB18" s="53">
        <v>2021.0</v>
      </c>
      <c r="AC18" s="53">
        <v>2022.0</v>
      </c>
      <c r="AD18" s="53">
        <v>2023.0</v>
      </c>
      <c r="AE18" s="53">
        <v>2024.0</v>
      </c>
      <c r="AF18" s="11"/>
      <c r="AG18" s="11" t="s">
        <v>437</v>
      </c>
      <c r="AH18" s="11">
        <v>0.0</v>
      </c>
      <c r="AI18" s="11">
        <v>0.0</v>
      </c>
      <c r="AJ18" s="11">
        <v>0.0</v>
      </c>
      <c r="AK18" s="11">
        <v>9294.08</v>
      </c>
      <c r="AL18" s="11">
        <v>5900.931999999997</v>
      </c>
      <c r="AM18" s="11">
        <v>32253.842</v>
      </c>
      <c r="AN18" s="11"/>
      <c r="AO18" s="11" t="s">
        <v>421</v>
      </c>
      <c r="AP18" s="53">
        <v>0.0</v>
      </c>
      <c r="AQ18" s="53">
        <v>0.0</v>
      </c>
      <c r="AR18" s="53">
        <v>0.0</v>
      </c>
      <c r="AS18" s="11"/>
      <c r="AT18" s="11"/>
      <c r="AU18" s="11"/>
      <c r="AV18" s="11"/>
      <c r="AW18" s="11"/>
      <c r="AX18" s="11"/>
      <c r="AY18" s="11" t="s">
        <v>491</v>
      </c>
      <c r="AZ18" s="11"/>
      <c r="BA18" s="11">
        <v>-0.72209</v>
      </c>
      <c r="BB18" s="11">
        <v>85.01675</v>
      </c>
      <c r="BC18" s="11"/>
      <c r="BD18" s="11"/>
      <c r="BE18" s="40" t="s">
        <v>492</v>
      </c>
      <c r="BF18" s="11">
        <v>10.289</v>
      </c>
      <c r="BG18" s="11">
        <v>9.483</v>
      </c>
      <c r="BH18" s="11">
        <v>13.097</v>
      </c>
      <c r="BI18" s="11"/>
      <c r="BJ18" s="11"/>
      <c r="BK18" s="11"/>
      <c r="BL18" s="11"/>
      <c r="BM18" s="11"/>
      <c r="BN18" s="11"/>
      <c r="BO18" s="11" t="s">
        <v>493</v>
      </c>
      <c r="BP18" s="11">
        <v>3338.23716</v>
      </c>
      <c r="BQ18" s="11">
        <v>3319.2216</v>
      </c>
      <c r="BR18" s="11">
        <v>4021.37473</v>
      </c>
      <c r="BS18" s="11">
        <v>4099.42245</v>
      </c>
      <c r="BT18" s="11"/>
      <c r="BU18" s="11"/>
      <c r="BV18" s="11" t="s">
        <v>494</v>
      </c>
      <c r="BW18" s="11"/>
      <c r="BX18" s="11"/>
      <c r="BY18" s="11"/>
      <c r="BZ18" s="11"/>
      <c r="CA18" s="11"/>
      <c r="CB18" s="11" t="s">
        <v>495</v>
      </c>
      <c r="CC18" s="11">
        <v>115420.25</v>
      </c>
      <c r="CD18" s="11">
        <v>163886.403</v>
      </c>
      <c r="CE18" s="11">
        <v>203055.816</v>
      </c>
      <c r="CF18" s="11"/>
      <c r="CG18" s="11" t="s">
        <v>231</v>
      </c>
      <c r="CH18" s="53">
        <v>0.0</v>
      </c>
      <c r="CI18" s="53">
        <v>0.0</v>
      </c>
      <c r="CJ18" s="53">
        <v>0.0</v>
      </c>
      <c r="CK18" s="11"/>
      <c r="CL18" s="40" t="s">
        <v>231</v>
      </c>
      <c r="CM18" s="46" t="s">
        <v>18</v>
      </c>
      <c r="CN18" s="46" t="s">
        <v>19</v>
      </c>
      <c r="CO18" s="40"/>
      <c r="CP18" s="40"/>
      <c r="CQ18" s="40"/>
      <c r="CR18" s="40"/>
      <c r="CS18" s="40"/>
      <c r="CT18" s="40"/>
      <c r="CU18" s="40"/>
      <c r="CV18" s="11"/>
      <c r="CW18" s="11"/>
      <c r="CX18" s="11"/>
      <c r="CY18" s="11"/>
      <c r="CZ18" s="11"/>
    </row>
    <row r="19">
      <c r="A19" s="11" t="s">
        <v>496</v>
      </c>
      <c r="B19" s="11">
        <v>0.0</v>
      </c>
      <c r="C19" s="11">
        <v>0.0</v>
      </c>
      <c r="D19" s="11">
        <v>0.0</v>
      </c>
      <c r="E19" s="11">
        <v>2501.694</v>
      </c>
      <c r="F19" s="11">
        <v>1689.761</v>
      </c>
      <c r="G19" s="11">
        <v>0.0</v>
      </c>
      <c r="H19" s="11"/>
      <c r="I19" s="11" t="s">
        <v>421</v>
      </c>
      <c r="J19" s="53">
        <v>2019.0</v>
      </c>
      <c r="K19" s="53">
        <v>2020.0</v>
      </c>
      <c r="L19" s="53">
        <v>2021.0</v>
      </c>
      <c r="M19" s="53">
        <v>2022.0</v>
      </c>
      <c r="N19" s="53">
        <v>2023.0</v>
      </c>
      <c r="O19" s="53">
        <v>2024.0</v>
      </c>
      <c r="P19" s="11"/>
      <c r="Q19" s="11" t="s">
        <v>234</v>
      </c>
      <c r="R19" s="53">
        <v>2019.0</v>
      </c>
      <c r="S19" s="53">
        <v>2020.0</v>
      </c>
      <c r="T19" s="53">
        <v>2021.0</v>
      </c>
      <c r="U19" s="53">
        <v>2022.0</v>
      </c>
      <c r="V19" s="53">
        <v>2023.0</v>
      </c>
      <c r="W19" s="53">
        <v>2024.0</v>
      </c>
      <c r="X19" s="11"/>
      <c r="Y19" s="11" t="s">
        <v>455</v>
      </c>
      <c r="Z19" s="11"/>
      <c r="AA19" s="11"/>
      <c r="AB19" s="11">
        <v>12224.957</v>
      </c>
      <c r="AC19" s="11">
        <v>13252.986</v>
      </c>
      <c r="AD19" s="11">
        <v>31311.08</v>
      </c>
      <c r="AE19" s="11">
        <v>13387.562</v>
      </c>
      <c r="AF19" s="11"/>
      <c r="AG19" s="11"/>
      <c r="AH19" s="11"/>
      <c r="AI19" s="11"/>
      <c r="AJ19" s="11"/>
      <c r="AK19" s="11"/>
      <c r="AL19" s="11"/>
      <c r="AM19" s="11"/>
      <c r="AN19" s="11"/>
      <c r="AO19" s="11" t="s">
        <v>497</v>
      </c>
      <c r="AP19" s="11">
        <v>890.27202</v>
      </c>
      <c r="AQ19" s="11">
        <v>869.17659</v>
      </c>
      <c r="AR19" s="11">
        <v>881.18931</v>
      </c>
      <c r="AS19" s="11"/>
      <c r="AT19" s="11" t="s">
        <v>397</v>
      </c>
      <c r="AU19" s="11"/>
      <c r="AV19" s="11"/>
      <c r="AW19" s="11"/>
      <c r="AX19" s="11"/>
      <c r="AY19" s="11" t="s">
        <v>498</v>
      </c>
      <c r="AZ19" s="11">
        <v>6.0</v>
      </c>
      <c r="BA19" s="11">
        <v>23.0</v>
      </c>
      <c r="BB19" s="11">
        <v>0.0</v>
      </c>
      <c r="BC19" s="11"/>
      <c r="BD19" s="11"/>
      <c r="BE19" s="40" t="s">
        <v>499</v>
      </c>
      <c r="BF19" s="11">
        <v>186.636</v>
      </c>
      <c r="BG19" s="11">
        <v>313.425</v>
      </c>
      <c r="BH19" s="11">
        <v>204.386</v>
      </c>
      <c r="BI19" s="11"/>
      <c r="BJ19" s="11" t="s">
        <v>397</v>
      </c>
      <c r="BK19" s="11"/>
      <c r="BL19" s="11"/>
      <c r="BM19" s="11"/>
      <c r="BN19" s="11"/>
      <c r="BO19" s="11" t="s">
        <v>482</v>
      </c>
      <c r="BP19" s="11"/>
      <c r="BQ19" s="11"/>
      <c r="BR19" s="11"/>
      <c r="BS19" s="11"/>
      <c r="BT19" s="11"/>
      <c r="BU19" s="11"/>
      <c r="BV19" s="11" t="s">
        <v>500</v>
      </c>
      <c r="BW19" s="11">
        <v>39.794</v>
      </c>
      <c r="BX19" s="11">
        <v>849.957</v>
      </c>
      <c r="BY19" s="11">
        <v>14981.805</v>
      </c>
      <c r="BZ19" s="11"/>
      <c r="CA19" s="11"/>
      <c r="CB19" s="11" t="s">
        <v>501</v>
      </c>
      <c r="CC19" s="11">
        <v>31732.123</v>
      </c>
      <c r="CD19" s="11">
        <v>47847.487</v>
      </c>
      <c r="CE19" s="11">
        <v>53160.579</v>
      </c>
      <c r="CF19" s="11"/>
      <c r="CG19" s="11" t="s">
        <v>411</v>
      </c>
      <c r="CH19" s="11">
        <v>0.0</v>
      </c>
      <c r="CI19" s="11">
        <v>0.0</v>
      </c>
      <c r="CJ19" s="11">
        <v>0.0</v>
      </c>
      <c r="CK19" s="11"/>
      <c r="CL19" s="40" t="s">
        <v>411</v>
      </c>
      <c r="CM19" s="43">
        <v>0.0</v>
      </c>
      <c r="CN19" s="43">
        <v>0.0</v>
      </c>
      <c r="CO19" s="40"/>
      <c r="CP19" s="40" t="s">
        <v>421</v>
      </c>
      <c r="CQ19" s="46" t="s">
        <v>17</v>
      </c>
      <c r="CR19" s="46" t="s">
        <v>18</v>
      </c>
      <c r="CS19" s="46" t="s">
        <v>19</v>
      </c>
      <c r="CT19" s="46" t="s">
        <v>20</v>
      </c>
      <c r="CU19" s="46" t="s">
        <v>21</v>
      </c>
      <c r="CV19" s="11"/>
      <c r="CW19" s="11"/>
      <c r="CX19" s="11"/>
      <c r="CY19" s="11"/>
      <c r="CZ19" s="11"/>
    </row>
    <row r="20">
      <c r="A20" s="11"/>
      <c r="B20" s="11"/>
      <c r="C20" s="11"/>
      <c r="D20" s="11"/>
      <c r="E20" s="11"/>
      <c r="F20" s="11"/>
      <c r="G20" s="11"/>
      <c r="H20" s="11"/>
      <c r="I20" s="11" t="s">
        <v>480</v>
      </c>
      <c r="J20" s="11"/>
      <c r="K20" s="11">
        <v>12569.0</v>
      </c>
      <c r="L20" s="11">
        <v>11648.0</v>
      </c>
      <c r="M20" s="11"/>
      <c r="N20" s="11"/>
      <c r="O20" s="11"/>
      <c r="P20" s="11"/>
      <c r="Q20" s="11" t="s">
        <v>502</v>
      </c>
      <c r="R20" s="11"/>
      <c r="S20" s="11"/>
      <c r="T20" s="11"/>
      <c r="U20" s="11"/>
      <c r="V20" s="11"/>
      <c r="W20" s="11">
        <v>4679.839</v>
      </c>
      <c r="X20" s="11"/>
      <c r="Y20" s="11" t="s">
        <v>469</v>
      </c>
      <c r="Z20" s="11">
        <v>0.0</v>
      </c>
      <c r="AA20" s="11">
        <v>0.0</v>
      </c>
      <c r="AB20" s="11">
        <v>12224.957</v>
      </c>
      <c r="AC20" s="11">
        <v>13252.986</v>
      </c>
      <c r="AD20" s="11">
        <v>31311.08</v>
      </c>
      <c r="AE20" s="11">
        <v>13387.562</v>
      </c>
      <c r="AF20" s="11"/>
      <c r="AG20" s="11" t="s">
        <v>455</v>
      </c>
      <c r="AH20" s="53">
        <v>2019.0</v>
      </c>
      <c r="AI20" s="53">
        <v>2020.0</v>
      </c>
      <c r="AJ20" s="53">
        <v>2021.0</v>
      </c>
      <c r="AK20" s="53">
        <v>2022.0</v>
      </c>
      <c r="AL20" s="53">
        <v>2023.0</v>
      </c>
      <c r="AM20" s="53">
        <v>2024.0</v>
      </c>
      <c r="AN20" s="11"/>
      <c r="AO20" s="11" t="s">
        <v>503</v>
      </c>
      <c r="AP20" s="11">
        <v>50.8241</v>
      </c>
      <c r="AQ20" s="11">
        <v>50.8241</v>
      </c>
      <c r="AR20" s="11">
        <v>50.8241</v>
      </c>
      <c r="AS20" s="11"/>
      <c r="AT20" s="11" t="s">
        <v>472</v>
      </c>
      <c r="AU20" s="53">
        <v>0.0</v>
      </c>
      <c r="AV20" s="53">
        <v>0.0</v>
      </c>
      <c r="AW20" s="53">
        <v>0.0</v>
      </c>
      <c r="AX20" s="11"/>
      <c r="AY20" s="11" t="s">
        <v>465</v>
      </c>
      <c r="AZ20" s="11"/>
      <c r="BA20" s="11"/>
      <c r="BB20" s="11">
        <v>60.32448</v>
      </c>
      <c r="BC20" s="11"/>
      <c r="BD20" s="11"/>
      <c r="BE20" s="40" t="s">
        <v>411</v>
      </c>
      <c r="BF20" s="11">
        <v>21057.765</v>
      </c>
      <c r="BG20" s="11">
        <v>26519.139</v>
      </c>
      <c r="BH20" s="11">
        <v>25176.069</v>
      </c>
      <c r="BI20" s="11"/>
      <c r="BJ20" s="11" t="s">
        <v>472</v>
      </c>
      <c r="BK20" s="53">
        <v>0.0</v>
      </c>
      <c r="BL20" s="53">
        <v>0.0</v>
      </c>
      <c r="BM20" s="53">
        <v>0.0</v>
      </c>
      <c r="BN20" s="11"/>
      <c r="BO20" s="11" t="s">
        <v>411</v>
      </c>
      <c r="BP20" s="11">
        <v>12452.90055</v>
      </c>
      <c r="BQ20" s="11">
        <v>5655.50222</v>
      </c>
      <c r="BR20" s="11">
        <v>15975.12879</v>
      </c>
      <c r="BS20" s="11">
        <v>23033.63376</v>
      </c>
      <c r="BT20" s="11">
        <v>0.0</v>
      </c>
      <c r="BU20" s="11"/>
      <c r="BV20" s="11" t="s">
        <v>439</v>
      </c>
      <c r="BW20" s="11">
        <v>0.0</v>
      </c>
      <c r="BX20" s="11">
        <v>168.246</v>
      </c>
      <c r="BY20" s="11">
        <v>161.424</v>
      </c>
      <c r="BZ20" s="11"/>
      <c r="CA20" s="11"/>
      <c r="CB20" s="11" t="s">
        <v>504</v>
      </c>
      <c r="CC20" s="11">
        <v>14960.26</v>
      </c>
      <c r="CD20" s="11">
        <v>29345.304</v>
      </c>
      <c r="CE20" s="11">
        <v>66146.824</v>
      </c>
      <c r="CF20" s="11"/>
      <c r="CG20" s="11"/>
      <c r="CH20" s="11"/>
      <c r="CI20" s="11"/>
      <c r="CJ20" s="11"/>
      <c r="CK20" s="53"/>
      <c r="CL20" s="40"/>
      <c r="CM20" s="40"/>
      <c r="CN20" s="40"/>
      <c r="CO20" s="40"/>
      <c r="CP20" s="40" t="s">
        <v>411</v>
      </c>
      <c r="CQ20" s="43">
        <v>0.0</v>
      </c>
      <c r="CR20" s="43">
        <v>0.0</v>
      </c>
      <c r="CS20" s="43">
        <v>0.0</v>
      </c>
      <c r="CT20" s="43">
        <v>0.0</v>
      </c>
      <c r="CU20" s="43">
        <v>0.0</v>
      </c>
      <c r="CV20" s="53"/>
      <c r="CW20" s="53"/>
      <c r="CX20" s="53"/>
      <c r="CY20" s="53"/>
      <c r="CZ20" s="53"/>
    </row>
    <row r="21">
      <c r="A21" s="11" t="s">
        <v>249</v>
      </c>
      <c r="B21" s="53">
        <v>2019.0</v>
      </c>
      <c r="C21" s="53">
        <v>2020.0</v>
      </c>
      <c r="D21" s="53">
        <v>2021.0</v>
      </c>
      <c r="E21" s="53">
        <v>2022.0</v>
      </c>
      <c r="F21" s="53">
        <v>2023.0</v>
      </c>
      <c r="G21" s="53">
        <v>2024.0</v>
      </c>
      <c r="H21" s="11"/>
      <c r="I21" s="11" t="s">
        <v>505</v>
      </c>
      <c r="J21" s="11"/>
      <c r="K21" s="11">
        <v>1030.0</v>
      </c>
      <c r="L21" s="11">
        <v>2380.0</v>
      </c>
      <c r="M21" s="11"/>
      <c r="N21" s="11"/>
      <c r="O21" s="11"/>
      <c r="P21" s="11"/>
      <c r="Q21" s="11" t="s">
        <v>506</v>
      </c>
      <c r="R21" s="11">
        <v>264.0</v>
      </c>
      <c r="S21" s="11">
        <v>264.0</v>
      </c>
      <c r="T21" s="11">
        <v>264.295</v>
      </c>
      <c r="U21" s="11">
        <v>264.295</v>
      </c>
      <c r="V21" s="11">
        <v>264.295</v>
      </c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 t="s">
        <v>507</v>
      </c>
      <c r="AH21" s="11"/>
      <c r="AI21" s="11"/>
      <c r="AJ21" s="11"/>
      <c r="AK21" s="11">
        <v>19267.42</v>
      </c>
      <c r="AL21" s="11">
        <v>20016.31</v>
      </c>
      <c r="AM21" s="11">
        <v>0.0</v>
      </c>
      <c r="AN21" s="11"/>
      <c r="AO21" s="11" t="s">
        <v>411</v>
      </c>
      <c r="AP21" s="11">
        <v>941.09612</v>
      </c>
      <c r="AQ21" s="11">
        <v>920.00069</v>
      </c>
      <c r="AR21" s="11">
        <v>932.01341</v>
      </c>
      <c r="AS21" s="11"/>
      <c r="AT21" s="11" t="s">
        <v>508</v>
      </c>
      <c r="AU21" s="11"/>
      <c r="AV21" s="11"/>
      <c r="AW21" s="11"/>
      <c r="AX21" s="11"/>
      <c r="AY21" s="11" t="s">
        <v>509</v>
      </c>
      <c r="AZ21" s="11"/>
      <c r="BA21" s="11"/>
      <c r="BB21" s="11">
        <v>4.37386</v>
      </c>
      <c r="BC21" s="11"/>
      <c r="BD21" s="11"/>
      <c r="BE21" s="40"/>
      <c r="BF21" s="11"/>
      <c r="BG21" s="11"/>
      <c r="BH21" s="11"/>
      <c r="BI21" s="11"/>
      <c r="BJ21" s="11" t="s">
        <v>508</v>
      </c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 t="s">
        <v>510</v>
      </c>
      <c r="BW21" s="11">
        <v>41.717</v>
      </c>
      <c r="BX21" s="11">
        <v>62.966</v>
      </c>
      <c r="BY21" s="11">
        <v>41.989</v>
      </c>
      <c r="BZ21" s="11"/>
      <c r="CA21" s="11"/>
      <c r="CB21" s="11" t="s">
        <v>458</v>
      </c>
      <c r="CC21" s="11">
        <v>6383.994</v>
      </c>
      <c r="CD21" s="11">
        <v>6006.994</v>
      </c>
      <c r="CE21" s="11"/>
      <c r="CF21" s="11"/>
      <c r="CG21" s="11" t="s">
        <v>421</v>
      </c>
      <c r="CH21" s="53">
        <v>0.0</v>
      </c>
      <c r="CI21" s="53">
        <v>0.0</v>
      </c>
      <c r="CJ21" s="53">
        <v>0.0</v>
      </c>
      <c r="CK21" s="11"/>
      <c r="CL21" s="40" t="s">
        <v>421</v>
      </c>
      <c r="CM21" s="46" t="s">
        <v>18</v>
      </c>
      <c r="CN21" s="46" t="s">
        <v>19</v>
      </c>
      <c r="CO21" s="40"/>
      <c r="CP21" s="40"/>
      <c r="CQ21" s="40"/>
      <c r="CR21" s="40"/>
      <c r="CS21" s="40"/>
      <c r="CT21" s="40"/>
      <c r="CU21" s="40"/>
      <c r="CV21" s="11"/>
      <c r="CW21" s="11"/>
      <c r="CX21" s="11"/>
      <c r="CY21" s="11"/>
      <c r="CZ21" s="11"/>
    </row>
    <row r="22">
      <c r="A22" s="11" t="s">
        <v>511</v>
      </c>
      <c r="B22" s="11"/>
      <c r="C22" s="11"/>
      <c r="D22" s="11"/>
      <c r="E22" s="11"/>
      <c r="F22" s="11">
        <v>452.942</v>
      </c>
      <c r="G22" s="11"/>
      <c r="H22" s="11"/>
      <c r="I22" s="11" t="s">
        <v>512</v>
      </c>
      <c r="J22" s="11"/>
      <c r="K22" s="11">
        <v>1851.0</v>
      </c>
      <c r="L22" s="11">
        <v>745.0</v>
      </c>
      <c r="M22" s="11"/>
      <c r="N22" s="11"/>
      <c r="O22" s="11"/>
      <c r="P22" s="11"/>
      <c r="Q22" s="11" t="s">
        <v>513</v>
      </c>
      <c r="R22" s="11">
        <v>202.0</v>
      </c>
      <c r="S22" s="11"/>
      <c r="T22" s="11"/>
      <c r="U22" s="11"/>
      <c r="V22" s="11"/>
      <c r="W22" s="11"/>
      <c r="X22" s="11"/>
      <c r="Y22" s="11" t="s">
        <v>486</v>
      </c>
      <c r="Z22" s="53">
        <v>2019.0</v>
      </c>
      <c r="AA22" s="53">
        <v>2020.0</v>
      </c>
      <c r="AB22" s="53">
        <v>2021.0</v>
      </c>
      <c r="AC22" s="53">
        <v>2022.0</v>
      </c>
      <c r="AD22" s="53">
        <v>2023.0</v>
      </c>
      <c r="AE22" s="53">
        <v>2024.0</v>
      </c>
      <c r="AF22" s="11"/>
      <c r="AG22" s="11" t="s">
        <v>469</v>
      </c>
      <c r="AH22" s="11">
        <v>0.0</v>
      </c>
      <c r="AI22" s="11">
        <v>0.0</v>
      </c>
      <c r="AJ22" s="11">
        <v>0.0</v>
      </c>
      <c r="AK22" s="11">
        <v>19267.42</v>
      </c>
      <c r="AL22" s="11">
        <v>20016.31</v>
      </c>
      <c r="AM22" s="11">
        <v>0.0</v>
      </c>
      <c r="AN22" s="11"/>
      <c r="AO22" s="11"/>
      <c r="AP22" s="11"/>
      <c r="AQ22" s="11"/>
      <c r="AR22" s="11"/>
      <c r="AS22" s="11"/>
      <c r="AT22" s="11" t="s">
        <v>514</v>
      </c>
      <c r="AU22" s="11"/>
      <c r="AV22" s="11"/>
      <c r="AW22" s="11"/>
      <c r="AX22" s="11"/>
      <c r="AY22" s="11" t="s">
        <v>515</v>
      </c>
      <c r="AZ22" s="11"/>
      <c r="BA22" s="11"/>
      <c r="BB22" s="11">
        <v>19.45341</v>
      </c>
      <c r="BC22" s="11"/>
      <c r="BD22" s="11"/>
      <c r="BE22" s="40" t="s">
        <v>397</v>
      </c>
      <c r="BF22" s="11"/>
      <c r="BG22" s="11"/>
      <c r="BH22" s="11"/>
      <c r="BI22" s="11"/>
      <c r="BJ22" s="11" t="s">
        <v>514</v>
      </c>
      <c r="BK22" s="11"/>
      <c r="BL22" s="11"/>
      <c r="BM22" s="11"/>
      <c r="BN22" s="11"/>
      <c r="BO22" s="11" t="s">
        <v>397</v>
      </c>
      <c r="BP22" s="11"/>
      <c r="BQ22" s="11"/>
      <c r="BR22" s="11"/>
      <c r="BS22" s="11"/>
      <c r="BT22" s="11"/>
      <c r="BU22" s="11"/>
      <c r="BV22" s="11" t="s">
        <v>516</v>
      </c>
      <c r="BW22" s="11">
        <v>20.403</v>
      </c>
      <c r="BX22" s="11">
        <v>44.636</v>
      </c>
      <c r="BY22" s="11">
        <v>17.317</v>
      </c>
      <c r="BZ22" s="11"/>
      <c r="CA22" s="11"/>
      <c r="CB22" s="11" t="s">
        <v>517</v>
      </c>
      <c r="CC22" s="11">
        <v>2400.193</v>
      </c>
      <c r="CD22" s="11">
        <v>1314.393</v>
      </c>
      <c r="CE22" s="11">
        <v>3947.393</v>
      </c>
      <c r="CF22" s="11"/>
      <c r="CG22" s="11" t="s">
        <v>518</v>
      </c>
      <c r="CH22" s="11">
        <v>723.79979</v>
      </c>
      <c r="CI22" s="11">
        <v>979.14372</v>
      </c>
      <c r="CJ22" s="11">
        <v>921.57098</v>
      </c>
      <c r="CK22" s="11"/>
      <c r="CL22" s="40" t="s">
        <v>482</v>
      </c>
      <c r="CM22" s="40"/>
      <c r="CN22" s="43">
        <v>525.90912</v>
      </c>
      <c r="CO22" s="40"/>
      <c r="CP22" s="40" t="s">
        <v>397</v>
      </c>
      <c r="CQ22" s="40"/>
      <c r="CR22" s="40"/>
      <c r="CS22" s="40"/>
      <c r="CT22" s="40"/>
      <c r="CU22" s="40"/>
      <c r="CV22" s="11"/>
      <c r="CW22" s="11"/>
      <c r="CX22" s="11"/>
      <c r="CY22" s="11"/>
      <c r="CZ22" s="11"/>
    </row>
    <row r="23">
      <c r="A23" s="11" t="s">
        <v>519</v>
      </c>
      <c r="B23" s="11">
        <v>0.0</v>
      </c>
      <c r="C23" s="11">
        <v>0.0</v>
      </c>
      <c r="D23" s="11">
        <v>0.0</v>
      </c>
      <c r="E23" s="11">
        <v>0.0</v>
      </c>
      <c r="F23" s="11">
        <v>452.942</v>
      </c>
      <c r="G23" s="11">
        <v>0.0</v>
      </c>
      <c r="H23" s="11"/>
      <c r="I23" s="11" t="s">
        <v>487</v>
      </c>
      <c r="J23" s="11"/>
      <c r="K23" s="11">
        <v>-384.0</v>
      </c>
      <c r="L23" s="11">
        <v>-274.0</v>
      </c>
      <c r="M23" s="11"/>
      <c r="N23" s="11"/>
      <c r="O23" s="11"/>
      <c r="P23" s="11"/>
      <c r="Q23" s="11" t="s">
        <v>520</v>
      </c>
      <c r="R23" s="11">
        <v>13.98</v>
      </c>
      <c r="S23" s="11">
        <v>13.98</v>
      </c>
      <c r="T23" s="11">
        <v>13.975</v>
      </c>
      <c r="U23" s="11">
        <v>13.975</v>
      </c>
      <c r="V23" s="11">
        <v>13.975</v>
      </c>
      <c r="W23" s="11"/>
      <c r="X23" s="11"/>
      <c r="Y23" s="11" t="s">
        <v>496</v>
      </c>
      <c r="Z23" s="11">
        <v>0.0</v>
      </c>
      <c r="AA23" s="11">
        <v>0.0</v>
      </c>
      <c r="AB23" s="11">
        <v>0.0</v>
      </c>
      <c r="AC23" s="11">
        <v>0.0</v>
      </c>
      <c r="AD23" s="11">
        <v>0.0</v>
      </c>
      <c r="AE23" s="11">
        <v>0.0</v>
      </c>
      <c r="AF23" s="11"/>
      <c r="AG23" s="11"/>
      <c r="AH23" s="11"/>
      <c r="AI23" s="11"/>
      <c r="AJ23" s="11"/>
      <c r="AK23" s="11"/>
      <c r="AL23" s="11"/>
      <c r="AM23" s="11"/>
      <c r="AN23" s="11"/>
      <c r="AO23" s="11" t="s">
        <v>397</v>
      </c>
      <c r="AP23" s="11"/>
      <c r="AQ23" s="11"/>
      <c r="AR23" s="11"/>
      <c r="AS23" s="11"/>
      <c r="AT23" s="11" t="s">
        <v>521</v>
      </c>
      <c r="AU23" s="11"/>
      <c r="AV23" s="11"/>
      <c r="AW23" s="11"/>
      <c r="AX23" s="11"/>
      <c r="AY23" s="11" t="s">
        <v>411</v>
      </c>
      <c r="AZ23" s="11">
        <v>791.235174</v>
      </c>
      <c r="BA23" s="11">
        <v>1508.79957</v>
      </c>
      <c r="BB23" s="11">
        <v>1898.98988</v>
      </c>
      <c r="BC23" s="11">
        <v>225.14835</v>
      </c>
      <c r="BD23" s="11"/>
      <c r="BE23" s="40" t="s">
        <v>472</v>
      </c>
      <c r="BF23" s="53">
        <v>0.0</v>
      </c>
      <c r="BG23" s="53">
        <v>0.0</v>
      </c>
      <c r="BH23" s="53">
        <v>0.0</v>
      </c>
      <c r="BI23" s="11"/>
      <c r="BJ23" s="11" t="s">
        <v>521</v>
      </c>
      <c r="BK23" s="11"/>
      <c r="BL23" s="11"/>
      <c r="BM23" s="11"/>
      <c r="BN23" s="11"/>
      <c r="BO23" s="11" t="s">
        <v>472</v>
      </c>
      <c r="BP23" s="53">
        <v>0.0</v>
      </c>
      <c r="BQ23" s="53">
        <v>0.0</v>
      </c>
      <c r="BR23" s="53">
        <v>0.0</v>
      </c>
      <c r="BS23" s="53">
        <v>0.0</v>
      </c>
      <c r="BT23" s="53">
        <v>0.0</v>
      </c>
      <c r="BU23" s="11"/>
      <c r="BV23" s="11" t="s">
        <v>522</v>
      </c>
      <c r="BW23" s="11">
        <v>30.428</v>
      </c>
      <c r="BX23" s="11">
        <v>42.033</v>
      </c>
      <c r="BY23" s="11">
        <v>47.224</v>
      </c>
      <c r="BZ23" s="11"/>
      <c r="CA23" s="11"/>
      <c r="CB23" s="11" t="s">
        <v>411</v>
      </c>
      <c r="CC23" s="11">
        <v>170896.82</v>
      </c>
      <c r="CD23" s="11">
        <v>248400.581</v>
      </c>
      <c r="CE23" s="11">
        <v>326310.612</v>
      </c>
      <c r="CF23" s="11"/>
      <c r="CG23" s="11" t="s">
        <v>523</v>
      </c>
      <c r="CH23" s="11"/>
      <c r="CI23" s="11">
        <v>136.939</v>
      </c>
      <c r="CJ23" s="11">
        <v>177.9977</v>
      </c>
      <c r="CK23" s="53"/>
      <c r="CL23" s="40" t="s">
        <v>411</v>
      </c>
      <c r="CM23" s="43">
        <v>0.0</v>
      </c>
      <c r="CN23" s="43">
        <v>525.90912</v>
      </c>
      <c r="CO23" s="40"/>
      <c r="CP23" s="40" t="s">
        <v>472</v>
      </c>
      <c r="CQ23" s="46" t="s">
        <v>17</v>
      </c>
      <c r="CR23" s="46" t="s">
        <v>18</v>
      </c>
      <c r="CS23" s="46" t="s">
        <v>19</v>
      </c>
      <c r="CT23" s="46" t="s">
        <v>20</v>
      </c>
      <c r="CU23" s="46" t="s">
        <v>21</v>
      </c>
      <c r="CV23" s="53"/>
      <c r="CW23" s="53"/>
      <c r="CX23" s="53"/>
      <c r="CY23" s="53"/>
      <c r="CZ23" s="53"/>
    </row>
    <row r="24">
      <c r="A24" s="11"/>
      <c r="B24" s="11"/>
      <c r="C24" s="11"/>
      <c r="D24" s="11"/>
      <c r="E24" s="11"/>
      <c r="F24" s="11"/>
      <c r="G24" s="11"/>
      <c r="H24" s="11"/>
      <c r="I24" s="11" t="s">
        <v>429</v>
      </c>
      <c r="J24" s="11"/>
      <c r="K24" s="11"/>
      <c r="L24" s="11"/>
      <c r="M24" s="11">
        <v>13337.418</v>
      </c>
      <c r="N24" s="11">
        <v>13468.897</v>
      </c>
      <c r="O24" s="11">
        <v>19104.821</v>
      </c>
      <c r="P24" s="11"/>
      <c r="Q24" s="11" t="s">
        <v>524</v>
      </c>
      <c r="R24" s="11">
        <v>1.0</v>
      </c>
      <c r="S24" s="11">
        <v>1.0</v>
      </c>
      <c r="T24" s="11">
        <v>0.57</v>
      </c>
      <c r="U24" s="11">
        <v>0.57</v>
      </c>
      <c r="V24" s="11">
        <v>0.57</v>
      </c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 t="s">
        <v>486</v>
      </c>
      <c r="AH24" s="53">
        <v>2019.0</v>
      </c>
      <c r="AI24" s="53">
        <v>2020.0</v>
      </c>
      <c r="AJ24" s="53">
        <v>2021.0</v>
      </c>
      <c r="AK24" s="53">
        <v>2022.0</v>
      </c>
      <c r="AL24" s="53">
        <v>2023.0</v>
      </c>
      <c r="AM24" s="53">
        <v>2024.0</v>
      </c>
      <c r="AN24" s="11"/>
      <c r="AO24" s="11" t="s">
        <v>472</v>
      </c>
      <c r="AP24" s="53">
        <v>0.0</v>
      </c>
      <c r="AQ24" s="53">
        <v>0.0</v>
      </c>
      <c r="AR24" s="53">
        <v>0.0</v>
      </c>
      <c r="AS24" s="11"/>
      <c r="AT24" s="11" t="s">
        <v>525</v>
      </c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40" t="s">
        <v>508</v>
      </c>
      <c r="BF24" s="11"/>
      <c r="BG24" s="11"/>
      <c r="BH24" s="11"/>
      <c r="BI24" s="11"/>
      <c r="BJ24" s="11" t="s">
        <v>525</v>
      </c>
      <c r="BK24" s="11"/>
      <c r="BL24" s="11"/>
      <c r="BM24" s="11"/>
      <c r="BN24" s="11"/>
      <c r="BO24" s="11" t="s">
        <v>508</v>
      </c>
      <c r="BP24" s="11"/>
      <c r="BQ24" s="11"/>
      <c r="BR24" s="11"/>
      <c r="BS24" s="11"/>
      <c r="BT24" s="11"/>
      <c r="BU24" s="11"/>
      <c r="BV24" s="11" t="s">
        <v>485</v>
      </c>
      <c r="BW24" s="11">
        <v>24.127</v>
      </c>
      <c r="BX24" s="11">
        <v>39.187</v>
      </c>
      <c r="BY24" s="11">
        <v>18.026</v>
      </c>
      <c r="BZ24" s="11"/>
      <c r="CA24" s="11"/>
      <c r="CB24" s="11"/>
      <c r="CC24" s="11"/>
      <c r="CD24" s="11"/>
      <c r="CE24" s="11"/>
      <c r="CF24" s="11"/>
      <c r="CG24" s="11" t="s">
        <v>526</v>
      </c>
      <c r="CH24" s="11">
        <v>617.21111</v>
      </c>
      <c r="CI24" s="11"/>
      <c r="CJ24" s="11"/>
      <c r="CK24" s="11"/>
      <c r="CL24" s="40"/>
      <c r="CM24" s="40"/>
      <c r="CN24" s="40"/>
      <c r="CO24" s="40"/>
      <c r="CP24" s="40" t="s">
        <v>508</v>
      </c>
      <c r="CQ24" s="40"/>
      <c r="CR24" s="40"/>
      <c r="CS24" s="40"/>
      <c r="CT24" s="40"/>
      <c r="CU24" s="40"/>
      <c r="CV24" s="11"/>
      <c r="CW24" s="11"/>
      <c r="CX24" s="11"/>
      <c r="CY24" s="11"/>
      <c r="CZ24" s="11"/>
    </row>
    <row r="25" ht="15.75" customHeight="1">
      <c r="A25" s="11" t="s">
        <v>257</v>
      </c>
      <c r="B25" s="53">
        <v>2019.0</v>
      </c>
      <c r="C25" s="53">
        <v>2020.0</v>
      </c>
      <c r="D25" s="53">
        <v>2021.0</v>
      </c>
      <c r="E25" s="53">
        <v>2022.0</v>
      </c>
      <c r="F25" s="53">
        <v>2023.0</v>
      </c>
      <c r="G25" s="53">
        <v>2024.0</v>
      </c>
      <c r="H25" s="11"/>
      <c r="I25" s="11" t="s">
        <v>437</v>
      </c>
      <c r="J25" s="11">
        <v>0.0</v>
      </c>
      <c r="K25" s="11">
        <v>15066.0</v>
      </c>
      <c r="L25" s="11">
        <v>14499.0</v>
      </c>
      <c r="M25" s="11">
        <v>13337.418</v>
      </c>
      <c r="N25" s="11">
        <v>13468.897</v>
      </c>
      <c r="O25" s="11">
        <v>19104.821</v>
      </c>
      <c r="P25" s="11"/>
      <c r="Q25" s="11" t="s">
        <v>431</v>
      </c>
      <c r="R25" s="11">
        <v>480.98</v>
      </c>
      <c r="S25" s="11">
        <v>278.98</v>
      </c>
      <c r="T25" s="11">
        <v>278.84</v>
      </c>
      <c r="U25" s="11">
        <v>278.84</v>
      </c>
      <c r="V25" s="11">
        <v>278.84</v>
      </c>
      <c r="W25" s="11">
        <v>4679.839</v>
      </c>
      <c r="X25" s="11"/>
      <c r="Y25" s="11" t="s">
        <v>237</v>
      </c>
      <c r="Z25" s="53">
        <v>2019.0</v>
      </c>
      <c r="AA25" s="53">
        <v>2020.0</v>
      </c>
      <c r="AB25" s="53">
        <v>2021.0</v>
      </c>
      <c r="AC25" s="53">
        <v>2022.0</v>
      </c>
      <c r="AD25" s="53">
        <v>2023.0</v>
      </c>
      <c r="AE25" s="53">
        <v>2024.0</v>
      </c>
      <c r="AF25" s="11"/>
      <c r="AG25" s="11" t="s">
        <v>486</v>
      </c>
      <c r="AH25" s="11"/>
      <c r="AI25" s="11"/>
      <c r="AJ25" s="11"/>
      <c r="AK25" s="11">
        <v>2184.715</v>
      </c>
      <c r="AL25" s="11">
        <v>3803.379000000004</v>
      </c>
      <c r="AM25" s="11">
        <v>4915.002</v>
      </c>
      <c r="AN25" s="11"/>
      <c r="AO25" s="11" t="s">
        <v>508</v>
      </c>
      <c r="AP25" s="11"/>
      <c r="AQ25" s="11"/>
      <c r="AR25" s="11"/>
      <c r="AS25" s="11"/>
      <c r="AT25" s="11" t="s">
        <v>527</v>
      </c>
      <c r="AU25" s="11"/>
      <c r="AV25" s="11"/>
      <c r="AW25" s="11"/>
      <c r="AX25" s="11"/>
      <c r="AY25" s="11" t="s">
        <v>231</v>
      </c>
      <c r="AZ25" s="53">
        <v>0.0</v>
      </c>
      <c r="BA25" s="53">
        <v>0.0</v>
      </c>
      <c r="BB25" s="53">
        <v>0.0</v>
      </c>
      <c r="BC25" s="53">
        <v>0.0</v>
      </c>
      <c r="BD25" s="11"/>
      <c r="BE25" s="40" t="s">
        <v>514</v>
      </c>
      <c r="BF25" s="11"/>
      <c r="BG25" s="11"/>
      <c r="BH25" s="11"/>
      <c r="BI25" s="11"/>
      <c r="BJ25" s="11" t="s">
        <v>527</v>
      </c>
      <c r="BK25" s="11"/>
      <c r="BL25" s="11"/>
      <c r="BM25" s="11"/>
      <c r="BN25" s="11"/>
      <c r="BO25" s="11" t="s">
        <v>514</v>
      </c>
      <c r="BP25" s="11"/>
      <c r="BQ25" s="11"/>
      <c r="BR25" s="11"/>
      <c r="BS25" s="11"/>
      <c r="BT25" s="11"/>
      <c r="BU25" s="11"/>
      <c r="BV25" s="11" t="s">
        <v>432</v>
      </c>
      <c r="BW25" s="11">
        <v>29.281</v>
      </c>
      <c r="BX25" s="11">
        <v>20.115</v>
      </c>
      <c r="BY25" s="11">
        <v>59.894</v>
      </c>
      <c r="BZ25" s="11"/>
      <c r="CA25" s="11"/>
      <c r="CB25" s="11" t="s">
        <v>397</v>
      </c>
      <c r="CC25" s="11"/>
      <c r="CD25" s="11"/>
      <c r="CE25" s="11"/>
      <c r="CF25" s="11"/>
      <c r="CG25" s="11" t="s">
        <v>528</v>
      </c>
      <c r="CH25" s="11">
        <v>407.644</v>
      </c>
      <c r="CI25" s="11">
        <v>102.1</v>
      </c>
      <c r="CJ25" s="11">
        <v>155.6</v>
      </c>
      <c r="CK25" s="11"/>
      <c r="CL25" s="40" t="s">
        <v>397</v>
      </c>
      <c r="CM25" s="40"/>
      <c r="CN25" s="40"/>
      <c r="CO25" s="40"/>
      <c r="CP25" s="40" t="s">
        <v>514</v>
      </c>
      <c r="CQ25" s="40"/>
      <c r="CR25" s="40"/>
      <c r="CS25" s="40"/>
      <c r="CT25" s="40"/>
      <c r="CU25" s="40"/>
      <c r="CV25" s="11"/>
      <c r="CW25" s="11"/>
      <c r="CX25" s="11"/>
      <c r="CY25" s="11"/>
      <c r="CZ25" s="11"/>
    </row>
    <row r="26" ht="15.75" customHeight="1">
      <c r="A26" s="11" t="s">
        <v>246</v>
      </c>
      <c r="B26" s="11"/>
      <c r="C26" s="11">
        <v>13.44</v>
      </c>
      <c r="D26" s="11">
        <v>615.944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 t="s">
        <v>529</v>
      </c>
      <c r="Z26" s="11">
        <v>0.0</v>
      </c>
      <c r="AA26" s="11">
        <v>0.0</v>
      </c>
      <c r="AB26" s="11">
        <v>0.0</v>
      </c>
      <c r="AC26" s="11">
        <v>0.0</v>
      </c>
      <c r="AD26" s="11">
        <v>0.0</v>
      </c>
      <c r="AE26" s="11">
        <v>0.0</v>
      </c>
      <c r="AF26" s="11"/>
      <c r="AG26" s="11" t="s">
        <v>496</v>
      </c>
      <c r="AH26" s="11">
        <v>0.0</v>
      </c>
      <c r="AI26" s="11">
        <v>0.0</v>
      </c>
      <c r="AJ26" s="11">
        <v>0.0</v>
      </c>
      <c r="AK26" s="11">
        <v>2184.715</v>
      </c>
      <c r="AL26" s="11">
        <v>3803.379000000004</v>
      </c>
      <c r="AM26" s="11">
        <v>4915.002</v>
      </c>
      <c r="AN26" s="11"/>
      <c r="AO26" s="11" t="s">
        <v>514</v>
      </c>
      <c r="AP26" s="11"/>
      <c r="AQ26" s="11"/>
      <c r="AR26" s="11"/>
      <c r="AS26" s="11"/>
      <c r="AT26" s="11" t="s">
        <v>530</v>
      </c>
      <c r="AU26" s="11"/>
      <c r="AV26" s="11"/>
      <c r="AW26" s="11"/>
      <c r="AX26" s="11"/>
      <c r="AY26" s="11" t="s">
        <v>531</v>
      </c>
      <c r="AZ26" s="11">
        <v>4500.0</v>
      </c>
      <c r="BA26" s="11">
        <v>7239.19918</v>
      </c>
      <c r="BB26" s="11">
        <v>6368.213</v>
      </c>
      <c r="BC26" s="11">
        <v>6368.213</v>
      </c>
      <c r="BD26" s="11"/>
      <c r="BE26" s="40" t="s">
        <v>521</v>
      </c>
      <c r="BF26" s="11"/>
      <c r="BG26" s="11"/>
      <c r="BH26" s="11"/>
      <c r="BI26" s="11"/>
      <c r="BJ26" s="11" t="s">
        <v>530</v>
      </c>
      <c r="BK26" s="11"/>
      <c r="BL26" s="11"/>
      <c r="BM26" s="11"/>
      <c r="BN26" s="11"/>
      <c r="BO26" s="11" t="s">
        <v>521</v>
      </c>
      <c r="BP26" s="11"/>
      <c r="BQ26" s="11"/>
      <c r="BR26" s="11"/>
      <c r="BS26" s="11"/>
      <c r="BT26" s="11"/>
      <c r="BU26" s="11"/>
      <c r="BV26" s="11" t="s">
        <v>465</v>
      </c>
      <c r="BW26" s="11">
        <v>25.324</v>
      </c>
      <c r="BX26" s="11">
        <v>20.277</v>
      </c>
      <c r="BY26" s="11">
        <v>12.89</v>
      </c>
      <c r="BZ26" s="11"/>
      <c r="CA26" s="11"/>
      <c r="CB26" s="11" t="s">
        <v>472</v>
      </c>
      <c r="CC26" s="53">
        <v>0.0</v>
      </c>
      <c r="CD26" s="53">
        <v>0.0</v>
      </c>
      <c r="CE26" s="53">
        <v>0.0</v>
      </c>
      <c r="CF26" s="11"/>
      <c r="CG26" s="11" t="s">
        <v>532</v>
      </c>
      <c r="CH26" s="11"/>
      <c r="CI26" s="11">
        <v>136.3407</v>
      </c>
      <c r="CJ26" s="11">
        <v>164.09282</v>
      </c>
      <c r="CK26" s="11"/>
      <c r="CL26" s="40" t="s">
        <v>472</v>
      </c>
      <c r="CM26" s="46" t="s">
        <v>18</v>
      </c>
      <c r="CN26" s="46" t="s">
        <v>19</v>
      </c>
      <c r="CO26" s="40"/>
      <c r="CP26" s="40" t="s">
        <v>521</v>
      </c>
      <c r="CQ26" s="40"/>
      <c r="CR26" s="40"/>
      <c r="CS26" s="40"/>
      <c r="CT26" s="40"/>
      <c r="CU26" s="40"/>
      <c r="CV26" s="11"/>
      <c r="CW26" s="11"/>
      <c r="CX26" s="11"/>
      <c r="CY26" s="11"/>
      <c r="CZ26" s="11"/>
    </row>
    <row r="27" ht="15.75" customHeight="1">
      <c r="A27" s="11" t="s">
        <v>257</v>
      </c>
      <c r="B27" s="11"/>
      <c r="C27" s="11"/>
      <c r="D27" s="11"/>
      <c r="E27" s="11"/>
      <c r="F27" s="11"/>
      <c r="G27" s="11">
        <v>3364.291</v>
      </c>
      <c r="H27" s="11"/>
      <c r="I27" s="11" t="s">
        <v>455</v>
      </c>
      <c r="J27" s="53">
        <v>2019.0</v>
      </c>
      <c r="K27" s="53">
        <v>2020.0</v>
      </c>
      <c r="L27" s="53">
        <v>2021.0</v>
      </c>
      <c r="M27" s="53">
        <v>2022.0</v>
      </c>
      <c r="N27" s="53">
        <v>2023.0</v>
      </c>
      <c r="O27" s="53">
        <v>2024.0</v>
      </c>
      <c r="P27" s="11"/>
      <c r="Q27" s="11" t="s">
        <v>421</v>
      </c>
      <c r="R27" s="53">
        <v>2019.0</v>
      </c>
      <c r="S27" s="53">
        <v>2020.0</v>
      </c>
      <c r="T27" s="53">
        <v>2021.0</v>
      </c>
      <c r="U27" s="53">
        <v>2022.0</v>
      </c>
      <c r="V27" s="53">
        <v>2023.0</v>
      </c>
      <c r="W27" s="53">
        <v>2024.0</v>
      </c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 t="s">
        <v>521</v>
      </c>
      <c r="AP27" s="11"/>
      <c r="AQ27" s="11"/>
      <c r="AR27" s="11"/>
      <c r="AS27" s="11"/>
      <c r="AT27" s="11" t="s">
        <v>411</v>
      </c>
      <c r="AU27" s="11">
        <v>0.0</v>
      </c>
      <c r="AV27" s="11">
        <v>0.0</v>
      </c>
      <c r="AW27" s="11">
        <v>0.0</v>
      </c>
      <c r="AX27" s="11"/>
      <c r="AY27" s="11" t="s">
        <v>411</v>
      </c>
      <c r="AZ27" s="11">
        <v>4500.0</v>
      </c>
      <c r="BA27" s="11">
        <v>7239.19918</v>
      </c>
      <c r="BB27" s="11">
        <v>6368.213</v>
      </c>
      <c r="BC27" s="11">
        <v>6368.213</v>
      </c>
      <c r="BD27" s="11"/>
      <c r="BE27" s="40" t="s">
        <v>525</v>
      </c>
      <c r="BF27" s="11"/>
      <c r="BG27" s="11"/>
      <c r="BH27" s="11"/>
      <c r="BI27" s="11"/>
      <c r="BJ27" s="11" t="s">
        <v>411</v>
      </c>
      <c r="BK27" s="11">
        <v>0.0</v>
      </c>
      <c r="BL27" s="11">
        <v>0.0</v>
      </c>
      <c r="BM27" s="11">
        <v>0.0</v>
      </c>
      <c r="BN27" s="11"/>
      <c r="BO27" s="11" t="s">
        <v>525</v>
      </c>
      <c r="BP27" s="11"/>
      <c r="BQ27" s="11"/>
      <c r="BR27" s="11"/>
      <c r="BS27" s="11"/>
      <c r="BT27" s="11"/>
      <c r="BU27" s="11"/>
      <c r="BV27" s="11" t="s">
        <v>533</v>
      </c>
      <c r="BW27" s="11">
        <v>7.106</v>
      </c>
      <c r="BX27" s="11">
        <v>12.1</v>
      </c>
      <c r="BY27" s="11">
        <v>0.926</v>
      </c>
      <c r="BZ27" s="11"/>
      <c r="CA27" s="11"/>
      <c r="CB27" s="11" t="s">
        <v>508</v>
      </c>
      <c r="CC27" s="11"/>
      <c r="CD27" s="11"/>
      <c r="CE27" s="11"/>
      <c r="CF27" s="11"/>
      <c r="CG27" s="11" t="s">
        <v>534</v>
      </c>
      <c r="CH27" s="11"/>
      <c r="CI27" s="11">
        <v>303.93257</v>
      </c>
      <c r="CJ27" s="11">
        <v>149.71005</v>
      </c>
      <c r="CK27" s="11"/>
      <c r="CL27" s="40" t="s">
        <v>508</v>
      </c>
      <c r="CM27" s="40"/>
      <c r="CN27" s="40"/>
      <c r="CO27" s="40"/>
      <c r="CP27" s="40" t="s">
        <v>525</v>
      </c>
      <c r="CQ27" s="40"/>
      <c r="CR27" s="40"/>
      <c r="CS27" s="40"/>
      <c r="CT27" s="40"/>
      <c r="CU27" s="40"/>
      <c r="CV27" s="11"/>
      <c r="CW27" s="11"/>
      <c r="CX27" s="11"/>
      <c r="CY27" s="11"/>
      <c r="CZ27" s="11"/>
    </row>
    <row r="28" ht="15.75" customHeight="1">
      <c r="A28" s="11" t="s">
        <v>535</v>
      </c>
      <c r="B28" s="11">
        <v>0.0</v>
      </c>
      <c r="C28" s="11">
        <v>13.44</v>
      </c>
      <c r="D28" s="11">
        <v>615.944</v>
      </c>
      <c r="E28" s="11">
        <v>0.0</v>
      </c>
      <c r="F28" s="11">
        <v>0.0</v>
      </c>
      <c r="G28" s="11">
        <v>3364.291</v>
      </c>
      <c r="H28" s="11"/>
      <c r="I28" s="11" t="s">
        <v>507</v>
      </c>
      <c r="J28" s="11"/>
      <c r="K28" s="11">
        <v>224911.0</v>
      </c>
      <c r="L28" s="11">
        <v>204926.0</v>
      </c>
      <c r="M28" s="11"/>
      <c r="N28" s="11"/>
      <c r="O28" s="11"/>
      <c r="P28" s="11"/>
      <c r="Q28" s="11" t="s">
        <v>536</v>
      </c>
      <c r="R28" s="11">
        <v>15679.0</v>
      </c>
      <c r="S28" s="11">
        <v>14806.0</v>
      </c>
      <c r="T28" s="11">
        <v>17314.2</v>
      </c>
      <c r="U28" s="11">
        <v>25084.24</v>
      </c>
      <c r="V28" s="11">
        <v>28476.013</v>
      </c>
      <c r="W28" s="11"/>
      <c r="X28" s="11"/>
      <c r="Y28" s="11" t="s">
        <v>240</v>
      </c>
      <c r="Z28" s="53">
        <v>2019.0</v>
      </c>
      <c r="AA28" s="53">
        <v>2020.0</v>
      </c>
      <c r="AB28" s="53">
        <v>2021.0</v>
      </c>
      <c r="AC28" s="53">
        <v>2022.0</v>
      </c>
      <c r="AD28" s="53">
        <v>2023.0</v>
      </c>
      <c r="AE28" s="53">
        <v>2024.0</v>
      </c>
      <c r="AF28" s="11"/>
      <c r="AG28" s="11" t="s">
        <v>237</v>
      </c>
      <c r="AH28" s="53">
        <v>2019.0</v>
      </c>
      <c r="AI28" s="53">
        <v>2020.0</v>
      </c>
      <c r="AJ28" s="53">
        <v>2021.0</v>
      </c>
      <c r="AK28" s="53">
        <v>2022.0</v>
      </c>
      <c r="AL28" s="53">
        <v>2023.0</v>
      </c>
      <c r="AM28" s="53">
        <v>2024.0</v>
      </c>
      <c r="AN28" s="11"/>
      <c r="AO28" s="11" t="s">
        <v>525</v>
      </c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40" t="s">
        <v>527</v>
      </c>
      <c r="BF28" s="11"/>
      <c r="BG28" s="11"/>
      <c r="BH28" s="11"/>
      <c r="BI28" s="11"/>
      <c r="BJ28" s="11"/>
      <c r="BK28" s="11"/>
      <c r="BL28" s="11"/>
      <c r="BM28" s="11"/>
      <c r="BN28" s="11"/>
      <c r="BO28" s="11" t="s">
        <v>527</v>
      </c>
      <c r="BP28" s="11"/>
      <c r="BQ28" s="11"/>
      <c r="BR28" s="11"/>
      <c r="BS28" s="11"/>
      <c r="BT28" s="11"/>
      <c r="BU28" s="11"/>
      <c r="BV28" s="11" t="s">
        <v>490</v>
      </c>
      <c r="BW28" s="11">
        <v>4.814</v>
      </c>
      <c r="BX28" s="11">
        <v>8.816</v>
      </c>
      <c r="BY28" s="11">
        <v>8.731</v>
      </c>
      <c r="BZ28" s="11"/>
      <c r="CA28" s="11"/>
      <c r="CB28" s="11" t="s">
        <v>514</v>
      </c>
      <c r="CC28" s="11"/>
      <c r="CD28" s="11"/>
      <c r="CE28" s="11"/>
      <c r="CF28" s="11"/>
      <c r="CG28" s="11" t="s">
        <v>537</v>
      </c>
      <c r="CH28" s="11"/>
      <c r="CI28" s="11">
        <v>304.4828</v>
      </c>
      <c r="CJ28" s="11">
        <v>477.23184</v>
      </c>
      <c r="CK28" s="11"/>
      <c r="CL28" s="40" t="s">
        <v>514</v>
      </c>
      <c r="CM28" s="40"/>
      <c r="CN28" s="40"/>
      <c r="CO28" s="40"/>
      <c r="CP28" s="40" t="s">
        <v>527</v>
      </c>
      <c r="CQ28" s="40"/>
      <c r="CR28" s="40"/>
      <c r="CS28" s="40"/>
      <c r="CT28" s="40"/>
      <c r="CU28" s="40"/>
      <c r="CV28" s="11"/>
      <c r="CW28" s="11"/>
      <c r="CX28" s="11"/>
      <c r="CY28" s="11"/>
      <c r="CZ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 t="s">
        <v>455</v>
      </c>
      <c r="J29" s="11"/>
      <c r="K29" s="11"/>
      <c r="L29" s="11"/>
      <c r="M29" s="11">
        <v>475765.905</v>
      </c>
      <c r="N29" s="11">
        <v>556123.836</v>
      </c>
      <c r="O29" s="11">
        <v>409288.497</v>
      </c>
      <c r="P29" s="11"/>
      <c r="Q29" s="11" t="s">
        <v>538</v>
      </c>
      <c r="R29" s="11"/>
      <c r="S29" s="11"/>
      <c r="T29" s="11"/>
      <c r="U29" s="11"/>
      <c r="V29" s="11"/>
      <c r="W29" s="11">
        <v>3367.782</v>
      </c>
      <c r="X29" s="11"/>
      <c r="Y29" s="11" t="s">
        <v>539</v>
      </c>
      <c r="Z29" s="11"/>
      <c r="AA29" s="11"/>
      <c r="AB29" s="11"/>
      <c r="AC29" s="11"/>
      <c r="AD29" s="11"/>
      <c r="AE29" s="11">
        <v>3178.024</v>
      </c>
      <c r="AF29" s="11"/>
      <c r="AG29" s="11" t="s">
        <v>540</v>
      </c>
      <c r="AH29" s="11"/>
      <c r="AI29" s="11"/>
      <c r="AJ29" s="11"/>
      <c r="AK29" s="11"/>
      <c r="AL29" s="11">
        <v>18.185</v>
      </c>
      <c r="AM29" s="11"/>
      <c r="AN29" s="11"/>
      <c r="AO29" s="11" t="s">
        <v>527</v>
      </c>
      <c r="AP29" s="11"/>
      <c r="AQ29" s="11"/>
      <c r="AR29" s="11"/>
      <c r="AS29" s="11"/>
      <c r="AT29" s="11" t="s">
        <v>397</v>
      </c>
      <c r="AU29" s="11"/>
      <c r="AV29" s="11"/>
      <c r="AW29" s="11"/>
      <c r="AX29" s="11"/>
      <c r="AY29" s="11" t="s">
        <v>421</v>
      </c>
      <c r="AZ29" s="53">
        <v>0.0</v>
      </c>
      <c r="BA29" s="53">
        <v>0.0</v>
      </c>
      <c r="BB29" s="53">
        <v>0.0</v>
      </c>
      <c r="BC29" s="53">
        <v>0.0</v>
      </c>
      <c r="BD29" s="11"/>
      <c r="BE29" s="40" t="s">
        <v>530</v>
      </c>
      <c r="BF29" s="11"/>
      <c r="BG29" s="11"/>
      <c r="BH29" s="11"/>
      <c r="BI29" s="11"/>
      <c r="BJ29" s="11" t="s">
        <v>397</v>
      </c>
      <c r="BK29" s="11"/>
      <c r="BL29" s="11"/>
      <c r="BM29" s="11"/>
      <c r="BN29" s="11"/>
      <c r="BO29" s="11" t="s">
        <v>530</v>
      </c>
      <c r="BP29" s="11"/>
      <c r="BQ29" s="11"/>
      <c r="BR29" s="11"/>
      <c r="BS29" s="11"/>
      <c r="BT29" s="11"/>
      <c r="BU29" s="11"/>
      <c r="BV29" s="11" t="s">
        <v>541</v>
      </c>
      <c r="BW29" s="11"/>
      <c r="BX29" s="11"/>
      <c r="BY29" s="11"/>
      <c r="BZ29" s="11"/>
      <c r="CA29" s="11"/>
      <c r="CB29" s="11" t="s">
        <v>521</v>
      </c>
      <c r="CC29" s="11"/>
      <c r="CD29" s="11"/>
      <c r="CE29" s="11"/>
      <c r="CF29" s="11"/>
      <c r="CG29" s="11" t="s">
        <v>542</v>
      </c>
      <c r="CH29" s="11"/>
      <c r="CI29" s="11"/>
      <c r="CJ29" s="11">
        <v>35.4187</v>
      </c>
      <c r="CK29" s="11"/>
      <c r="CL29" s="40" t="s">
        <v>521</v>
      </c>
      <c r="CM29" s="40"/>
      <c r="CN29" s="40"/>
      <c r="CO29" s="40"/>
      <c r="CP29" s="40" t="s">
        <v>530</v>
      </c>
      <c r="CQ29" s="40"/>
      <c r="CR29" s="40"/>
      <c r="CS29" s="40"/>
      <c r="CT29" s="40"/>
      <c r="CU29" s="40"/>
      <c r="CV29" s="11"/>
      <c r="CW29" s="11"/>
      <c r="CX29" s="11"/>
      <c r="CY29" s="11"/>
      <c r="CZ29" s="11"/>
    </row>
    <row r="30" ht="15.75" customHeight="1">
      <c r="A30" s="11" t="s">
        <v>270</v>
      </c>
      <c r="B30" s="53">
        <v>2019.0</v>
      </c>
      <c r="C30" s="53">
        <v>2020.0</v>
      </c>
      <c r="D30" s="53">
        <v>2021.0</v>
      </c>
      <c r="E30" s="53">
        <v>2022.0</v>
      </c>
      <c r="F30" s="53">
        <v>2023.0</v>
      </c>
      <c r="G30" s="53">
        <v>2024.0</v>
      </c>
      <c r="H30" s="11"/>
      <c r="I30" s="11" t="s">
        <v>469</v>
      </c>
      <c r="J30" s="11">
        <v>0.0</v>
      </c>
      <c r="K30" s="11">
        <v>224911.0</v>
      </c>
      <c r="L30" s="11">
        <v>204926.0</v>
      </c>
      <c r="M30" s="11">
        <v>475765.905</v>
      </c>
      <c r="N30" s="11">
        <v>556123.836</v>
      </c>
      <c r="O30" s="11">
        <v>409288.497</v>
      </c>
      <c r="P30" s="11"/>
      <c r="Q30" s="11" t="s">
        <v>543</v>
      </c>
      <c r="R30" s="11"/>
      <c r="S30" s="11"/>
      <c r="T30" s="11"/>
      <c r="U30" s="11"/>
      <c r="V30" s="11"/>
      <c r="W30" s="11">
        <v>1770.299</v>
      </c>
      <c r="X30" s="11"/>
      <c r="Y30" s="11" t="s">
        <v>544</v>
      </c>
      <c r="Z30" s="11">
        <v>0.0</v>
      </c>
      <c r="AA30" s="11">
        <v>0.0</v>
      </c>
      <c r="AB30" s="11">
        <v>0.0</v>
      </c>
      <c r="AC30" s="11">
        <v>0.0</v>
      </c>
      <c r="AD30" s="11">
        <v>0.0</v>
      </c>
      <c r="AE30" s="11">
        <v>3178.024</v>
      </c>
      <c r="AF30" s="11"/>
      <c r="AG30" s="11" t="s">
        <v>545</v>
      </c>
      <c r="AH30" s="11"/>
      <c r="AI30" s="11"/>
      <c r="AJ30" s="11"/>
      <c r="AK30" s="11">
        <v>1781.202</v>
      </c>
      <c r="AL30" s="11">
        <v>1983.43</v>
      </c>
      <c r="AM30" s="11">
        <v>2279.828</v>
      </c>
      <c r="AN30" s="11"/>
      <c r="AO30" s="11" t="s">
        <v>530</v>
      </c>
      <c r="AP30" s="11"/>
      <c r="AQ30" s="11"/>
      <c r="AR30" s="11"/>
      <c r="AS30" s="11"/>
      <c r="AT30" s="11" t="s">
        <v>546</v>
      </c>
      <c r="AU30" s="53">
        <v>0.0</v>
      </c>
      <c r="AV30" s="53">
        <v>0.0</v>
      </c>
      <c r="AW30" s="53">
        <v>0.0</v>
      </c>
      <c r="AX30" s="11"/>
      <c r="AY30" s="11" t="s">
        <v>547</v>
      </c>
      <c r="AZ30" s="11">
        <v>17143.7758</v>
      </c>
      <c r="BA30" s="11">
        <v>19070.06977</v>
      </c>
      <c r="BB30" s="11">
        <v>24998.00667</v>
      </c>
      <c r="BC30" s="11">
        <v>17518.26561</v>
      </c>
      <c r="BD30" s="11"/>
      <c r="BE30" s="40" t="s">
        <v>411</v>
      </c>
      <c r="BF30" s="11">
        <v>0.0</v>
      </c>
      <c r="BG30" s="11">
        <v>0.0</v>
      </c>
      <c r="BH30" s="11">
        <v>0.0</v>
      </c>
      <c r="BI30" s="11"/>
      <c r="BJ30" s="11" t="s">
        <v>546</v>
      </c>
      <c r="BK30" s="53">
        <v>0.0</v>
      </c>
      <c r="BL30" s="53">
        <v>0.0</v>
      </c>
      <c r="BM30" s="53">
        <v>0.0</v>
      </c>
      <c r="BN30" s="11"/>
      <c r="BO30" s="11" t="s">
        <v>411</v>
      </c>
      <c r="BP30" s="11">
        <v>0.0</v>
      </c>
      <c r="BQ30" s="11">
        <v>0.0</v>
      </c>
      <c r="BR30" s="11">
        <v>0.0</v>
      </c>
      <c r="BS30" s="11">
        <v>0.0</v>
      </c>
      <c r="BT30" s="11">
        <v>0.0</v>
      </c>
      <c r="BU30" s="11"/>
      <c r="BV30" s="11" t="s">
        <v>548</v>
      </c>
      <c r="BW30" s="11"/>
      <c r="BX30" s="11"/>
      <c r="BY30" s="11"/>
      <c r="BZ30" s="11">
        <v>2337.766</v>
      </c>
      <c r="CA30" s="11"/>
      <c r="CB30" s="11" t="s">
        <v>525</v>
      </c>
      <c r="CC30" s="11"/>
      <c r="CD30" s="11"/>
      <c r="CE30" s="11"/>
      <c r="CF30" s="11"/>
      <c r="CG30" s="11" t="s">
        <v>549</v>
      </c>
      <c r="CH30" s="11"/>
      <c r="CI30" s="11">
        <v>166.77</v>
      </c>
      <c r="CJ30" s="11"/>
      <c r="CK30" s="11"/>
      <c r="CL30" s="40" t="s">
        <v>525</v>
      </c>
      <c r="CM30" s="40"/>
      <c r="CN30" s="40"/>
      <c r="CO30" s="40"/>
      <c r="CP30" s="40" t="s">
        <v>411</v>
      </c>
      <c r="CQ30" s="43">
        <v>0.0</v>
      </c>
      <c r="CR30" s="43">
        <v>0.0</v>
      </c>
      <c r="CS30" s="43">
        <v>0.0</v>
      </c>
      <c r="CT30" s="43">
        <v>0.0</v>
      </c>
      <c r="CU30" s="43">
        <v>0.0</v>
      </c>
      <c r="CV30" s="11"/>
      <c r="CW30" s="11"/>
      <c r="CX30" s="11"/>
      <c r="CY30" s="11"/>
      <c r="CZ30" s="11"/>
    </row>
    <row r="31" ht="15.75" customHeight="1">
      <c r="A31" s="11" t="s">
        <v>270</v>
      </c>
      <c r="B31" s="11"/>
      <c r="C31" s="11">
        <v>2944.895</v>
      </c>
      <c r="D31" s="11">
        <v>9056.64</v>
      </c>
      <c r="E31" s="11">
        <v>4863.318</v>
      </c>
      <c r="F31" s="11">
        <v>12874.545</v>
      </c>
      <c r="G31" s="11">
        <v>32998.625</v>
      </c>
      <c r="H31" s="11"/>
      <c r="I31" s="11"/>
      <c r="J31" s="11"/>
      <c r="K31" s="11"/>
      <c r="L31" s="11"/>
      <c r="M31" s="11"/>
      <c r="N31" s="11"/>
      <c r="O31" s="11"/>
      <c r="P31" s="11"/>
      <c r="Q31" s="11" t="s">
        <v>550</v>
      </c>
      <c r="R31" s="11"/>
      <c r="S31" s="11"/>
      <c r="T31" s="11"/>
      <c r="U31" s="11"/>
      <c r="V31" s="11"/>
      <c r="W31" s="11">
        <v>1105.103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 t="s">
        <v>551</v>
      </c>
      <c r="AH31" s="11"/>
      <c r="AI31" s="11"/>
      <c r="AJ31" s="11"/>
      <c r="AK31" s="11">
        <v>9789.0</v>
      </c>
      <c r="AL31" s="11">
        <v>1040.017</v>
      </c>
      <c r="AM31" s="11">
        <v>442.489</v>
      </c>
      <c r="AN31" s="11"/>
      <c r="AO31" s="11" t="s">
        <v>411</v>
      </c>
      <c r="AP31" s="11">
        <v>0.0</v>
      </c>
      <c r="AQ31" s="11">
        <v>0.0</v>
      </c>
      <c r="AR31" s="11">
        <v>0.0</v>
      </c>
      <c r="AS31" s="11"/>
      <c r="AT31" s="11" t="s">
        <v>411</v>
      </c>
      <c r="AU31" s="11">
        <v>0.0</v>
      </c>
      <c r="AV31" s="11">
        <v>0.0</v>
      </c>
      <c r="AW31" s="11">
        <v>0.0</v>
      </c>
      <c r="AX31" s="11"/>
      <c r="AY31" s="11" t="s">
        <v>552</v>
      </c>
      <c r="AZ31" s="11">
        <v>1639.4319</v>
      </c>
      <c r="BA31" s="11"/>
      <c r="BB31" s="11"/>
      <c r="BC31" s="11"/>
      <c r="BD31" s="11"/>
      <c r="BE31" s="40"/>
      <c r="BF31" s="11"/>
      <c r="BG31" s="11"/>
      <c r="BH31" s="11"/>
      <c r="BI31" s="11"/>
      <c r="BJ31" s="11" t="s">
        <v>553</v>
      </c>
      <c r="BK31" s="11">
        <v>10953.847</v>
      </c>
      <c r="BL31" s="11">
        <v>10918.693</v>
      </c>
      <c r="BM31" s="11">
        <v>10750.219</v>
      </c>
      <c r="BN31" s="11"/>
      <c r="BO31" s="11"/>
      <c r="BP31" s="11"/>
      <c r="BQ31" s="11"/>
      <c r="BR31" s="11"/>
      <c r="BS31" s="11"/>
      <c r="BT31" s="11"/>
      <c r="BU31" s="11"/>
      <c r="BV31" s="11" t="s">
        <v>411</v>
      </c>
      <c r="BW31" s="11">
        <v>1303.768</v>
      </c>
      <c r="BX31" s="11">
        <v>2309.794999999999</v>
      </c>
      <c r="BY31" s="11">
        <v>20734.921</v>
      </c>
      <c r="BZ31" s="11">
        <v>2337.766</v>
      </c>
      <c r="CA31" s="11"/>
      <c r="CB31" s="11" t="s">
        <v>527</v>
      </c>
      <c r="CC31" s="11"/>
      <c r="CD31" s="11"/>
      <c r="CE31" s="11"/>
      <c r="CF31" s="11"/>
      <c r="CG31" s="11" t="s">
        <v>554</v>
      </c>
      <c r="CH31" s="11">
        <v>274.42144</v>
      </c>
      <c r="CI31" s="11"/>
      <c r="CJ31" s="11"/>
      <c r="CK31" s="11"/>
      <c r="CL31" s="40" t="s">
        <v>527</v>
      </c>
      <c r="CM31" s="40"/>
      <c r="CN31" s="40"/>
      <c r="CO31" s="40"/>
      <c r="CP31" s="40"/>
      <c r="CQ31" s="40"/>
      <c r="CR31" s="40"/>
      <c r="CS31" s="40"/>
      <c r="CT31" s="40"/>
      <c r="CU31" s="40"/>
      <c r="CV31" s="11"/>
      <c r="CW31" s="11"/>
      <c r="CX31" s="11"/>
      <c r="CY31" s="11"/>
      <c r="CZ31" s="11"/>
    </row>
    <row r="32" ht="15.75" customHeight="1">
      <c r="A32" s="11" t="s">
        <v>555</v>
      </c>
      <c r="B32" s="11">
        <v>0.0</v>
      </c>
      <c r="C32" s="11">
        <v>2944.895</v>
      </c>
      <c r="D32" s="11">
        <v>9056.64</v>
      </c>
      <c r="E32" s="11">
        <v>4863.318</v>
      </c>
      <c r="F32" s="11">
        <v>12874.545</v>
      </c>
      <c r="G32" s="11">
        <v>32998.625</v>
      </c>
      <c r="H32" s="11"/>
      <c r="I32" s="11" t="s">
        <v>237</v>
      </c>
      <c r="J32" s="53">
        <v>2019.0</v>
      </c>
      <c r="K32" s="53">
        <v>2020.0</v>
      </c>
      <c r="L32" s="53">
        <v>2021.0</v>
      </c>
      <c r="M32" s="53">
        <v>2022.0</v>
      </c>
      <c r="N32" s="53">
        <v>2023.0</v>
      </c>
      <c r="O32" s="53">
        <v>2024.0</v>
      </c>
      <c r="P32" s="11"/>
      <c r="Q32" s="11" t="s">
        <v>556</v>
      </c>
      <c r="R32" s="11"/>
      <c r="S32" s="11"/>
      <c r="T32" s="11"/>
      <c r="U32" s="11"/>
      <c r="V32" s="11"/>
      <c r="W32" s="11">
        <v>1957.615</v>
      </c>
      <c r="X32" s="11"/>
      <c r="Y32" s="11" t="s">
        <v>92</v>
      </c>
      <c r="Z32" s="53">
        <v>2019.0</v>
      </c>
      <c r="AA32" s="53">
        <v>2020.0</v>
      </c>
      <c r="AB32" s="53">
        <v>2021.0</v>
      </c>
      <c r="AC32" s="53">
        <v>2022.0</v>
      </c>
      <c r="AD32" s="53">
        <v>2023.0</v>
      </c>
      <c r="AE32" s="53">
        <v>2024.0</v>
      </c>
      <c r="AF32" s="11"/>
      <c r="AG32" s="11" t="s">
        <v>529</v>
      </c>
      <c r="AH32" s="11">
        <v>0.0</v>
      </c>
      <c r="AI32" s="11">
        <v>0.0</v>
      </c>
      <c r="AJ32" s="11">
        <v>0.0</v>
      </c>
      <c r="AK32" s="11">
        <v>11570.202</v>
      </c>
      <c r="AL32" s="11">
        <v>3041.632</v>
      </c>
      <c r="AM32" s="11">
        <v>2722.317</v>
      </c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 t="s">
        <v>411</v>
      </c>
      <c r="AZ32" s="11">
        <v>18783.2077</v>
      </c>
      <c r="BA32" s="11">
        <v>19070.06977</v>
      </c>
      <c r="BB32" s="11">
        <v>24998.00667</v>
      </c>
      <c r="BC32" s="11">
        <v>17518.26561</v>
      </c>
      <c r="BD32" s="11"/>
      <c r="BE32" s="40" t="s">
        <v>397</v>
      </c>
      <c r="BF32" s="11"/>
      <c r="BG32" s="11"/>
      <c r="BH32" s="11"/>
      <c r="BI32" s="11"/>
      <c r="BJ32" s="11" t="s">
        <v>557</v>
      </c>
      <c r="BK32" s="11">
        <v>2529.348</v>
      </c>
      <c r="BL32" s="11">
        <v>2529.348</v>
      </c>
      <c r="BM32" s="11">
        <v>2529.348</v>
      </c>
      <c r="BN32" s="11"/>
      <c r="BO32" s="11" t="s">
        <v>397</v>
      </c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 t="s">
        <v>530</v>
      </c>
      <c r="CC32" s="11"/>
      <c r="CD32" s="11"/>
      <c r="CE32" s="11"/>
      <c r="CF32" s="11"/>
      <c r="CG32" s="11" t="s">
        <v>558</v>
      </c>
      <c r="CH32" s="11">
        <v>252.3103</v>
      </c>
      <c r="CI32" s="11"/>
      <c r="CJ32" s="11"/>
      <c r="CK32" s="11"/>
      <c r="CL32" s="40" t="s">
        <v>530</v>
      </c>
      <c r="CM32" s="40"/>
      <c r="CN32" s="40"/>
      <c r="CO32" s="40"/>
      <c r="CP32" s="40" t="s">
        <v>397</v>
      </c>
      <c r="CQ32" s="40"/>
      <c r="CR32" s="40"/>
      <c r="CS32" s="40"/>
      <c r="CT32" s="40"/>
      <c r="CU32" s="40"/>
      <c r="CV32" s="11"/>
      <c r="CW32" s="11"/>
      <c r="CX32" s="11"/>
      <c r="CY32" s="11"/>
      <c r="C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 t="s">
        <v>559</v>
      </c>
      <c r="J33" s="11"/>
      <c r="K33" s="11">
        <v>30852.0</v>
      </c>
      <c r="L33" s="11">
        <v>30714.0</v>
      </c>
      <c r="M33" s="11"/>
      <c r="N33" s="11"/>
      <c r="O33" s="11"/>
      <c r="P33" s="11"/>
      <c r="Q33" s="11" t="s">
        <v>560</v>
      </c>
      <c r="R33" s="11"/>
      <c r="S33" s="11"/>
      <c r="T33" s="11"/>
      <c r="U33" s="11"/>
      <c r="V33" s="11"/>
      <c r="W33" s="11">
        <v>1244.77</v>
      </c>
      <c r="X33" s="11"/>
      <c r="Y33" s="11" t="s">
        <v>561</v>
      </c>
      <c r="Z33" s="11"/>
      <c r="AA33" s="11"/>
      <c r="AB33" s="11"/>
      <c r="AC33" s="11">
        <v>2275.958</v>
      </c>
      <c r="AD33" s="11">
        <v>2412.788</v>
      </c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 t="s">
        <v>397</v>
      </c>
      <c r="AP33" s="11"/>
      <c r="AQ33" s="11"/>
      <c r="AR33" s="11"/>
      <c r="AS33" s="11"/>
      <c r="AT33" s="11" t="s">
        <v>397</v>
      </c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40" t="s">
        <v>546</v>
      </c>
      <c r="BF33" s="53">
        <v>0.0</v>
      </c>
      <c r="BG33" s="53">
        <v>0.0</v>
      </c>
      <c r="BH33" s="53">
        <v>0.0</v>
      </c>
      <c r="BI33" s="11"/>
      <c r="BJ33" s="11" t="s">
        <v>411</v>
      </c>
      <c r="BK33" s="11">
        <v>13483.195</v>
      </c>
      <c r="BL33" s="11">
        <v>13448.041</v>
      </c>
      <c r="BM33" s="11">
        <v>13279.567</v>
      </c>
      <c r="BN33" s="11"/>
      <c r="BO33" s="11" t="s">
        <v>546</v>
      </c>
      <c r="BP33" s="53">
        <v>0.0</v>
      </c>
      <c r="BQ33" s="53">
        <v>0.0</v>
      </c>
      <c r="BR33" s="53">
        <v>0.0</v>
      </c>
      <c r="BS33" s="53">
        <v>0.0</v>
      </c>
      <c r="BT33" s="53">
        <v>0.0</v>
      </c>
      <c r="BU33" s="11"/>
      <c r="BV33" s="11" t="s">
        <v>231</v>
      </c>
      <c r="BW33" s="53">
        <v>0.0</v>
      </c>
      <c r="BX33" s="53">
        <v>0.0</v>
      </c>
      <c r="BY33" s="53">
        <v>0.0</v>
      </c>
      <c r="BZ33" s="53">
        <v>0.0</v>
      </c>
      <c r="CA33" s="11"/>
      <c r="CB33" s="11" t="s">
        <v>411</v>
      </c>
      <c r="CC33" s="11">
        <v>0.0</v>
      </c>
      <c r="CD33" s="11">
        <v>0.0</v>
      </c>
      <c r="CE33" s="11">
        <v>0.0</v>
      </c>
      <c r="CF33" s="11"/>
      <c r="CG33" s="11" t="s">
        <v>562</v>
      </c>
      <c r="CH33" s="11">
        <v>220.91217</v>
      </c>
      <c r="CI33" s="11"/>
      <c r="CJ33" s="11"/>
      <c r="CK33" s="11"/>
      <c r="CL33" s="40" t="s">
        <v>411</v>
      </c>
      <c r="CM33" s="43">
        <v>0.0</v>
      </c>
      <c r="CN33" s="43">
        <v>0.0</v>
      </c>
      <c r="CO33" s="40"/>
      <c r="CP33" s="40" t="s">
        <v>546</v>
      </c>
      <c r="CQ33" s="46" t="s">
        <v>17</v>
      </c>
      <c r="CR33" s="46" t="s">
        <v>18</v>
      </c>
      <c r="CS33" s="46" t="s">
        <v>19</v>
      </c>
      <c r="CT33" s="46" t="s">
        <v>20</v>
      </c>
      <c r="CU33" s="46" t="s">
        <v>21</v>
      </c>
      <c r="CV33" s="11"/>
      <c r="CW33" s="11"/>
      <c r="CX33" s="11"/>
      <c r="CY33" s="11"/>
      <c r="CZ33" s="11"/>
    </row>
    <row r="34" ht="15.75" customHeight="1">
      <c r="A34" s="11" t="s">
        <v>563</v>
      </c>
      <c r="B34" s="53">
        <v>2019.0</v>
      </c>
      <c r="C34" s="53">
        <v>2020.0</v>
      </c>
      <c r="D34" s="53">
        <v>2021.0</v>
      </c>
      <c r="E34" s="53">
        <v>2022.0</v>
      </c>
      <c r="F34" s="53">
        <v>2023.0</v>
      </c>
      <c r="G34" s="53">
        <v>2024.0</v>
      </c>
      <c r="H34" s="11"/>
      <c r="I34" s="11" t="s">
        <v>540</v>
      </c>
      <c r="J34" s="11"/>
      <c r="K34" s="11">
        <v>11350.0</v>
      </c>
      <c r="L34" s="11">
        <v>12047.0</v>
      </c>
      <c r="M34" s="11"/>
      <c r="N34" s="11"/>
      <c r="O34" s="11"/>
      <c r="P34" s="11"/>
      <c r="Q34" s="11" t="s">
        <v>564</v>
      </c>
      <c r="R34" s="11"/>
      <c r="S34" s="11"/>
      <c r="T34" s="11"/>
      <c r="U34" s="11"/>
      <c r="V34" s="11"/>
      <c r="W34" s="11">
        <v>1105.695</v>
      </c>
      <c r="X34" s="11"/>
      <c r="Y34" s="11" t="s">
        <v>92</v>
      </c>
      <c r="Z34" s="11"/>
      <c r="AA34" s="11"/>
      <c r="AB34" s="11">
        <v>3481.167</v>
      </c>
      <c r="AC34" s="11"/>
      <c r="AD34" s="11"/>
      <c r="AE34" s="11">
        <v>5320.602</v>
      </c>
      <c r="AF34" s="11"/>
      <c r="AG34" s="11" t="s">
        <v>92</v>
      </c>
      <c r="AH34" s="53">
        <v>2019.0</v>
      </c>
      <c r="AI34" s="53">
        <v>2020.0</v>
      </c>
      <c r="AJ34" s="53">
        <v>2021.0</v>
      </c>
      <c r="AK34" s="53">
        <v>2022.0</v>
      </c>
      <c r="AL34" s="53">
        <v>2023.0</v>
      </c>
      <c r="AM34" s="53">
        <v>2024.0</v>
      </c>
      <c r="AN34" s="11"/>
      <c r="AO34" s="11" t="s">
        <v>546</v>
      </c>
      <c r="AP34" s="53">
        <v>0.0</v>
      </c>
      <c r="AQ34" s="53">
        <v>0.0</v>
      </c>
      <c r="AR34" s="53">
        <v>0.0</v>
      </c>
      <c r="AS34" s="11"/>
      <c r="AT34" s="11" t="s">
        <v>486</v>
      </c>
      <c r="AU34" s="53">
        <v>0.0</v>
      </c>
      <c r="AV34" s="53">
        <v>0.0</v>
      </c>
      <c r="AW34" s="53">
        <v>0.0</v>
      </c>
      <c r="AX34" s="11"/>
      <c r="AY34" s="11" t="s">
        <v>397</v>
      </c>
      <c r="AZ34" s="11"/>
      <c r="BA34" s="11"/>
      <c r="BB34" s="11"/>
      <c r="BC34" s="11"/>
      <c r="BD34" s="11"/>
      <c r="BE34" s="40" t="s">
        <v>411</v>
      </c>
      <c r="BF34" s="11">
        <v>0.0</v>
      </c>
      <c r="BG34" s="11">
        <v>0.0</v>
      </c>
      <c r="BH34" s="11">
        <v>0.0</v>
      </c>
      <c r="BI34" s="11"/>
      <c r="BJ34" s="11"/>
      <c r="BK34" s="11"/>
      <c r="BL34" s="11"/>
      <c r="BM34" s="11"/>
      <c r="BN34" s="11"/>
      <c r="BO34" s="11" t="s">
        <v>565</v>
      </c>
      <c r="BP34" s="11"/>
      <c r="BQ34" s="11">
        <v>18615.14897</v>
      </c>
      <c r="BR34" s="11">
        <v>23072.72282</v>
      </c>
      <c r="BS34" s="11">
        <v>17543.46353</v>
      </c>
      <c r="BT34" s="11">
        <v>17543.46353</v>
      </c>
      <c r="BU34" s="11"/>
      <c r="BV34" s="11" t="s">
        <v>566</v>
      </c>
      <c r="BW34" s="11">
        <v>43662.728</v>
      </c>
      <c r="BX34" s="11">
        <v>28013.851</v>
      </c>
      <c r="BY34" s="11">
        <v>21010.588</v>
      </c>
      <c r="BZ34" s="11"/>
      <c r="CA34" s="11"/>
      <c r="CB34" s="11"/>
      <c r="CC34" s="11"/>
      <c r="CD34" s="11"/>
      <c r="CE34" s="11"/>
      <c r="CF34" s="11"/>
      <c r="CG34" s="11" t="s">
        <v>567</v>
      </c>
      <c r="CH34" s="11">
        <v>208.24338</v>
      </c>
      <c r="CI34" s="11"/>
      <c r="CJ34" s="11"/>
      <c r="CK34" s="11"/>
      <c r="CL34" s="40"/>
      <c r="CM34" s="40"/>
      <c r="CN34" s="40"/>
      <c r="CO34" s="40"/>
      <c r="CP34" s="40" t="s">
        <v>568</v>
      </c>
      <c r="CQ34" s="40"/>
      <c r="CR34" s="40"/>
      <c r="CS34" s="40"/>
      <c r="CT34" s="43">
        <v>892.9099</v>
      </c>
      <c r="CU34" s="43">
        <v>892.9099</v>
      </c>
      <c r="CV34" s="11"/>
      <c r="CW34" s="11"/>
      <c r="CX34" s="11"/>
      <c r="CY34" s="11"/>
      <c r="CZ34" s="11"/>
    </row>
    <row r="35" ht="15.75" customHeight="1">
      <c r="A35" s="11" t="s">
        <v>305</v>
      </c>
      <c r="B35" s="11"/>
      <c r="C35" s="11">
        <v>40909.739</v>
      </c>
      <c r="D35" s="11">
        <v>38454.37</v>
      </c>
      <c r="E35" s="11">
        <v>38454.37</v>
      </c>
      <c r="F35" s="11">
        <v>38454.37</v>
      </c>
      <c r="G35" s="11">
        <v>40223.788</v>
      </c>
      <c r="H35" s="11"/>
      <c r="I35" s="11" t="s">
        <v>569</v>
      </c>
      <c r="J35" s="11"/>
      <c r="K35" s="11">
        <v>1603.0</v>
      </c>
      <c r="L35" s="11">
        <v>1603.0</v>
      </c>
      <c r="M35" s="11"/>
      <c r="N35" s="11"/>
      <c r="O35" s="11"/>
      <c r="P35" s="11"/>
      <c r="Q35" s="11" t="s">
        <v>570</v>
      </c>
      <c r="R35" s="11"/>
      <c r="S35" s="11"/>
      <c r="T35" s="11"/>
      <c r="U35" s="11"/>
      <c r="V35" s="11"/>
      <c r="W35" s="11">
        <v>14648.657</v>
      </c>
      <c r="X35" s="11"/>
      <c r="Y35" s="11" t="s">
        <v>571</v>
      </c>
      <c r="Z35" s="11">
        <v>0.0</v>
      </c>
      <c r="AA35" s="11">
        <v>0.0</v>
      </c>
      <c r="AB35" s="11">
        <v>3481.167</v>
      </c>
      <c r="AC35" s="11">
        <v>2275.958</v>
      </c>
      <c r="AD35" s="11">
        <v>2412.788</v>
      </c>
      <c r="AE35" s="11">
        <v>5320.602</v>
      </c>
      <c r="AF35" s="11"/>
      <c r="AG35" s="11" t="s">
        <v>561</v>
      </c>
      <c r="AH35" s="11"/>
      <c r="AI35" s="11"/>
      <c r="AJ35" s="11"/>
      <c r="AK35" s="11">
        <v>2666.773</v>
      </c>
      <c r="AL35" s="11">
        <v>0.0</v>
      </c>
      <c r="AM35" s="11"/>
      <c r="AN35" s="11"/>
      <c r="AO35" s="11" t="s">
        <v>411</v>
      </c>
      <c r="AP35" s="11">
        <v>0.0</v>
      </c>
      <c r="AQ35" s="11">
        <v>0.0</v>
      </c>
      <c r="AR35" s="11">
        <v>0.0</v>
      </c>
      <c r="AS35" s="11"/>
      <c r="AT35" s="11" t="s">
        <v>572</v>
      </c>
      <c r="AU35" s="11"/>
      <c r="AV35" s="11">
        <v>991.25011</v>
      </c>
      <c r="AW35" s="11"/>
      <c r="AX35" s="11"/>
      <c r="AY35" s="11" t="s">
        <v>472</v>
      </c>
      <c r="AZ35" s="53">
        <v>0.0</v>
      </c>
      <c r="BA35" s="53">
        <v>0.0</v>
      </c>
      <c r="BB35" s="53">
        <v>0.0</v>
      </c>
      <c r="BC35" s="53">
        <v>0.0</v>
      </c>
      <c r="BD35" s="11"/>
      <c r="BE35" s="40"/>
      <c r="BF35" s="11"/>
      <c r="BG35" s="11"/>
      <c r="BH35" s="11"/>
      <c r="BI35" s="11"/>
      <c r="BJ35" s="11" t="s">
        <v>486</v>
      </c>
      <c r="BK35" s="53">
        <v>0.0</v>
      </c>
      <c r="BL35" s="53">
        <v>0.0</v>
      </c>
      <c r="BM35" s="53">
        <v>0.0</v>
      </c>
      <c r="BN35" s="11"/>
      <c r="BO35" s="11" t="s">
        <v>411</v>
      </c>
      <c r="BP35" s="11">
        <v>0.0</v>
      </c>
      <c r="BQ35" s="11">
        <v>18615.14897</v>
      </c>
      <c r="BR35" s="11">
        <v>23072.72282</v>
      </c>
      <c r="BS35" s="11">
        <v>17543.46353</v>
      </c>
      <c r="BT35" s="11">
        <v>17543.46353</v>
      </c>
      <c r="BU35" s="11"/>
      <c r="BV35" s="11" t="s">
        <v>573</v>
      </c>
      <c r="BW35" s="11">
        <v>135507.369</v>
      </c>
      <c r="BX35" s="11">
        <v>136598.972</v>
      </c>
      <c r="BY35" s="11">
        <v>135917.352</v>
      </c>
      <c r="BZ35" s="11"/>
      <c r="CA35" s="11"/>
      <c r="CB35" s="11" t="s">
        <v>397</v>
      </c>
      <c r="CC35" s="11"/>
      <c r="CD35" s="11"/>
      <c r="CE35" s="11"/>
      <c r="CF35" s="11"/>
      <c r="CG35" s="11" t="s">
        <v>574</v>
      </c>
      <c r="CH35" s="11">
        <v>499.72136</v>
      </c>
      <c r="CI35" s="11">
        <v>220.73147</v>
      </c>
      <c r="CJ35" s="11">
        <v>313.25826</v>
      </c>
      <c r="CK35" s="11"/>
      <c r="CL35" s="40" t="s">
        <v>397</v>
      </c>
      <c r="CM35" s="40"/>
      <c r="CN35" s="40"/>
      <c r="CO35" s="40"/>
      <c r="CP35" s="40" t="s">
        <v>411</v>
      </c>
      <c r="CQ35" s="43">
        <v>0.0</v>
      </c>
      <c r="CR35" s="43">
        <v>0.0</v>
      </c>
      <c r="CS35" s="43">
        <v>0.0</v>
      </c>
      <c r="CT35" s="43">
        <v>892.9099</v>
      </c>
      <c r="CU35" s="43">
        <v>892.9099</v>
      </c>
      <c r="CV35" s="11"/>
      <c r="CW35" s="11"/>
      <c r="CX35" s="11"/>
      <c r="CY35" s="11"/>
      <c r="CZ35" s="11"/>
    </row>
    <row r="36" ht="15.75" customHeight="1">
      <c r="A36" s="11" t="s">
        <v>575</v>
      </c>
      <c r="B36" s="11">
        <v>0.0</v>
      </c>
      <c r="C36" s="11">
        <v>40909.739</v>
      </c>
      <c r="D36" s="11">
        <v>38454.37</v>
      </c>
      <c r="E36" s="11">
        <v>38454.37</v>
      </c>
      <c r="F36" s="11">
        <v>38454.37</v>
      </c>
      <c r="G36" s="11">
        <v>40223.788</v>
      </c>
      <c r="H36" s="11"/>
      <c r="I36" s="11" t="s">
        <v>576</v>
      </c>
      <c r="J36" s="11"/>
      <c r="K36" s="11">
        <v>-42202.0</v>
      </c>
      <c r="L36" s="11">
        <v>-42760.0</v>
      </c>
      <c r="M36" s="11"/>
      <c r="N36" s="11"/>
      <c r="O36" s="11"/>
      <c r="P36" s="11"/>
      <c r="Q36" s="11" t="s">
        <v>437</v>
      </c>
      <c r="R36" s="11">
        <v>15477.0</v>
      </c>
      <c r="S36" s="11">
        <v>14682.0</v>
      </c>
      <c r="T36" s="11">
        <v>17314.2</v>
      </c>
      <c r="U36" s="11">
        <v>25084.24</v>
      </c>
      <c r="V36" s="11">
        <v>28476.013</v>
      </c>
      <c r="W36" s="11">
        <v>25199.921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 t="s">
        <v>577</v>
      </c>
      <c r="AH36" s="11"/>
      <c r="AI36" s="11"/>
      <c r="AJ36" s="11"/>
      <c r="AK36" s="11">
        <v>512.876</v>
      </c>
      <c r="AL36" s="11">
        <v>0.0</v>
      </c>
      <c r="AM36" s="11"/>
      <c r="AN36" s="11"/>
      <c r="AO36" s="11"/>
      <c r="AP36" s="11"/>
      <c r="AQ36" s="11"/>
      <c r="AR36" s="11"/>
      <c r="AS36" s="11"/>
      <c r="AT36" s="11" t="s">
        <v>411</v>
      </c>
      <c r="AU36" s="11">
        <v>0.0</v>
      </c>
      <c r="AV36" s="11">
        <v>991.25011</v>
      </c>
      <c r="AW36" s="11">
        <v>0.0</v>
      </c>
      <c r="AX36" s="11"/>
      <c r="AY36" s="11" t="s">
        <v>508</v>
      </c>
      <c r="AZ36" s="11"/>
      <c r="BA36" s="11"/>
      <c r="BB36" s="11"/>
      <c r="BC36" s="11"/>
      <c r="BD36" s="11"/>
      <c r="BE36" s="40" t="s">
        <v>397</v>
      </c>
      <c r="BF36" s="11"/>
      <c r="BG36" s="11"/>
      <c r="BH36" s="11"/>
      <c r="BI36" s="11"/>
      <c r="BJ36" s="11" t="s">
        <v>578</v>
      </c>
      <c r="BK36" s="11">
        <v>1755.391</v>
      </c>
      <c r="BL36" s="11">
        <v>1137.823</v>
      </c>
      <c r="BM36" s="11">
        <v>1039.377</v>
      </c>
      <c r="BN36" s="11"/>
      <c r="BO36" s="11"/>
      <c r="BP36" s="11"/>
      <c r="BQ36" s="11"/>
      <c r="BR36" s="11"/>
      <c r="BS36" s="11"/>
      <c r="BT36" s="11"/>
      <c r="BU36" s="11"/>
      <c r="BV36" s="11" t="s">
        <v>579</v>
      </c>
      <c r="BW36" s="11">
        <v>81558.124</v>
      </c>
      <c r="BX36" s="11">
        <v>82989.949</v>
      </c>
      <c r="BY36" s="11">
        <v>48009.278</v>
      </c>
      <c r="BZ36" s="11"/>
      <c r="CA36" s="11"/>
      <c r="CB36" s="11" t="s">
        <v>546</v>
      </c>
      <c r="CC36" s="53">
        <v>0.0</v>
      </c>
      <c r="CD36" s="53">
        <v>0.0</v>
      </c>
      <c r="CE36" s="53">
        <v>0.0</v>
      </c>
      <c r="CF36" s="11"/>
      <c r="CG36" s="11" t="s">
        <v>580</v>
      </c>
      <c r="CH36" s="11">
        <v>302.684</v>
      </c>
      <c r="CI36" s="11">
        <v>556.50306</v>
      </c>
      <c r="CJ36" s="11">
        <v>615.21762</v>
      </c>
      <c r="CK36" s="11"/>
      <c r="CL36" s="40" t="s">
        <v>546</v>
      </c>
      <c r="CM36" s="46" t="s">
        <v>18</v>
      </c>
      <c r="CN36" s="46" t="s">
        <v>19</v>
      </c>
      <c r="CO36" s="40"/>
      <c r="CP36" s="40"/>
      <c r="CQ36" s="40"/>
      <c r="CR36" s="40"/>
      <c r="CS36" s="40"/>
      <c r="CT36" s="40"/>
      <c r="CU36" s="40"/>
      <c r="CV36" s="11"/>
      <c r="CW36" s="11"/>
      <c r="CX36" s="11"/>
      <c r="CY36" s="11"/>
      <c r="C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 t="s">
        <v>545</v>
      </c>
      <c r="J37" s="11"/>
      <c r="K37" s="11">
        <v>21058.0</v>
      </c>
      <c r="L37" s="11">
        <v>23207.0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 t="s">
        <v>238</v>
      </c>
      <c r="Z37" s="53">
        <v>2019.0</v>
      </c>
      <c r="AA37" s="53">
        <v>2020.0</v>
      </c>
      <c r="AB37" s="53">
        <v>2021.0</v>
      </c>
      <c r="AC37" s="53">
        <v>2022.0</v>
      </c>
      <c r="AD37" s="53">
        <v>2023.0</v>
      </c>
      <c r="AE37" s="53">
        <v>2024.0</v>
      </c>
      <c r="AF37" s="11"/>
      <c r="AG37" s="11" t="s">
        <v>92</v>
      </c>
      <c r="AH37" s="11"/>
      <c r="AI37" s="11"/>
      <c r="AJ37" s="11"/>
      <c r="AK37" s="11"/>
      <c r="AL37" s="11">
        <v>4199.378</v>
      </c>
      <c r="AM37" s="11">
        <v>2754.552</v>
      </c>
      <c r="AN37" s="11"/>
      <c r="AO37" s="11" t="s">
        <v>397</v>
      </c>
      <c r="AP37" s="11"/>
      <c r="AQ37" s="11"/>
      <c r="AR37" s="11"/>
      <c r="AS37" s="11"/>
      <c r="AT37" s="11"/>
      <c r="AU37" s="11"/>
      <c r="AV37" s="11"/>
      <c r="AW37" s="11"/>
      <c r="AX37" s="11"/>
      <c r="AY37" s="11" t="s">
        <v>514</v>
      </c>
      <c r="AZ37" s="11"/>
      <c r="BA37" s="11"/>
      <c r="BB37" s="11"/>
      <c r="BC37" s="11"/>
      <c r="BD37" s="11"/>
      <c r="BE37" s="40" t="s">
        <v>486</v>
      </c>
      <c r="BF37" s="53">
        <v>0.0</v>
      </c>
      <c r="BG37" s="53">
        <v>0.0</v>
      </c>
      <c r="BH37" s="53">
        <v>0.0</v>
      </c>
      <c r="BI37" s="11"/>
      <c r="BJ37" s="11" t="s">
        <v>581</v>
      </c>
      <c r="BK37" s="11">
        <v>394.674</v>
      </c>
      <c r="BL37" s="11">
        <v>2768.247</v>
      </c>
      <c r="BM37" s="11">
        <v>5454.753</v>
      </c>
      <c r="BN37" s="11"/>
      <c r="BO37" s="11" t="s">
        <v>397</v>
      </c>
      <c r="BP37" s="11"/>
      <c r="BQ37" s="11"/>
      <c r="BR37" s="11"/>
      <c r="BS37" s="11"/>
      <c r="BT37" s="11"/>
      <c r="BU37" s="11"/>
      <c r="BV37" s="11" t="s">
        <v>582</v>
      </c>
      <c r="BW37" s="11">
        <v>65817.194</v>
      </c>
      <c r="BX37" s="11">
        <v>67723.661</v>
      </c>
      <c r="BY37" s="11">
        <v>68393.334</v>
      </c>
      <c r="BZ37" s="11"/>
      <c r="CA37" s="11"/>
      <c r="CB37" s="11" t="s">
        <v>411</v>
      </c>
      <c r="CC37" s="11">
        <v>0.0</v>
      </c>
      <c r="CD37" s="11">
        <v>0.0</v>
      </c>
      <c r="CE37" s="11">
        <v>0.0</v>
      </c>
      <c r="CF37" s="11"/>
      <c r="CG37" s="11" t="s">
        <v>583</v>
      </c>
      <c r="CH37" s="11"/>
      <c r="CI37" s="11"/>
      <c r="CJ37" s="11">
        <v>40.0</v>
      </c>
      <c r="CK37" s="11"/>
      <c r="CL37" s="40" t="s">
        <v>411</v>
      </c>
      <c r="CM37" s="43">
        <v>0.0</v>
      </c>
      <c r="CN37" s="43">
        <v>0.0</v>
      </c>
      <c r="CO37" s="40"/>
      <c r="CP37" s="40" t="s">
        <v>397</v>
      </c>
      <c r="CQ37" s="40"/>
      <c r="CR37" s="40"/>
      <c r="CS37" s="40"/>
      <c r="CT37" s="40"/>
      <c r="CU37" s="40"/>
      <c r="CV37" s="11"/>
      <c r="CW37" s="11"/>
      <c r="CX37" s="11"/>
      <c r="CY37" s="11"/>
      <c r="CZ37" s="11"/>
    </row>
    <row r="38" ht="15.75" customHeight="1">
      <c r="A38" s="11" t="s">
        <v>284</v>
      </c>
      <c r="B38" s="53">
        <v>2019.0</v>
      </c>
      <c r="C38" s="53">
        <v>2020.0</v>
      </c>
      <c r="D38" s="53">
        <v>2021.0</v>
      </c>
      <c r="E38" s="53">
        <v>2022.0</v>
      </c>
      <c r="F38" s="53">
        <v>2023.0</v>
      </c>
      <c r="G38" s="53">
        <v>2024.0</v>
      </c>
      <c r="H38" s="11"/>
      <c r="I38" s="11" t="s">
        <v>551</v>
      </c>
      <c r="J38" s="11"/>
      <c r="K38" s="11">
        <v>6170.0</v>
      </c>
      <c r="L38" s="11">
        <v>6690.0</v>
      </c>
      <c r="M38" s="11"/>
      <c r="N38" s="11"/>
      <c r="O38" s="11"/>
      <c r="P38" s="11"/>
      <c r="Q38" s="11" t="s">
        <v>455</v>
      </c>
      <c r="R38" s="53">
        <v>2019.0</v>
      </c>
      <c r="S38" s="53">
        <v>2020.0</v>
      </c>
      <c r="T38" s="53">
        <v>2021.0</v>
      </c>
      <c r="U38" s="53">
        <v>2022.0</v>
      </c>
      <c r="V38" s="53">
        <v>2023.0</v>
      </c>
      <c r="W38" s="53">
        <v>2024.0</v>
      </c>
      <c r="X38" s="11"/>
      <c r="Y38" s="11" t="s">
        <v>584</v>
      </c>
      <c r="Z38" s="11">
        <v>0.0</v>
      </c>
      <c r="AA38" s="11">
        <v>0.0</v>
      </c>
      <c r="AB38" s="11">
        <v>0.0</v>
      </c>
      <c r="AC38" s="11">
        <v>0.0</v>
      </c>
      <c r="AD38" s="11">
        <v>0.0</v>
      </c>
      <c r="AE38" s="11">
        <v>0.0</v>
      </c>
      <c r="AF38" s="11"/>
      <c r="AG38" s="11" t="s">
        <v>571</v>
      </c>
      <c r="AH38" s="11">
        <v>0.0</v>
      </c>
      <c r="AI38" s="11">
        <v>0.0</v>
      </c>
      <c r="AJ38" s="11">
        <v>0.0</v>
      </c>
      <c r="AK38" s="11">
        <v>3179.649</v>
      </c>
      <c r="AL38" s="11">
        <v>4199.378</v>
      </c>
      <c r="AM38" s="11">
        <v>2754.552</v>
      </c>
      <c r="AN38" s="11"/>
      <c r="AO38" s="11" t="s">
        <v>486</v>
      </c>
      <c r="AP38" s="53">
        <v>0.0</v>
      </c>
      <c r="AQ38" s="53">
        <v>0.0</v>
      </c>
      <c r="AR38" s="53">
        <v>0.0</v>
      </c>
      <c r="AS38" s="11"/>
      <c r="AT38" s="11" t="s">
        <v>236</v>
      </c>
      <c r="AU38" s="53">
        <v>0.0</v>
      </c>
      <c r="AV38" s="53">
        <v>0.0</v>
      </c>
      <c r="AW38" s="53">
        <v>0.0</v>
      </c>
      <c r="AX38" s="11"/>
      <c r="AY38" s="11" t="s">
        <v>521</v>
      </c>
      <c r="AZ38" s="11"/>
      <c r="BA38" s="11"/>
      <c r="BB38" s="11"/>
      <c r="BC38" s="11"/>
      <c r="BD38" s="11"/>
      <c r="BE38" s="40" t="s">
        <v>585</v>
      </c>
      <c r="BF38" s="11">
        <v>7292.353</v>
      </c>
      <c r="BG38" s="11">
        <v>8288.133</v>
      </c>
      <c r="BH38" s="11">
        <v>8082.595</v>
      </c>
      <c r="BI38" s="11"/>
      <c r="BJ38" s="11" t="s">
        <v>586</v>
      </c>
      <c r="BK38" s="11"/>
      <c r="BL38" s="11"/>
      <c r="BM38" s="11">
        <v>567.296</v>
      </c>
      <c r="BN38" s="11"/>
      <c r="BO38" s="11" t="s">
        <v>486</v>
      </c>
      <c r="BP38" s="53">
        <v>0.0</v>
      </c>
      <c r="BQ38" s="53">
        <v>0.0</v>
      </c>
      <c r="BR38" s="53">
        <v>0.0</v>
      </c>
      <c r="BS38" s="53">
        <v>0.0</v>
      </c>
      <c r="BT38" s="53">
        <v>0.0</v>
      </c>
      <c r="BU38" s="11"/>
      <c r="BV38" s="11" t="s">
        <v>587</v>
      </c>
      <c r="BW38" s="11">
        <v>54817.593</v>
      </c>
      <c r="BX38" s="11">
        <v>56360.21</v>
      </c>
      <c r="BY38" s="11">
        <v>55153.004</v>
      </c>
      <c r="BZ38" s="11"/>
      <c r="CA38" s="11"/>
      <c r="CB38" s="11"/>
      <c r="CC38" s="11"/>
      <c r="CD38" s="11"/>
      <c r="CE38" s="11"/>
      <c r="CF38" s="11"/>
      <c r="CG38" s="11" t="s">
        <v>588</v>
      </c>
      <c r="CH38" s="11"/>
      <c r="CI38" s="11"/>
      <c r="CJ38" s="11">
        <v>18.45</v>
      </c>
      <c r="CK38" s="11"/>
      <c r="CL38" s="40"/>
      <c r="CM38" s="40"/>
      <c r="CN38" s="40"/>
      <c r="CO38" s="40"/>
      <c r="CP38" s="40" t="s">
        <v>486</v>
      </c>
      <c r="CQ38" s="46" t="s">
        <v>17</v>
      </c>
      <c r="CR38" s="46" t="s">
        <v>18</v>
      </c>
      <c r="CS38" s="46" t="s">
        <v>19</v>
      </c>
      <c r="CT38" s="46" t="s">
        <v>20</v>
      </c>
      <c r="CU38" s="46" t="s">
        <v>21</v>
      </c>
      <c r="CV38" s="11"/>
      <c r="CW38" s="11"/>
      <c r="CX38" s="11"/>
      <c r="CY38" s="11"/>
      <c r="CZ38" s="11"/>
    </row>
    <row r="39" ht="15.75" customHeight="1">
      <c r="A39" s="11" t="s">
        <v>284</v>
      </c>
      <c r="B39" s="11"/>
      <c r="C39" s="11"/>
      <c r="D39" s="11"/>
      <c r="E39" s="11"/>
      <c r="F39" s="11"/>
      <c r="G39" s="11">
        <v>352.171</v>
      </c>
      <c r="H39" s="11"/>
      <c r="I39" s="11" t="s">
        <v>589</v>
      </c>
      <c r="J39" s="11"/>
      <c r="K39" s="11">
        <v>999.0</v>
      </c>
      <c r="L39" s="11">
        <v>999.0</v>
      </c>
      <c r="M39" s="11"/>
      <c r="N39" s="11"/>
      <c r="O39" s="11"/>
      <c r="P39" s="11"/>
      <c r="Q39" s="11" t="s">
        <v>590</v>
      </c>
      <c r="R39" s="11"/>
      <c r="S39" s="11">
        <v>3750.0</v>
      </c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 t="s">
        <v>411</v>
      </c>
      <c r="AP39" s="11">
        <v>0.0</v>
      </c>
      <c r="AQ39" s="11">
        <v>0.0</v>
      </c>
      <c r="AR39" s="11">
        <v>0.0</v>
      </c>
      <c r="AS39" s="11"/>
      <c r="AT39" s="11" t="s">
        <v>591</v>
      </c>
      <c r="AU39" s="11">
        <v>0.0</v>
      </c>
      <c r="AV39" s="11">
        <v>1396.51041</v>
      </c>
      <c r="AW39" s="11"/>
      <c r="AX39" s="11"/>
      <c r="AY39" s="11" t="s">
        <v>525</v>
      </c>
      <c r="AZ39" s="11"/>
      <c r="BA39" s="11"/>
      <c r="BB39" s="11"/>
      <c r="BC39" s="11"/>
      <c r="BD39" s="11"/>
      <c r="BE39" s="40" t="s">
        <v>592</v>
      </c>
      <c r="BF39" s="11">
        <v>88.425</v>
      </c>
      <c r="BG39" s="11">
        <v>972.352</v>
      </c>
      <c r="BH39" s="11">
        <v>893.075</v>
      </c>
      <c r="BI39" s="11"/>
      <c r="BJ39" s="11" t="s">
        <v>486</v>
      </c>
      <c r="BK39" s="11">
        <v>80.924</v>
      </c>
      <c r="BL39" s="11">
        <v>290.411</v>
      </c>
      <c r="BM39" s="11">
        <v>1200.0</v>
      </c>
      <c r="BN39" s="11"/>
      <c r="BO39" s="11" t="s">
        <v>593</v>
      </c>
      <c r="BP39" s="11">
        <v>87.06892</v>
      </c>
      <c r="BQ39" s="11"/>
      <c r="BR39" s="11"/>
      <c r="BS39" s="11"/>
      <c r="BT39" s="11"/>
      <c r="BU39" s="11"/>
      <c r="BV39" s="11" t="s">
        <v>594</v>
      </c>
      <c r="BW39" s="11">
        <v>44604.186</v>
      </c>
      <c r="BX39" s="11">
        <v>45274.025</v>
      </c>
      <c r="BY39" s="11">
        <v>29305.404</v>
      </c>
      <c r="BZ39" s="11"/>
      <c r="CA39" s="11"/>
      <c r="CB39" s="11" t="s">
        <v>397</v>
      </c>
      <c r="CC39" s="11"/>
      <c r="CD39" s="11"/>
      <c r="CE39" s="11"/>
      <c r="CF39" s="11"/>
      <c r="CG39" s="11" t="s">
        <v>595</v>
      </c>
      <c r="CH39" s="11">
        <v>226.88136</v>
      </c>
      <c r="CI39" s="11">
        <v>113.3925</v>
      </c>
      <c r="CJ39" s="11"/>
      <c r="CK39" s="11"/>
      <c r="CL39" s="40" t="s">
        <v>486</v>
      </c>
      <c r="CM39" s="46" t="s">
        <v>18</v>
      </c>
      <c r="CN39" s="46" t="s">
        <v>19</v>
      </c>
      <c r="CO39" s="40"/>
      <c r="CP39" s="40" t="s">
        <v>596</v>
      </c>
      <c r="CQ39" s="43">
        <v>2.53</v>
      </c>
      <c r="CR39" s="43">
        <v>0.8055</v>
      </c>
      <c r="CS39" s="40"/>
      <c r="CT39" s="40"/>
      <c r="CU39" s="40"/>
      <c r="CV39" s="11"/>
      <c r="CW39" s="11"/>
      <c r="CX39" s="11"/>
      <c r="CY39" s="11"/>
      <c r="CZ39" s="11"/>
    </row>
    <row r="40" ht="15.75" customHeight="1">
      <c r="A40" s="11" t="s">
        <v>597</v>
      </c>
      <c r="B40" s="11">
        <v>0.0</v>
      </c>
      <c r="C40" s="11">
        <v>0.0</v>
      </c>
      <c r="D40" s="11">
        <v>0.0</v>
      </c>
      <c r="E40" s="11">
        <v>0.0</v>
      </c>
      <c r="F40" s="11">
        <v>0.0</v>
      </c>
      <c r="G40" s="11">
        <v>352.171</v>
      </c>
      <c r="H40" s="11"/>
      <c r="I40" s="11" t="s">
        <v>529</v>
      </c>
      <c r="J40" s="11">
        <v>0.0</v>
      </c>
      <c r="K40" s="11">
        <v>29830.0</v>
      </c>
      <c r="L40" s="11">
        <v>32500.0</v>
      </c>
      <c r="M40" s="11">
        <v>0.0</v>
      </c>
      <c r="N40" s="11">
        <v>0.0</v>
      </c>
      <c r="O40" s="11">
        <v>0.0</v>
      </c>
      <c r="P40" s="11"/>
      <c r="Q40" s="11" t="s">
        <v>598</v>
      </c>
      <c r="R40" s="11">
        <v>35.0</v>
      </c>
      <c r="S40" s="11">
        <v>3403.0</v>
      </c>
      <c r="T40" s="11"/>
      <c r="U40" s="11"/>
      <c r="V40" s="11"/>
      <c r="W40" s="11"/>
      <c r="X40" s="11"/>
      <c r="Y40" s="11" t="s">
        <v>245</v>
      </c>
      <c r="Z40" s="53">
        <v>2019.0</v>
      </c>
      <c r="AA40" s="53">
        <v>2020.0</v>
      </c>
      <c r="AB40" s="53">
        <v>2021.0</v>
      </c>
      <c r="AC40" s="53">
        <v>2022.0</v>
      </c>
      <c r="AD40" s="53">
        <v>2023.0</v>
      </c>
      <c r="AE40" s="53">
        <v>2024.0</v>
      </c>
      <c r="AF40" s="11"/>
      <c r="AG40" s="11" t="s">
        <v>245</v>
      </c>
      <c r="AH40" s="53">
        <v>2019.0</v>
      </c>
      <c r="AI40" s="53">
        <v>2020.0</v>
      </c>
      <c r="AJ40" s="53">
        <v>2021.0</v>
      </c>
      <c r="AK40" s="53">
        <v>2022.0</v>
      </c>
      <c r="AL40" s="53">
        <v>2023.0</v>
      </c>
      <c r="AM40" s="53">
        <v>2024.0</v>
      </c>
      <c r="AN40" s="11"/>
      <c r="AO40" s="11"/>
      <c r="AP40" s="11"/>
      <c r="AQ40" s="11"/>
      <c r="AR40" s="11"/>
      <c r="AS40" s="11"/>
      <c r="AT40" s="11" t="s">
        <v>599</v>
      </c>
      <c r="AU40" s="11"/>
      <c r="AV40" s="11">
        <v>39.55123</v>
      </c>
      <c r="AW40" s="11"/>
      <c r="AX40" s="11"/>
      <c r="AY40" s="11" t="s">
        <v>527</v>
      </c>
      <c r="AZ40" s="11"/>
      <c r="BA40" s="11"/>
      <c r="BB40" s="11"/>
      <c r="BC40" s="11"/>
      <c r="BD40" s="11"/>
      <c r="BE40" s="40" t="s">
        <v>411</v>
      </c>
      <c r="BF40" s="11">
        <v>7380.778</v>
      </c>
      <c r="BG40" s="11">
        <v>9260.485</v>
      </c>
      <c r="BH40" s="11">
        <v>8975.67</v>
      </c>
      <c r="BI40" s="11"/>
      <c r="BJ40" s="11" t="s">
        <v>411</v>
      </c>
      <c r="BK40" s="11">
        <v>2230.989</v>
      </c>
      <c r="BL40" s="11">
        <v>4196.481</v>
      </c>
      <c r="BM40" s="11">
        <v>8261.426</v>
      </c>
      <c r="BN40" s="11"/>
      <c r="BO40" s="11" t="s">
        <v>600</v>
      </c>
      <c r="BP40" s="11">
        <v>41.88675</v>
      </c>
      <c r="BQ40" s="11"/>
      <c r="BR40" s="11"/>
      <c r="BS40" s="11"/>
      <c r="BT40" s="11"/>
      <c r="BU40" s="11"/>
      <c r="BV40" s="11" t="s">
        <v>601</v>
      </c>
      <c r="BW40" s="11">
        <v>43138.27</v>
      </c>
      <c r="BX40" s="11">
        <v>43822.48</v>
      </c>
      <c r="BY40" s="11"/>
      <c r="BZ40" s="11"/>
      <c r="CA40" s="11"/>
      <c r="CB40" s="11" t="s">
        <v>486</v>
      </c>
      <c r="CC40" s="53">
        <v>0.0</v>
      </c>
      <c r="CD40" s="53">
        <v>0.0</v>
      </c>
      <c r="CE40" s="53">
        <v>0.0</v>
      </c>
      <c r="CF40" s="11"/>
      <c r="CG40" s="11" t="s">
        <v>602</v>
      </c>
      <c r="CH40" s="11">
        <v>166.15997</v>
      </c>
      <c r="CI40" s="11">
        <v>56.99994</v>
      </c>
      <c r="CJ40" s="11"/>
      <c r="CK40" s="11"/>
      <c r="CL40" s="40" t="s">
        <v>596</v>
      </c>
      <c r="CM40" s="40"/>
      <c r="CN40" s="40"/>
      <c r="CO40" s="40"/>
      <c r="CP40" s="40" t="s">
        <v>593</v>
      </c>
      <c r="CQ40" s="43">
        <v>6.386</v>
      </c>
      <c r="CR40" s="43">
        <v>22.801</v>
      </c>
      <c r="CS40" s="43">
        <v>29.59559</v>
      </c>
      <c r="CT40" s="40"/>
      <c r="CU40" s="40"/>
      <c r="CV40" s="11"/>
      <c r="CW40" s="11"/>
      <c r="CX40" s="11"/>
      <c r="CY40" s="11"/>
      <c r="C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 t="s">
        <v>603</v>
      </c>
      <c r="R41" s="11">
        <v>2624.0</v>
      </c>
      <c r="S41" s="11">
        <v>1863.0</v>
      </c>
      <c r="T41" s="11"/>
      <c r="U41" s="11"/>
      <c r="V41" s="11"/>
      <c r="W41" s="11"/>
      <c r="X41" s="11"/>
      <c r="Y41" s="11" t="s">
        <v>604</v>
      </c>
      <c r="Z41" s="11"/>
      <c r="AA41" s="11"/>
      <c r="AB41" s="11"/>
      <c r="AC41" s="11">
        <v>3099.5</v>
      </c>
      <c r="AD41" s="11">
        <v>2798.307</v>
      </c>
      <c r="AE41" s="11"/>
      <c r="AF41" s="11"/>
      <c r="AG41" s="11" t="s">
        <v>604</v>
      </c>
      <c r="AH41" s="11"/>
      <c r="AI41" s="11"/>
      <c r="AJ41" s="11"/>
      <c r="AK41" s="11">
        <v>9594.615</v>
      </c>
      <c r="AL41" s="11">
        <v>9594.615</v>
      </c>
      <c r="AM41" s="11">
        <v>11019.014</v>
      </c>
      <c r="AN41" s="11"/>
      <c r="AO41" s="11" t="s">
        <v>236</v>
      </c>
      <c r="AP41" s="53">
        <v>0.0</v>
      </c>
      <c r="AQ41" s="53">
        <v>0.0</v>
      </c>
      <c r="AR41" s="53">
        <v>0.0</v>
      </c>
      <c r="AS41" s="11"/>
      <c r="AT41" s="11" t="s">
        <v>411</v>
      </c>
      <c r="AU41" s="11">
        <v>0.0</v>
      </c>
      <c r="AV41" s="11">
        <v>1436.06164</v>
      </c>
      <c r="AW41" s="11">
        <v>0.0</v>
      </c>
      <c r="AX41" s="11"/>
      <c r="AY41" s="11" t="s">
        <v>530</v>
      </c>
      <c r="AZ41" s="11"/>
      <c r="BA41" s="11"/>
      <c r="BB41" s="11"/>
      <c r="BC41" s="11"/>
      <c r="BD41" s="11"/>
      <c r="BE41" s="40"/>
      <c r="BF41" s="11"/>
      <c r="BG41" s="11"/>
      <c r="BH41" s="11"/>
      <c r="BI41" s="11"/>
      <c r="BJ41" s="11"/>
      <c r="BK41" s="11"/>
      <c r="BL41" s="11"/>
      <c r="BM41" s="11"/>
      <c r="BN41" s="11"/>
      <c r="BO41" s="11" t="s">
        <v>605</v>
      </c>
      <c r="BP41" s="11">
        <v>16.56</v>
      </c>
      <c r="BQ41" s="11"/>
      <c r="BR41" s="11">
        <v>34.30854</v>
      </c>
      <c r="BS41" s="11">
        <v>82.44127</v>
      </c>
      <c r="BT41" s="11"/>
      <c r="BU41" s="11"/>
      <c r="BV41" s="11" t="s">
        <v>606</v>
      </c>
      <c r="BW41" s="11">
        <v>32378.996</v>
      </c>
      <c r="BX41" s="11">
        <v>31004.057</v>
      </c>
      <c r="BY41" s="11">
        <v>33726.284</v>
      </c>
      <c r="BZ41" s="11"/>
      <c r="CA41" s="11"/>
      <c r="CB41" s="11" t="s">
        <v>607</v>
      </c>
      <c r="CC41" s="11"/>
      <c r="CD41" s="11"/>
      <c r="CE41" s="11"/>
      <c r="CF41" s="11"/>
      <c r="CG41" s="11" t="s">
        <v>608</v>
      </c>
      <c r="CH41" s="11">
        <v>331.655</v>
      </c>
      <c r="CI41" s="11">
        <v>248.38191</v>
      </c>
      <c r="CJ41" s="11">
        <v>396.26912</v>
      </c>
      <c r="CK41" s="11"/>
      <c r="CL41" s="40" t="s">
        <v>593</v>
      </c>
      <c r="CM41" s="40"/>
      <c r="CN41" s="40"/>
      <c r="CO41" s="40"/>
      <c r="CP41" s="40" t="s">
        <v>609</v>
      </c>
      <c r="CQ41" s="43">
        <v>731.17</v>
      </c>
      <c r="CR41" s="40"/>
      <c r="CS41" s="40"/>
      <c r="CT41" s="40"/>
      <c r="CU41" s="43">
        <v>526.4453</v>
      </c>
      <c r="CV41" s="11"/>
      <c r="CW41" s="11"/>
      <c r="CX41" s="11"/>
      <c r="CY41" s="11"/>
      <c r="CZ41" s="11"/>
    </row>
    <row r="42" ht="15.75" customHeight="1">
      <c r="A42" s="11" t="s">
        <v>610</v>
      </c>
      <c r="B42" s="53">
        <v>2019.0</v>
      </c>
      <c r="C42" s="53">
        <v>2020.0</v>
      </c>
      <c r="D42" s="53">
        <v>2021.0</v>
      </c>
      <c r="E42" s="53">
        <v>2022.0</v>
      </c>
      <c r="F42" s="53">
        <v>2023.0</v>
      </c>
      <c r="G42" s="53">
        <v>2024.0</v>
      </c>
      <c r="H42" s="11"/>
      <c r="I42" s="11" t="s">
        <v>240</v>
      </c>
      <c r="J42" s="53">
        <v>2019.0</v>
      </c>
      <c r="K42" s="53">
        <v>2020.0</v>
      </c>
      <c r="L42" s="53">
        <v>2021.0</v>
      </c>
      <c r="M42" s="53">
        <v>2022.0</v>
      </c>
      <c r="N42" s="53">
        <v>2023.0</v>
      </c>
      <c r="O42" s="53">
        <v>2024.0</v>
      </c>
      <c r="P42" s="11"/>
      <c r="Q42" s="11" t="s">
        <v>611</v>
      </c>
      <c r="R42" s="11">
        <v>14287.0</v>
      </c>
      <c r="S42" s="11">
        <v>2121.0</v>
      </c>
      <c r="T42" s="11"/>
      <c r="U42" s="11"/>
      <c r="V42" s="11"/>
      <c r="W42" s="11"/>
      <c r="X42" s="11"/>
      <c r="Y42" s="11" t="s">
        <v>612</v>
      </c>
      <c r="Z42" s="11">
        <v>0.0</v>
      </c>
      <c r="AA42" s="11">
        <v>0.0</v>
      </c>
      <c r="AB42" s="11">
        <v>0.0</v>
      </c>
      <c r="AC42" s="11">
        <v>3099.5</v>
      </c>
      <c r="AD42" s="11">
        <v>2798.307</v>
      </c>
      <c r="AE42" s="11">
        <v>0.0</v>
      </c>
      <c r="AF42" s="11"/>
      <c r="AG42" s="11" t="s">
        <v>612</v>
      </c>
      <c r="AH42" s="11">
        <v>0.0</v>
      </c>
      <c r="AI42" s="11">
        <v>0.0</v>
      </c>
      <c r="AJ42" s="11">
        <v>0.0</v>
      </c>
      <c r="AK42" s="11">
        <v>9594.615</v>
      </c>
      <c r="AL42" s="11">
        <v>9594.615</v>
      </c>
      <c r="AM42" s="11">
        <v>11019.014</v>
      </c>
      <c r="AN42" s="11"/>
      <c r="AO42" s="11" t="s">
        <v>613</v>
      </c>
      <c r="AP42" s="11">
        <v>2.02953</v>
      </c>
      <c r="AQ42" s="11">
        <v>2.02953</v>
      </c>
      <c r="AR42" s="11">
        <v>2.02953</v>
      </c>
      <c r="AS42" s="11"/>
      <c r="AT42" s="11"/>
      <c r="AU42" s="11"/>
      <c r="AV42" s="11"/>
      <c r="AW42" s="11"/>
      <c r="AX42" s="11"/>
      <c r="AY42" s="11" t="s">
        <v>411</v>
      </c>
      <c r="AZ42" s="11">
        <v>0.0</v>
      </c>
      <c r="BA42" s="11">
        <v>0.0</v>
      </c>
      <c r="BB42" s="11">
        <v>0.0</v>
      </c>
      <c r="BC42" s="11">
        <v>0.0</v>
      </c>
      <c r="BD42" s="11"/>
      <c r="BE42" s="40" t="s">
        <v>236</v>
      </c>
      <c r="BF42" s="53">
        <v>0.0</v>
      </c>
      <c r="BG42" s="53">
        <v>0.0</v>
      </c>
      <c r="BH42" s="53">
        <v>0.0</v>
      </c>
      <c r="BI42" s="11"/>
      <c r="BJ42" s="11" t="s">
        <v>237</v>
      </c>
      <c r="BK42" s="53">
        <v>0.0</v>
      </c>
      <c r="BL42" s="53">
        <v>0.0</v>
      </c>
      <c r="BM42" s="53">
        <v>0.0</v>
      </c>
      <c r="BN42" s="11"/>
      <c r="BO42" s="11" t="s">
        <v>614</v>
      </c>
      <c r="BP42" s="11"/>
      <c r="BQ42" s="11"/>
      <c r="BR42" s="11"/>
      <c r="BS42" s="11">
        <v>1.2</v>
      </c>
      <c r="BT42" s="11"/>
      <c r="BU42" s="11"/>
      <c r="BV42" s="11" t="s">
        <v>615</v>
      </c>
      <c r="BW42" s="11">
        <v>2514.403</v>
      </c>
      <c r="BX42" s="11">
        <v>2514.403</v>
      </c>
      <c r="BY42" s="11">
        <v>2514.403</v>
      </c>
      <c r="BZ42" s="11"/>
      <c r="CA42" s="11"/>
      <c r="CB42" s="11" t="s">
        <v>458</v>
      </c>
      <c r="CC42" s="11">
        <v>42437.64</v>
      </c>
      <c r="CD42" s="11">
        <v>42437.64</v>
      </c>
      <c r="CE42" s="11"/>
      <c r="CF42" s="11"/>
      <c r="CG42" s="11" t="s">
        <v>616</v>
      </c>
      <c r="CH42" s="11"/>
      <c r="CI42" s="11">
        <v>231.27546</v>
      </c>
      <c r="CJ42" s="11"/>
      <c r="CK42" s="11"/>
      <c r="CL42" s="40" t="s">
        <v>609</v>
      </c>
      <c r="CM42" s="40"/>
      <c r="CN42" s="40"/>
      <c r="CO42" s="40"/>
      <c r="CP42" s="40" t="s">
        <v>617</v>
      </c>
      <c r="CQ42" s="43">
        <v>177.326</v>
      </c>
      <c r="CR42" s="43">
        <v>154.878</v>
      </c>
      <c r="CS42" s="43">
        <v>94.30867</v>
      </c>
      <c r="CT42" s="43">
        <v>97.13704</v>
      </c>
      <c r="CU42" s="43">
        <v>97.13704</v>
      </c>
      <c r="CV42" s="11"/>
      <c r="CW42" s="11"/>
      <c r="CX42" s="11"/>
      <c r="CY42" s="11"/>
      <c r="CZ42" s="11"/>
    </row>
    <row r="43" ht="15.75" customHeight="1">
      <c r="A43" s="11" t="s">
        <v>610</v>
      </c>
      <c r="B43" s="11"/>
      <c r="C43" s="11">
        <v>40675.406</v>
      </c>
      <c r="D43" s="11">
        <v>29714.975</v>
      </c>
      <c r="E43" s="11">
        <v>33648.575</v>
      </c>
      <c r="F43" s="11">
        <v>21083.726</v>
      </c>
      <c r="G43" s="11"/>
      <c r="H43" s="11"/>
      <c r="I43" s="11" t="s">
        <v>539</v>
      </c>
      <c r="J43" s="11"/>
      <c r="K43" s="11">
        <v>42202.0</v>
      </c>
      <c r="L43" s="11">
        <v>42760.0</v>
      </c>
      <c r="M43" s="11">
        <v>39072.231</v>
      </c>
      <c r="N43" s="11">
        <v>44778.312</v>
      </c>
      <c r="O43" s="11">
        <v>110252.666</v>
      </c>
      <c r="P43" s="11"/>
      <c r="Q43" s="11" t="s">
        <v>618</v>
      </c>
      <c r="R43" s="11"/>
      <c r="S43" s="11"/>
      <c r="T43" s="11">
        <v>5972.802</v>
      </c>
      <c r="U43" s="11">
        <v>11191.979</v>
      </c>
      <c r="V43" s="11">
        <v>12528.005</v>
      </c>
      <c r="W43" s="11">
        <v>13489.001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 t="s">
        <v>411</v>
      </c>
      <c r="AP43" s="11">
        <v>2.02953</v>
      </c>
      <c r="AQ43" s="11">
        <v>2.02953</v>
      </c>
      <c r="AR43" s="11">
        <v>2.02953</v>
      </c>
      <c r="AS43" s="11"/>
      <c r="AT43" s="11" t="s">
        <v>397</v>
      </c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40" t="s">
        <v>591</v>
      </c>
      <c r="BF43" s="11">
        <v>5137.379</v>
      </c>
      <c r="BG43" s="11">
        <v>7522.276</v>
      </c>
      <c r="BH43" s="11">
        <v>8016.756</v>
      </c>
      <c r="BI43" s="11"/>
      <c r="BJ43" s="11" t="s">
        <v>619</v>
      </c>
      <c r="BK43" s="11">
        <v>8816.64</v>
      </c>
      <c r="BL43" s="11">
        <v>9132.948</v>
      </c>
      <c r="BM43" s="11">
        <v>14491.36599999997</v>
      </c>
      <c r="BN43" s="11"/>
      <c r="BO43" s="11" t="s">
        <v>620</v>
      </c>
      <c r="BP43" s="11"/>
      <c r="BQ43" s="11"/>
      <c r="BR43" s="11"/>
      <c r="BS43" s="11">
        <v>262.95142</v>
      </c>
      <c r="BT43" s="11"/>
      <c r="BU43" s="11"/>
      <c r="BV43" s="11" t="s">
        <v>621</v>
      </c>
      <c r="BW43" s="11">
        <v>1738.5</v>
      </c>
      <c r="BX43" s="11">
        <v>1738.5</v>
      </c>
      <c r="BY43" s="11">
        <v>1738.5</v>
      </c>
      <c r="BZ43" s="11"/>
      <c r="CA43" s="11"/>
      <c r="CB43" s="11" t="s">
        <v>581</v>
      </c>
      <c r="CC43" s="11">
        <v>1834.785</v>
      </c>
      <c r="CD43" s="11">
        <v>6765.561</v>
      </c>
      <c r="CE43" s="11">
        <v>37729.483</v>
      </c>
      <c r="CF43" s="11"/>
      <c r="CG43" s="11" t="s">
        <v>622</v>
      </c>
      <c r="CH43" s="11"/>
      <c r="CI43" s="11">
        <v>26.59916</v>
      </c>
      <c r="CJ43" s="11"/>
      <c r="CK43" s="11"/>
      <c r="CL43" s="40" t="s">
        <v>617</v>
      </c>
      <c r="CM43" s="40"/>
      <c r="CN43" s="40"/>
      <c r="CO43" s="40"/>
      <c r="CP43" s="40" t="s">
        <v>623</v>
      </c>
      <c r="CQ43" s="40"/>
      <c r="CR43" s="43">
        <v>0.75</v>
      </c>
      <c r="CS43" s="40"/>
      <c r="CT43" s="40"/>
      <c r="CU43" s="40"/>
      <c r="CV43" s="11"/>
      <c r="CW43" s="11"/>
      <c r="CX43" s="11"/>
      <c r="CY43" s="11"/>
      <c r="CZ43" s="11"/>
    </row>
    <row r="44" ht="15.75" customHeight="1">
      <c r="A44" s="11" t="s">
        <v>624</v>
      </c>
      <c r="B44" s="11">
        <v>0.0</v>
      </c>
      <c r="C44" s="11">
        <v>40675.406</v>
      </c>
      <c r="D44" s="11">
        <v>29714.975</v>
      </c>
      <c r="E44" s="11">
        <v>33648.575</v>
      </c>
      <c r="F44" s="11">
        <v>21083.726</v>
      </c>
      <c r="G44" s="11">
        <v>0.0</v>
      </c>
      <c r="H44" s="11"/>
      <c r="I44" s="11" t="s">
        <v>544</v>
      </c>
      <c r="J44" s="11">
        <v>0.0</v>
      </c>
      <c r="K44" s="11">
        <v>42202.0</v>
      </c>
      <c r="L44" s="11">
        <v>42760.0</v>
      </c>
      <c r="M44" s="11">
        <v>39072.231</v>
      </c>
      <c r="N44" s="11">
        <v>44778.312</v>
      </c>
      <c r="O44" s="11">
        <v>110252.666</v>
      </c>
      <c r="P44" s="11"/>
      <c r="Q44" s="11" t="s">
        <v>469</v>
      </c>
      <c r="R44" s="11">
        <v>50162.0</v>
      </c>
      <c r="S44" s="11">
        <v>12099.0</v>
      </c>
      <c r="T44" s="11">
        <v>5972.802</v>
      </c>
      <c r="U44" s="11">
        <v>11191.979</v>
      </c>
      <c r="V44" s="11">
        <v>12528.005</v>
      </c>
      <c r="W44" s="11">
        <v>13489.001</v>
      </c>
      <c r="X44" s="11"/>
      <c r="Y44" s="11" t="s">
        <v>249</v>
      </c>
      <c r="Z44" s="53">
        <v>2019.0</v>
      </c>
      <c r="AA44" s="53">
        <v>2020.0</v>
      </c>
      <c r="AB44" s="53">
        <v>2021.0</v>
      </c>
      <c r="AC44" s="53">
        <v>2022.0</v>
      </c>
      <c r="AD44" s="53">
        <v>2023.0</v>
      </c>
      <c r="AE44" s="53">
        <v>2024.0</v>
      </c>
      <c r="AF44" s="11"/>
      <c r="AG44" s="11" t="s">
        <v>625</v>
      </c>
      <c r="AH44" s="53">
        <v>2019.0</v>
      </c>
      <c r="AI44" s="53">
        <v>2020.0</v>
      </c>
      <c r="AJ44" s="53">
        <v>2021.0</v>
      </c>
      <c r="AK44" s="53">
        <v>2022.0</v>
      </c>
      <c r="AL44" s="53">
        <v>2023.0</v>
      </c>
      <c r="AM44" s="53">
        <v>2024.0</v>
      </c>
      <c r="AN44" s="11"/>
      <c r="AO44" s="11"/>
      <c r="AP44" s="11"/>
      <c r="AQ44" s="11"/>
      <c r="AR44" s="11"/>
      <c r="AS44" s="11"/>
      <c r="AT44" s="11" t="s">
        <v>92</v>
      </c>
      <c r="AU44" s="53">
        <v>0.0</v>
      </c>
      <c r="AV44" s="53">
        <v>0.0</v>
      </c>
      <c r="AW44" s="53">
        <v>0.0</v>
      </c>
      <c r="AX44" s="11"/>
      <c r="AY44" s="11" t="s">
        <v>397</v>
      </c>
      <c r="AZ44" s="11"/>
      <c r="BA44" s="11"/>
      <c r="BB44" s="11"/>
      <c r="BC44" s="11"/>
      <c r="BD44" s="11"/>
      <c r="BE44" s="40" t="s">
        <v>626</v>
      </c>
      <c r="BF44" s="11">
        <v>172.896</v>
      </c>
      <c r="BG44" s="11">
        <v>0.002000000022235326</v>
      </c>
      <c r="BH44" s="11"/>
      <c r="BI44" s="11"/>
      <c r="BJ44" s="11" t="s">
        <v>411</v>
      </c>
      <c r="BK44" s="11">
        <v>8816.64</v>
      </c>
      <c r="BL44" s="11">
        <v>9132.948</v>
      </c>
      <c r="BM44" s="11">
        <v>14491.36599999997</v>
      </c>
      <c r="BN44" s="11"/>
      <c r="BO44" s="11" t="s">
        <v>411</v>
      </c>
      <c r="BP44" s="11">
        <v>145.51567</v>
      </c>
      <c r="BQ44" s="11">
        <v>0.0</v>
      </c>
      <c r="BR44" s="11">
        <v>34.30854</v>
      </c>
      <c r="BS44" s="11">
        <v>346.59269</v>
      </c>
      <c r="BT44" s="11">
        <v>0.0</v>
      </c>
      <c r="BU44" s="11"/>
      <c r="BV44" s="11" t="s">
        <v>627</v>
      </c>
      <c r="BW44" s="11">
        <v>1564.498</v>
      </c>
      <c r="BX44" s="11">
        <v>1564.497</v>
      </c>
      <c r="BY44" s="11">
        <v>1564.497</v>
      </c>
      <c r="BZ44" s="11"/>
      <c r="CA44" s="11"/>
      <c r="CB44" s="11" t="s">
        <v>628</v>
      </c>
      <c r="CC44" s="11">
        <v>587.378</v>
      </c>
      <c r="CD44" s="11">
        <v>903.725</v>
      </c>
      <c r="CE44" s="11">
        <v>17967.879</v>
      </c>
      <c r="CF44" s="11"/>
      <c r="CG44" s="11" t="s">
        <v>629</v>
      </c>
      <c r="CH44" s="11"/>
      <c r="CI44" s="11">
        <v>25.575</v>
      </c>
      <c r="CJ44" s="11"/>
      <c r="CK44" s="11"/>
      <c r="CL44" s="40" t="s">
        <v>623</v>
      </c>
      <c r="CM44" s="40"/>
      <c r="CN44" s="40"/>
      <c r="CO44" s="40"/>
      <c r="CP44" s="40" t="s">
        <v>630</v>
      </c>
      <c r="CQ44" s="40"/>
      <c r="CR44" s="40"/>
      <c r="CS44" s="40"/>
      <c r="CT44" s="43">
        <v>50.38842</v>
      </c>
      <c r="CU44" s="43">
        <v>47.74839</v>
      </c>
      <c r="CV44" s="11"/>
      <c r="CW44" s="11"/>
      <c r="CX44" s="11"/>
      <c r="CY44" s="11"/>
      <c r="C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 t="s">
        <v>511</v>
      </c>
      <c r="Z45" s="11"/>
      <c r="AA45" s="11"/>
      <c r="AB45" s="11">
        <v>267.691</v>
      </c>
      <c r="AC45" s="11">
        <v>1287.722</v>
      </c>
      <c r="AD45" s="11">
        <v>1566.337</v>
      </c>
      <c r="AE45" s="11"/>
      <c r="AF45" s="11"/>
      <c r="AG45" s="11" t="s">
        <v>252</v>
      </c>
      <c r="AH45" s="11"/>
      <c r="AI45" s="11"/>
      <c r="AJ45" s="11"/>
      <c r="AK45" s="11">
        <v>213.817</v>
      </c>
      <c r="AL45" s="11">
        <v>213.817</v>
      </c>
      <c r="AM45" s="11"/>
      <c r="AN45" s="11"/>
      <c r="AO45" s="11" t="s">
        <v>397</v>
      </c>
      <c r="AP45" s="11"/>
      <c r="AQ45" s="11"/>
      <c r="AR45" s="11"/>
      <c r="AS45" s="11"/>
      <c r="AT45" s="11" t="s">
        <v>92</v>
      </c>
      <c r="AU45" s="11"/>
      <c r="AV45" s="11">
        <v>7086.60922</v>
      </c>
      <c r="AW45" s="11"/>
      <c r="AX45" s="11"/>
      <c r="AY45" s="11" t="s">
        <v>546</v>
      </c>
      <c r="AZ45" s="53">
        <v>0.0</v>
      </c>
      <c r="BA45" s="53">
        <v>0.0</v>
      </c>
      <c r="BB45" s="53">
        <v>0.0</v>
      </c>
      <c r="BC45" s="53">
        <v>0.0</v>
      </c>
      <c r="BD45" s="11"/>
      <c r="BE45" s="40" t="s">
        <v>631</v>
      </c>
      <c r="BF45" s="11">
        <v>175.493</v>
      </c>
      <c r="BG45" s="11">
        <v>231.384</v>
      </c>
      <c r="BH45" s="11">
        <v>621.982</v>
      </c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 t="s">
        <v>632</v>
      </c>
      <c r="BW45" s="11">
        <v>950.0</v>
      </c>
      <c r="BX45" s="11">
        <v>950.0</v>
      </c>
      <c r="BY45" s="11">
        <v>950.0</v>
      </c>
      <c r="BZ45" s="11"/>
      <c r="CA45" s="11"/>
      <c r="CB45" s="11" t="s">
        <v>486</v>
      </c>
      <c r="CC45" s="11"/>
      <c r="CD45" s="11"/>
      <c r="CE45" s="11">
        <v>273.487</v>
      </c>
      <c r="CF45" s="11"/>
      <c r="CG45" s="11" t="s">
        <v>633</v>
      </c>
      <c r="CH45" s="11"/>
      <c r="CI45" s="11">
        <v>24.102</v>
      </c>
      <c r="CJ45" s="11">
        <v>39.331</v>
      </c>
      <c r="CK45" s="11"/>
      <c r="CL45" s="40" t="s">
        <v>630</v>
      </c>
      <c r="CM45" s="40"/>
      <c r="CN45" s="40"/>
      <c r="CO45" s="40"/>
      <c r="CP45" s="40" t="s">
        <v>411</v>
      </c>
      <c r="CQ45" s="43">
        <v>917.412</v>
      </c>
      <c r="CR45" s="43">
        <v>179.2345</v>
      </c>
      <c r="CS45" s="43">
        <v>123.90426</v>
      </c>
      <c r="CT45" s="43">
        <v>147.52546</v>
      </c>
      <c r="CU45" s="43">
        <v>671.3307299999999</v>
      </c>
      <c r="CV45" s="11"/>
      <c r="CW45" s="11"/>
      <c r="CX45" s="11"/>
      <c r="CY45" s="11"/>
      <c r="CZ45" s="11"/>
    </row>
    <row r="46" ht="15.75" customHeight="1">
      <c r="A46" s="11" t="s">
        <v>281</v>
      </c>
      <c r="B46" s="53">
        <v>2019.0</v>
      </c>
      <c r="C46" s="53">
        <v>2020.0</v>
      </c>
      <c r="D46" s="53">
        <v>2021.0</v>
      </c>
      <c r="E46" s="53">
        <v>2022.0</v>
      </c>
      <c r="F46" s="53">
        <v>2023.0</v>
      </c>
      <c r="G46" s="53">
        <v>2024.0</v>
      </c>
      <c r="H46" s="11"/>
      <c r="I46" s="11" t="s">
        <v>92</v>
      </c>
      <c r="J46" s="53">
        <v>2019.0</v>
      </c>
      <c r="K46" s="53">
        <v>2020.0</v>
      </c>
      <c r="L46" s="53">
        <v>2021.0</v>
      </c>
      <c r="M46" s="53">
        <v>2022.0</v>
      </c>
      <c r="N46" s="53">
        <v>2023.0</v>
      </c>
      <c r="O46" s="53">
        <v>2024.0</v>
      </c>
      <c r="P46" s="11"/>
      <c r="Q46" s="11" t="s">
        <v>486</v>
      </c>
      <c r="R46" s="53">
        <v>2019.0</v>
      </c>
      <c r="S46" s="53">
        <v>2020.0</v>
      </c>
      <c r="T46" s="53">
        <v>2021.0</v>
      </c>
      <c r="U46" s="53">
        <v>2022.0</v>
      </c>
      <c r="V46" s="53">
        <v>2023.0</v>
      </c>
      <c r="W46" s="53">
        <v>2024.0</v>
      </c>
      <c r="X46" s="11"/>
      <c r="Y46" s="11" t="s">
        <v>519</v>
      </c>
      <c r="Z46" s="11">
        <v>0.0</v>
      </c>
      <c r="AA46" s="11">
        <v>0.0</v>
      </c>
      <c r="AB46" s="11">
        <v>267.691</v>
      </c>
      <c r="AC46" s="11">
        <v>1287.722</v>
      </c>
      <c r="AD46" s="11">
        <v>1566.337</v>
      </c>
      <c r="AE46" s="11">
        <v>0.0</v>
      </c>
      <c r="AF46" s="11"/>
      <c r="AG46" s="11" t="s">
        <v>241</v>
      </c>
      <c r="AH46" s="11"/>
      <c r="AI46" s="11"/>
      <c r="AJ46" s="11"/>
      <c r="AK46" s="11">
        <v>28392.108</v>
      </c>
      <c r="AL46" s="11">
        <v>28763.889</v>
      </c>
      <c r="AM46" s="11">
        <v>33008.888</v>
      </c>
      <c r="AN46" s="11"/>
      <c r="AO46" s="11" t="s">
        <v>92</v>
      </c>
      <c r="AP46" s="53">
        <v>0.0</v>
      </c>
      <c r="AQ46" s="53">
        <v>0.0</v>
      </c>
      <c r="AR46" s="53">
        <v>0.0</v>
      </c>
      <c r="AS46" s="11"/>
      <c r="AT46" s="11" t="s">
        <v>411</v>
      </c>
      <c r="AU46" s="11">
        <v>0.0</v>
      </c>
      <c r="AV46" s="11">
        <v>7086.60922</v>
      </c>
      <c r="AW46" s="11">
        <v>0.0</v>
      </c>
      <c r="AX46" s="11"/>
      <c r="AY46" s="11" t="s">
        <v>634</v>
      </c>
      <c r="AZ46" s="11"/>
      <c r="BA46" s="11">
        <v>102.59472</v>
      </c>
      <c r="BB46" s="11"/>
      <c r="BC46" s="11"/>
      <c r="BD46" s="11"/>
      <c r="BE46" s="40" t="s">
        <v>411</v>
      </c>
      <c r="BF46" s="11">
        <v>5485.768</v>
      </c>
      <c r="BG46" s="11">
        <v>7753.662000000022</v>
      </c>
      <c r="BH46" s="11">
        <v>8638.738000000001</v>
      </c>
      <c r="BI46" s="11"/>
      <c r="BJ46" s="11" t="s">
        <v>397</v>
      </c>
      <c r="BK46" s="11"/>
      <c r="BL46" s="11"/>
      <c r="BM46" s="11"/>
      <c r="BN46" s="11"/>
      <c r="BO46" s="11" t="s">
        <v>237</v>
      </c>
      <c r="BP46" s="53">
        <v>0.0</v>
      </c>
      <c r="BQ46" s="53">
        <v>0.0</v>
      </c>
      <c r="BR46" s="53">
        <v>0.0</v>
      </c>
      <c r="BS46" s="53">
        <v>0.0</v>
      </c>
      <c r="BT46" s="53">
        <v>0.0</v>
      </c>
      <c r="BU46" s="11"/>
      <c r="BV46" s="11" t="s">
        <v>635</v>
      </c>
      <c r="BW46" s="11">
        <v>686.978</v>
      </c>
      <c r="BX46" s="11">
        <v>686.978</v>
      </c>
      <c r="BY46" s="11">
        <v>686.978</v>
      </c>
      <c r="BZ46" s="11"/>
      <c r="CA46" s="11"/>
      <c r="CB46" s="11" t="s">
        <v>636</v>
      </c>
      <c r="CC46" s="11">
        <v>148.795</v>
      </c>
      <c r="CD46" s="11">
        <v>96.795</v>
      </c>
      <c r="CE46" s="11">
        <v>0.00550000020302832</v>
      </c>
      <c r="CF46" s="11"/>
      <c r="CG46" s="11" t="s">
        <v>637</v>
      </c>
      <c r="CH46" s="11"/>
      <c r="CI46" s="11"/>
      <c r="CJ46" s="11">
        <v>38.0646</v>
      </c>
      <c r="CK46" s="11"/>
      <c r="CL46" s="40" t="s">
        <v>638</v>
      </c>
      <c r="CM46" s="43">
        <v>17.55</v>
      </c>
      <c r="CN46" s="40"/>
      <c r="CO46" s="40"/>
      <c r="CP46" s="40"/>
      <c r="CQ46" s="40"/>
      <c r="CR46" s="40"/>
      <c r="CS46" s="40"/>
      <c r="CT46" s="40"/>
      <c r="CU46" s="40"/>
      <c r="CV46" s="11"/>
      <c r="CW46" s="11"/>
      <c r="CX46" s="11"/>
      <c r="CY46" s="11"/>
      <c r="CZ46" s="11"/>
    </row>
    <row r="47" ht="15.75" customHeight="1">
      <c r="A47" s="11" t="s">
        <v>639</v>
      </c>
      <c r="B47" s="11"/>
      <c r="C47" s="11"/>
      <c r="D47" s="11"/>
      <c r="E47" s="11">
        <v>682.065</v>
      </c>
      <c r="F47" s="11">
        <v>81.696</v>
      </c>
      <c r="G47" s="11"/>
      <c r="H47" s="11"/>
      <c r="I47" s="11" t="s">
        <v>561</v>
      </c>
      <c r="J47" s="11"/>
      <c r="K47" s="11">
        <v>60923.0</v>
      </c>
      <c r="L47" s="11">
        <v>48736.0</v>
      </c>
      <c r="M47" s="11"/>
      <c r="N47" s="11"/>
      <c r="O47" s="11"/>
      <c r="P47" s="11"/>
      <c r="Q47" s="11" t="s">
        <v>640</v>
      </c>
      <c r="R47" s="11">
        <v>4973.0</v>
      </c>
      <c r="S47" s="11">
        <v>4499.0</v>
      </c>
      <c r="T47" s="11"/>
      <c r="U47" s="11"/>
      <c r="V47" s="11"/>
      <c r="W47" s="11">
        <v>7840.422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 t="s">
        <v>242</v>
      </c>
      <c r="AH47" s="11"/>
      <c r="AI47" s="11"/>
      <c r="AJ47" s="11"/>
      <c r="AK47" s="11">
        <v>926.367</v>
      </c>
      <c r="AL47" s="11">
        <v>926.367</v>
      </c>
      <c r="AM47" s="11"/>
      <c r="AN47" s="11"/>
      <c r="AO47" s="11" t="s">
        <v>411</v>
      </c>
      <c r="AP47" s="11">
        <v>0.0</v>
      </c>
      <c r="AQ47" s="11">
        <v>0.0</v>
      </c>
      <c r="AR47" s="11">
        <v>0.0</v>
      </c>
      <c r="AS47" s="11"/>
      <c r="AT47" s="11"/>
      <c r="AU47" s="11"/>
      <c r="AV47" s="11"/>
      <c r="AW47" s="11"/>
      <c r="AX47" s="11"/>
      <c r="AY47" s="11" t="s">
        <v>641</v>
      </c>
      <c r="AZ47" s="11"/>
      <c r="BA47" s="11">
        <v>1777.88382</v>
      </c>
      <c r="BB47" s="11">
        <v>1777.88382</v>
      </c>
      <c r="BC47" s="11">
        <v>1777.88382</v>
      </c>
      <c r="BD47" s="11"/>
      <c r="BE47" s="40"/>
      <c r="BF47" s="11"/>
      <c r="BG47" s="11"/>
      <c r="BH47" s="11"/>
      <c r="BI47" s="11"/>
      <c r="BJ47" s="11" t="s">
        <v>92</v>
      </c>
      <c r="BK47" s="53">
        <v>0.0</v>
      </c>
      <c r="BL47" s="53">
        <v>0.0</v>
      </c>
      <c r="BM47" s="53">
        <v>0.0</v>
      </c>
      <c r="BN47" s="11"/>
      <c r="BO47" s="11" t="s">
        <v>642</v>
      </c>
      <c r="BP47" s="11">
        <v>1071.53261</v>
      </c>
      <c r="BQ47" s="11">
        <v>1412.52328</v>
      </c>
      <c r="BR47" s="11">
        <v>2424.72489</v>
      </c>
      <c r="BS47" s="11">
        <v>3167.12864</v>
      </c>
      <c r="BT47" s="11">
        <v>3167.12864</v>
      </c>
      <c r="BU47" s="11"/>
      <c r="BV47" s="11" t="s">
        <v>643</v>
      </c>
      <c r="BW47" s="11">
        <v>209.355</v>
      </c>
      <c r="BX47" s="11">
        <v>200.391</v>
      </c>
      <c r="BY47" s="11">
        <v>370.308</v>
      </c>
      <c r="BZ47" s="11"/>
      <c r="CA47" s="11"/>
      <c r="CB47" s="11" t="s">
        <v>411</v>
      </c>
      <c r="CC47" s="11">
        <v>45008.598</v>
      </c>
      <c r="CD47" s="11">
        <v>50203.721</v>
      </c>
      <c r="CE47" s="11">
        <v>55970.85450000021</v>
      </c>
      <c r="CF47" s="11"/>
      <c r="CG47" s="11" t="s">
        <v>644</v>
      </c>
      <c r="CH47" s="11"/>
      <c r="CI47" s="11"/>
      <c r="CJ47" s="11">
        <v>34.0</v>
      </c>
      <c r="CK47" s="11"/>
      <c r="CL47" s="40" t="s">
        <v>421</v>
      </c>
      <c r="CM47" s="40"/>
      <c r="CN47" s="43">
        <v>45.0</v>
      </c>
      <c r="CO47" s="40"/>
      <c r="CP47" s="40" t="s">
        <v>237</v>
      </c>
      <c r="CQ47" s="46" t="s">
        <v>17</v>
      </c>
      <c r="CR47" s="46" t="s">
        <v>18</v>
      </c>
      <c r="CS47" s="46" t="s">
        <v>19</v>
      </c>
      <c r="CT47" s="40" t="s">
        <v>645</v>
      </c>
      <c r="CU47" s="46" t="s">
        <v>21</v>
      </c>
      <c r="CV47" s="11"/>
      <c r="CW47" s="11"/>
      <c r="CX47" s="11"/>
      <c r="CY47" s="11"/>
      <c r="CZ47" s="11"/>
    </row>
    <row r="48" ht="15.75" customHeight="1">
      <c r="A48" s="11" t="s">
        <v>281</v>
      </c>
      <c r="B48" s="11"/>
      <c r="C48" s="11">
        <v>117.53</v>
      </c>
      <c r="D48" s="11">
        <v>426.734</v>
      </c>
      <c r="E48" s="11">
        <v>3741.719</v>
      </c>
      <c r="F48" s="11">
        <v>9367.026</v>
      </c>
      <c r="G48" s="11">
        <v>11321.268</v>
      </c>
      <c r="H48" s="11"/>
      <c r="I48" s="11" t="s">
        <v>646</v>
      </c>
      <c r="J48" s="11"/>
      <c r="K48" s="11">
        <v>7327.0</v>
      </c>
      <c r="L48" s="11">
        <v>7078.0</v>
      </c>
      <c r="M48" s="11"/>
      <c r="N48" s="11"/>
      <c r="O48" s="11"/>
      <c r="P48" s="11"/>
      <c r="Q48" s="11" t="s">
        <v>496</v>
      </c>
      <c r="R48" s="11">
        <v>4973.0</v>
      </c>
      <c r="S48" s="11">
        <v>4499.0</v>
      </c>
      <c r="T48" s="11">
        <v>0.0</v>
      </c>
      <c r="U48" s="11">
        <v>0.0</v>
      </c>
      <c r="V48" s="11">
        <v>0.0</v>
      </c>
      <c r="W48" s="11">
        <v>7840.422</v>
      </c>
      <c r="X48" s="11"/>
      <c r="Y48" s="11" t="s">
        <v>263</v>
      </c>
      <c r="Z48" s="53">
        <v>2019.0</v>
      </c>
      <c r="AA48" s="53">
        <v>2020.0</v>
      </c>
      <c r="AB48" s="53">
        <v>2021.0</v>
      </c>
      <c r="AC48" s="53">
        <v>2022.0</v>
      </c>
      <c r="AD48" s="53">
        <v>2023.0</v>
      </c>
      <c r="AE48" s="53">
        <v>2024.0</v>
      </c>
      <c r="AF48" s="11"/>
      <c r="AG48" s="11" t="s">
        <v>243</v>
      </c>
      <c r="AH48" s="11"/>
      <c r="AI48" s="11"/>
      <c r="AJ48" s="11"/>
      <c r="AK48" s="11">
        <v>218.121</v>
      </c>
      <c r="AL48" s="11">
        <v>262.07</v>
      </c>
      <c r="AM48" s="11"/>
      <c r="AN48" s="11"/>
      <c r="AO48" s="11"/>
      <c r="AP48" s="11"/>
      <c r="AQ48" s="11"/>
      <c r="AR48" s="11"/>
      <c r="AS48" s="11"/>
      <c r="AT48" s="11" t="s">
        <v>397</v>
      </c>
      <c r="AU48" s="11"/>
      <c r="AV48" s="11"/>
      <c r="AW48" s="11"/>
      <c r="AX48" s="11"/>
      <c r="AY48" s="11" t="s">
        <v>647</v>
      </c>
      <c r="AZ48" s="11"/>
      <c r="BA48" s="11">
        <v>1531.92439</v>
      </c>
      <c r="BB48" s="11"/>
      <c r="BC48" s="11"/>
      <c r="BD48" s="11"/>
      <c r="BE48" s="40" t="s">
        <v>397</v>
      </c>
      <c r="BF48" s="11"/>
      <c r="BG48" s="11"/>
      <c r="BH48" s="11"/>
      <c r="BI48" s="11"/>
      <c r="BJ48" s="11" t="s">
        <v>92</v>
      </c>
      <c r="BK48" s="11"/>
      <c r="BL48" s="11"/>
      <c r="BM48" s="11"/>
      <c r="BN48" s="11"/>
      <c r="BO48" s="11" t="s">
        <v>411</v>
      </c>
      <c r="BP48" s="11">
        <v>1071.53261</v>
      </c>
      <c r="BQ48" s="11">
        <v>1412.52328</v>
      </c>
      <c r="BR48" s="11">
        <v>2424.72489</v>
      </c>
      <c r="BS48" s="11">
        <v>3167.12864</v>
      </c>
      <c r="BT48" s="11">
        <v>3167.12864</v>
      </c>
      <c r="BU48" s="11"/>
      <c r="BV48" s="11" t="s">
        <v>648</v>
      </c>
      <c r="BW48" s="11">
        <v>65.36</v>
      </c>
      <c r="BX48" s="11">
        <v>65.36</v>
      </c>
      <c r="BY48" s="11">
        <v>65.36</v>
      </c>
      <c r="BZ48" s="11"/>
      <c r="CA48" s="11"/>
      <c r="CB48" s="11"/>
      <c r="CC48" s="11"/>
      <c r="CD48" s="11"/>
      <c r="CE48" s="11"/>
      <c r="CF48" s="11"/>
      <c r="CG48" s="11" t="s">
        <v>649</v>
      </c>
      <c r="CH48" s="11"/>
      <c r="CI48" s="11">
        <v>21.78294</v>
      </c>
      <c r="CJ48" s="11">
        <v>33.37284</v>
      </c>
      <c r="CK48" s="11"/>
      <c r="CL48" s="40" t="s">
        <v>411</v>
      </c>
      <c r="CM48" s="43">
        <v>17.55</v>
      </c>
      <c r="CN48" s="43">
        <v>45.0</v>
      </c>
      <c r="CO48" s="40"/>
      <c r="CP48" s="40" t="s">
        <v>650</v>
      </c>
      <c r="CQ48" s="43">
        <v>73.805</v>
      </c>
      <c r="CR48" s="43">
        <v>81.24</v>
      </c>
      <c r="CS48" s="43">
        <v>141.71652</v>
      </c>
      <c r="CT48" s="40"/>
      <c r="CU48" s="40"/>
      <c r="CV48" s="11"/>
      <c r="CW48" s="11"/>
      <c r="CX48" s="11"/>
      <c r="CY48" s="11"/>
      <c r="CZ48" s="11"/>
    </row>
    <row r="49" ht="15.75" customHeight="1">
      <c r="A49" s="11" t="s">
        <v>651</v>
      </c>
      <c r="B49" s="11">
        <v>0.0</v>
      </c>
      <c r="C49" s="11">
        <v>117.53</v>
      </c>
      <c r="D49" s="11">
        <v>426.734</v>
      </c>
      <c r="E49" s="11">
        <v>4423.784</v>
      </c>
      <c r="F49" s="11">
        <v>9448.722</v>
      </c>
      <c r="G49" s="11">
        <v>11321.268</v>
      </c>
      <c r="H49" s="11"/>
      <c r="I49" s="11" t="s">
        <v>652</v>
      </c>
      <c r="J49" s="11"/>
      <c r="K49" s="11">
        <v>11745.0</v>
      </c>
      <c r="L49" s="11">
        <v>11166.0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 t="s">
        <v>263</v>
      </c>
      <c r="Z49" s="11"/>
      <c r="AA49" s="11"/>
      <c r="AB49" s="11">
        <v>947.235</v>
      </c>
      <c r="AC49" s="11">
        <v>2322.586</v>
      </c>
      <c r="AD49" s="11">
        <v>3694.445</v>
      </c>
      <c r="AE49" s="11"/>
      <c r="AF49" s="11"/>
      <c r="AG49" s="11" t="s">
        <v>244</v>
      </c>
      <c r="AH49" s="11"/>
      <c r="AI49" s="11"/>
      <c r="AJ49" s="11"/>
      <c r="AK49" s="11">
        <v>535.786</v>
      </c>
      <c r="AL49" s="11">
        <v>645.345</v>
      </c>
      <c r="AM49" s="11"/>
      <c r="AN49" s="11"/>
      <c r="AO49" s="11" t="s">
        <v>397</v>
      </c>
      <c r="AP49" s="11"/>
      <c r="AQ49" s="11"/>
      <c r="AR49" s="11"/>
      <c r="AS49" s="11"/>
      <c r="AT49" s="11" t="s">
        <v>653</v>
      </c>
      <c r="AU49" s="53">
        <v>0.0</v>
      </c>
      <c r="AV49" s="53">
        <v>0.0</v>
      </c>
      <c r="AW49" s="53">
        <v>0.0</v>
      </c>
      <c r="AX49" s="11"/>
      <c r="AY49" s="11" t="s">
        <v>654</v>
      </c>
      <c r="AZ49" s="11"/>
      <c r="BA49" s="11">
        <v>960.15592</v>
      </c>
      <c r="BB49" s="11">
        <v>347.50105</v>
      </c>
      <c r="BC49" s="11">
        <v>347.50105</v>
      </c>
      <c r="BD49" s="11"/>
      <c r="BE49" s="40" t="s">
        <v>92</v>
      </c>
      <c r="BF49" s="53">
        <v>0.0</v>
      </c>
      <c r="BG49" s="53">
        <v>0.0</v>
      </c>
      <c r="BH49" s="53">
        <v>0.0</v>
      </c>
      <c r="BI49" s="11"/>
      <c r="BJ49" s="11" t="s">
        <v>411</v>
      </c>
      <c r="BK49" s="11">
        <v>0.0</v>
      </c>
      <c r="BL49" s="11">
        <v>0.0</v>
      </c>
      <c r="BM49" s="11">
        <v>0.0</v>
      </c>
      <c r="BN49" s="11"/>
      <c r="BO49" s="11"/>
      <c r="BP49" s="11"/>
      <c r="BQ49" s="11"/>
      <c r="BR49" s="11"/>
      <c r="BS49" s="11"/>
      <c r="BT49" s="11"/>
      <c r="BU49" s="11"/>
      <c r="BV49" s="11" t="s">
        <v>655</v>
      </c>
      <c r="BW49" s="11">
        <v>3.5</v>
      </c>
      <c r="BX49" s="11">
        <v>3.5</v>
      </c>
      <c r="BY49" s="11">
        <v>3.5</v>
      </c>
      <c r="BZ49" s="11"/>
      <c r="CA49" s="11"/>
      <c r="CB49" s="11" t="s">
        <v>237</v>
      </c>
      <c r="CC49" s="53">
        <v>0.0</v>
      </c>
      <c r="CD49" s="53">
        <v>0.0</v>
      </c>
      <c r="CE49" s="53">
        <v>0.0</v>
      </c>
      <c r="CF49" s="11"/>
      <c r="CG49" s="11" t="s">
        <v>656</v>
      </c>
      <c r="CH49" s="11"/>
      <c r="CI49" s="11">
        <v>2.25562</v>
      </c>
      <c r="CJ49" s="11"/>
      <c r="CK49" s="11"/>
      <c r="CL49" s="40"/>
      <c r="CM49" s="40"/>
      <c r="CN49" s="40"/>
      <c r="CO49" s="40"/>
      <c r="CP49" s="40" t="s">
        <v>657</v>
      </c>
      <c r="CQ49" s="43">
        <v>70.244</v>
      </c>
      <c r="CR49" s="43">
        <v>51.517</v>
      </c>
      <c r="CS49" s="40"/>
      <c r="CT49" s="40"/>
      <c r="CU49" s="40"/>
      <c r="CV49" s="11"/>
      <c r="CW49" s="11"/>
      <c r="CX49" s="11"/>
      <c r="CY49" s="11"/>
      <c r="C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 t="s">
        <v>577</v>
      </c>
      <c r="J50" s="11"/>
      <c r="K50" s="11">
        <v>4914.0</v>
      </c>
      <c r="L50" s="11">
        <v>3510.0</v>
      </c>
      <c r="M50" s="11"/>
      <c r="N50" s="11"/>
      <c r="O50" s="11"/>
      <c r="P50" s="11"/>
      <c r="Q50" s="11" t="s">
        <v>237</v>
      </c>
      <c r="R50" s="53">
        <v>2019.0</v>
      </c>
      <c r="S50" s="53">
        <v>2020.0</v>
      </c>
      <c r="T50" s="53">
        <v>2021.0</v>
      </c>
      <c r="U50" s="53">
        <v>2022.0</v>
      </c>
      <c r="V50" s="53">
        <v>2023.0</v>
      </c>
      <c r="W50" s="53">
        <v>2024.0</v>
      </c>
      <c r="X50" s="11"/>
      <c r="Y50" s="11" t="s">
        <v>658</v>
      </c>
      <c r="Z50" s="11">
        <v>0.0</v>
      </c>
      <c r="AA50" s="11">
        <v>0.0</v>
      </c>
      <c r="AB50" s="11">
        <v>947.235</v>
      </c>
      <c r="AC50" s="11">
        <v>2322.586</v>
      </c>
      <c r="AD50" s="11">
        <v>3694.445</v>
      </c>
      <c r="AE50" s="11">
        <v>0.0</v>
      </c>
      <c r="AF50" s="11"/>
      <c r="AG50" s="11" t="s">
        <v>248</v>
      </c>
      <c r="AH50" s="11"/>
      <c r="AI50" s="11"/>
      <c r="AJ50" s="11"/>
      <c r="AK50" s="11">
        <v>114.586</v>
      </c>
      <c r="AL50" s="11">
        <v>144.359</v>
      </c>
      <c r="AM50" s="11"/>
      <c r="AN50" s="11"/>
      <c r="AO50" s="11" t="s">
        <v>653</v>
      </c>
      <c r="AP50" s="53">
        <v>0.0</v>
      </c>
      <c r="AQ50" s="53">
        <v>0.0</v>
      </c>
      <c r="AR50" s="53">
        <v>0.0</v>
      </c>
      <c r="AS50" s="11"/>
      <c r="AT50" s="11" t="s">
        <v>411</v>
      </c>
      <c r="AU50" s="11">
        <v>0.0</v>
      </c>
      <c r="AV50" s="11">
        <v>0.0</v>
      </c>
      <c r="AW50" s="11">
        <v>0.0</v>
      </c>
      <c r="AX50" s="11"/>
      <c r="AY50" s="11" t="s">
        <v>411</v>
      </c>
      <c r="AZ50" s="11">
        <v>0.0</v>
      </c>
      <c r="BA50" s="11">
        <v>4372.55885</v>
      </c>
      <c r="BB50" s="11">
        <v>2125.383500000002</v>
      </c>
      <c r="BC50" s="11">
        <v>2125.38487</v>
      </c>
      <c r="BD50" s="11"/>
      <c r="BE50" s="40" t="s">
        <v>659</v>
      </c>
      <c r="BF50" s="11">
        <v>23678.823</v>
      </c>
      <c r="BG50" s="11">
        <v>28790.548</v>
      </c>
      <c r="BH50" s="11">
        <v>26819.743</v>
      </c>
      <c r="BI50" s="11"/>
      <c r="BJ50" s="11"/>
      <c r="BK50" s="11"/>
      <c r="BL50" s="11"/>
      <c r="BM50" s="11"/>
      <c r="BN50" s="11"/>
      <c r="BO50" s="11" t="s">
        <v>397</v>
      </c>
      <c r="BP50" s="11"/>
      <c r="BQ50" s="11"/>
      <c r="BR50" s="11"/>
      <c r="BS50" s="11"/>
      <c r="BT50" s="11"/>
      <c r="BU50" s="11"/>
      <c r="BV50" s="11" t="s">
        <v>660</v>
      </c>
      <c r="BW50" s="11">
        <v>0.91</v>
      </c>
      <c r="BX50" s="11">
        <v>0.91</v>
      </c>
      <c r="BY50" s="11">
        <v>0.91</v>
      </c>
      <c r="BZ50" s="11"/>
      <c r="CA50" s="11"/>
      <c r="CB50" s="11" t="s">
        <v>237</v>
      </c>
      <c r="CC50" s="11">
        <v>32544.051</v>
      </c>
      <c r="CD50" s="11">
        <v>31178.213</v>
      </c>
      <c r="CE50" s="11">
        <v>30726.949</v>
      </c>
      <c r="CF50" s="11"/>
      <c r="CG50" s="11" t="s">
        <v>661</v>
      </c>
      <c r="CH50" s="11">
        <v>230.94</v>
      </c>
      <c r="CI50" s="11"/>
      <c r="CJ50" s="11"/>
      <c r="CK50" s="11"/>
      <c r="CL50" s="40" t="s">
        <v>237</v>
      </c>
      <c r="CM50" s="46" t="s">
        <v>18</v>
      </c>
      <c r="CN50" s="46" t="s">
        <v>19</v>
      </c>
      <c r="CO50" s="40"/>
      <c r="CP50" s="40" t="s">
        <v>662</v>
      </c>
      <c r="CQ50" s="40"/>
      <c r="CR50" s="43">
        <v>26.02</v>
      </c>
      <c r="CS50" s="43">
        <v>279.10327</v>
      </c>
      <c r="CT50" s="43">
        <v>359.4656</v>
      </c>
      <c r="CU50" s="43">
        <v>0.03260500000033062</v>
      </c>
      <c r="CV50" s="11"/>
      <c r="CW50" s="11"/>
      <c r="CX50" s="11"/>
      <c r="CY50" s="11"/>
      <c r="CZ50" s="11"/>
    </row>
    <row r="51" ht="15.75" customHeight="1">
      <c r="A51" s="11" t="s">
        <v>663</v>
      </c>
      <c r="B51" s="53">
        <v>2019.0</v>
      </c>
      <c r="C51" s="53">
        <v>2020.0</v>
      </c>
      <c r="D51" s="53">
        <v>2021.0</v>
      </c>
      <c r="E51" s="53">
        <v>2022.0</v>
      </c>
      <c r="F51" s="53">
        <v>2023.0</v>
      </c>
      <c r="G51" s="53">
        <v>2024.0</v>
      </c>
      <c r="H51" s="11"/>
      <c r="I51" s="11" t="s">
        <v>664</v>
      </c>
      <c r="J51" s="11"/>
      <c r="K51" s="11">
        <v>-3407.0</v>
      </c>
      <c r="L51" s="11">
        <v>-1479.0</v>
      </c>
      <c r="M51" s="11"/>
      <c r="N51" s="11"/>
      <c r="O51" s="11"/>
      <c r="P51" s="11"/>
      <c r="Q51" s="11" t="s">
        <v>240</v>
      </c>
      <c r="R51" s="11">
        <v>9020.0</v>
      </c>
      <c r="S51" s="11">
        <v>10010.0</v>
      </c>
      <c r="T51" s="11">
        <v>6074.48</v>
      </c>
      <c r="U51" s="11">
        <v>7179.542</v>
      </c>
      <c r="V51" s="11">
        <v>8529.582</v>
      </c>
      <c r="W51" s="11">
        <v>10283.608</v>
      </c>
      <c r="X51" s="11"/>
      <c r="Y51" s="11"/>
      <c r="Z51" s="11"/>
      <c r="AA51" s="11"/>
      <c r="AB51" s="11"/>
      <c r="AC51" s="11"/>
      <c r="AD51" s="11"/>
      <c r="AE51" s="11"/>
      <c r="AF51" s="11"/>
      <c r="AG51" s="11" t="s">
        <v>260</v>
      </c>
      <c r="AH51" s="11">
        <v>0.0</v>
      </c>
      <c r="AI51" s="11"/>
      <c r="AJ51" s="11"/>
      <c r="AK51" s="11">
        <v>-18449.081</v>
      </c>
      <c r="AL51" s="11">
        <v>-20298.672</v>
      </c>
      <c r="AM51" s="11">
        <v>-22202.915</v>
      </c>
      <c r="AN51" s="11"/>
      <c r="AO51" s="11" t="s">
        <v>665</v>
      </c>
      <c r="AP51" s="11">
        <v>5.0</v>
      </c>
      <c r="AQ51" s="11">
        <v>5.0</v>
      </c>
      <c r="AR51" s="11">
        <v>5.0</v>
      </c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40" t="s">
        <v>411</v>
      </c>
      <c r="BF51" s="11">
        <v>23678.823</v>
      </c>
      <c r="BG51" s="11">
        <v>28790.548</v>
      </c>
      <c r="BH51" s="11">
        <v>26819.743</v>
      </c>
      <c r="BI51" s="11"/>
      <c r="BJ51" s="11" t="s">
        <v>397</v>
      </c>
      <c r="BK51" s="11"/>
      <c r="BL51" s="11"/>
      <c r="BM51" s="11"/>
      <c r="BN51" s="11"/>
      <c r="BO51" s="11" t="s">
        <v>92</v>
      </c>
      <c r="BP51" s="53">
        <v>0.0</v>
      </c>
      <c r="BQ51" s="53">
        <v>0.0</v>
      </c>
      <c r="BR51" s="53">
        <v>0.0</v>
      </c>
      <c r="BS51" s="53">
        <v>0.0</v>
      </c>
      <c r="BT51" s="53">
        <v>0.0</v>
      </c>
      <c r="BU51" s="11"/>
      <c r="BV51" s="11" t="s">
        <v>666</v>
      </c>
      <c r="BW51" s="11">
        <v>0.86</v>
      </c>
      <c r="BX51" s="11">
        <v>0.86</v>
      </c>
      <c r="BY51" s="11">
        <v>0.86</v>
      </c>
      <c r="BZ51" s="11"/>
      <c r="CA51" s="11"/>
      <c r="CB51" s="11" t="s">
        <v>667</v>
      </c>
      <c r="CC51" s="11">
        <v>7295.336</v>
      </c>
      <c r="CD51" s="11">
        <v>19181.871</v>
      </c>
      <c r="CE51" s="11">
        <v>26167.498</v>
      </c>
      <c r="CF51" s="11"/>
      <c r="CG51" s="11" t="s">
        <v>668</v>
      </c>
      <c r="CH51" s="11">
        <v>332.724</v>
      </c>
      <c r="CI51" s="11"/>
      <c r="CJ51" s="11"/>
      <c r="CK51" s="11"/>
      <c r="CL51" s="40" t="s">
        <v>650</v>
      </c>
      <c r="CM51" s="40"/>
      <c r="CN51" s="40"/>
      <c r="CO51" s="40"/>
      <c r="CP51" s="40" t="s">
        <v>669</v>
      </c>
      <c r="CQ51" s="43">
        <v>37.963</v>
      </c>
      <c r="CR51" s="43">
        <v>94.256</v>
      </c>
      <c r="CS51" s="43">
        <v>219.004</v>
      </c>
      <c r="CT51" s="43">
        <v>220.85896</v>
      </c>
      <c r="CU51" s="43">
        <v>433.468</v>
      </c>
      <c r="CV51" s="11"/>
      <c r="CW51" s="11"/>
      <c r="CX51" s="11"/>
      <c r="CY51" s="11"/>
      <c r="CZ51" s="11"/>
    </row>
    <row r="52" ht="15.75" customHeight="1">
      <c r="A52" s="11" t="s">
        <v>663</v>
      </c>
      <c r="B52" s="11"/>
      <c r="C52" s="11"/>
      <c r="D52" s="11"/>
      <c r="E52" s="11">
        <v>3227.955</v>
      </c>
      <c r="F52" s="11">
        <v>3844.663</v>
      </c>
      <c r="G52" s="11"/>
      <c r="H52" s="11"/>
      <c r="I52" s="11" t="s">
        <v>670</v>
      </c>
      <c r="J52" s="11"/>
      <c r="K52" s="11">
        <v>538.0</v>
      </c>
      <c r="L52" s="11">
        <v>538.0</v>
      </c>
      <c r="M52" s="11"/>
      <c r="N52" s="11"/>
      <c r="O52" s="11"/>
      <c r="P52" s="11"/>
      <c r="Q52" s="11" t="s">
        <v>529</v>
      </c>
      <c r="R52" s="11">
        <v>17787.0</v>
      </c>
      <c r="S52" s="11">
        <v>108635.0</v>
      </c>
      <c r="T52" s="11">
        <v>6074.48</v>
      </c>
      <c r="U52" s="11">
        <v>7179.542</v>
      </c>
      <c r="V52" s="11">
        <v>8529.582</v>
      </c>
      <c r="W52" s="11">
        <v>10283.608</v>
      </c>
      <c r="X52" s="11"/>
      <c r="Y52" s="11" t="s">
        <v>257</v>
      </c>
      <c r="Z52" s="53">
        <v>2019.0</v>
      </c>
      <c r="AA52" s="53">
        <v>2020.0</v>
      </c>
      <c r="AB52" s="53">
        <v>2021.0</v>
      </c>
      <c r="AC52" s="53">
        <v>2022.0</v>
      </c>
      <c r="AD52" s="53">
        <v>2023.0</v>
      </c>
      <c r="AE52" s="53">
        <v>2024.0</v>
      </c>
      <c r="AF52" s="11"/>
      <c r="AG52" s="11" t="s">
        <v>671</v>
      </c>
      <c r="AH52" s="11">
        <v>0.0</v>
      </c>
      <c r="AI52" s="11">
        <v>0.0</v>
      </c>
      <c r="AJ52" s="11">
        <v>0.0</v>
      </c>
      <c r="AK52" s="11">
        <v>11951.704</v>
      </c>
      <c r="AL52" s="11">
        <v>10657.175</v>
      </c>
      <c r="AM52" s="11">
        <v>10805.973</v>
      </c>
      <c r="AN52" s="11"/>
      <c r="AO52" s="11" t="s">
        <v>411</v>
      </c>
      <c r="AP52" s="11">
        <v>5.0</v>
      </c>
      <c r="AQ52" s="11">
        <v>5.0</v>
      </c>
      <c r="AR52" s="11">
        <v>5.0</v>
      </c>
      <c r="AS52" s="11"/>
      <c r="AT52" s="11" t="s">
        <v>397</v>
      </c>
      <c r="AU52" s="11"/>
      <c r="AV52" s="11"/>
      <c r="AW52" s="11"/>
      <c r="AX52" s="11"/>
      <c r="AY52" s="11" t="s">
        <v>397</v>
      </c>
      <c r="AZ52" s="11"/>
      <c r="BA52" s="11"/>
      <c r="BB52" s="11"/>
      <c r="BC52" s="11"/>
      <c r="BD52" s="11"/>
      <c r="BE52" s="40"/>
      <c r="BF52" s="11"/>
      <c r="BG52" s="11"/>
      <c r="BH52" s="11"/>
      <c r="BI52" s="11"/>
      <c r="BJ52" s="11" t="s">
        <v>238</v>
      </c>
      <c r="BK52" s="53">
        <v>0.0</v>
      </c>
      <c r="BL52" s="53">
        <v>0.0</v>
      </c>
      <c r="BM52" s="53">
        <v>0.0</v>
      </c>
      <c r="BN52" s="11"/>
      <c r="BO52" s="11" t="s">
        <v>672</v>
      </c>
      <c r="BP52" s="11">
        <v>162.59086</v>
      </c>
      <c r="BQ52" s="11">
        <v>264.51541</v>
      </c>
      <c r="BR52" s="11">
        <v>3641.56245</v>
      </c>
      <c r="BS52" s="11">
        <v>8278.43647</v>
      </c>
      <c r="BT52" s="11"/>
      <c r="BU52" s="11"/>
      <c r="BV52" s="11" t="s">
        <v>673</v>
      </c>
      <c r="BW52" s="11">
        <v>0.548</v>
      </c>
      <c r="BX52" s="11">
        <v>0.548</v>
      </c>
      <c r="BY52" s="11">
        <v>0.547</v>
      </c>
      <c r="BZ52" s="11"/>
      <c r="CA52" s="11"/>
      <c r="CB52" s="11" t="s">
        <v>674</v>
      </c>
      <c r="CC52" s="11">
        <v>7508.463</v>
      </c>
      <c r="CD52" s="11">
        <v>7508.463</v>
      </c>
      <c r="CE52" s="11">
        <v>7508.463</v>
      </c>
      <c r="CF52" s="11"/>
      <c r="CG52" s="11" t="s">
        <v>675</v>
      </c>
      <c r="CH52" s="11">
        <v>258.95876</v>
      </c>
      <c r="CI52" s="11"/>
      <c r="CJ52" s="11"/>
      <c r="CK52" s="11"/>
      <c r="CL52" s="40" t="s">
        <v>657</v>
      </c>
      <c r="CM52" s="43">
        <v>0.064</v>
      </c>
      <c r="CN52" s="43">
        <v>78.21942</v>
      </c>
      <c r="CO52" s="40"/>
      <c r="CP52" s="40" t="s">
        <v>676</v>
      </c>
      <c r="CQ52" s="40"/>
      <c r="CR52" s="40"/>
      <c r="CS52" s="43">
        <v>280.13052</v>
      </c>
      <c r="CT52" s="43">
        <v>371.311</v>
      </c>
      <c r="CU52" s="43">
        <v>21.745</v>
      </c>
      <c r="CV52" s="11"/>
      <c r="CW52" s="11"/>
      <c r="CX52" s="11"/>
      <c r="CY52" s="11"/>
      <c r="CZ52" s="11"/>
    </row>
    <row r="53" ht="15.75" customHeight="1">
      <c r="A53" s="11" t="s">
        <v>677</v>
      </c>
      <c r="B53" s="11">
        <v>0.0</v>
      </c>
      <c r="C53" s="11">
        <v>0.0</v>
      </c>
      <c r="D53" s="11">
        <v>0.0</v>
      </c>
      <c r="E53" s="11">
        <v>3227.955</v>
      </c>
      <c r="F53" s="11">
        <v>3844.663</v>
      </c>
      <c r="G53" s="11">
        <v>0.0</v>
      </c>
      <c r="H53" s="11"/>
      <c r="I53" s="11" t="s">
        <v>92</v>
      </c>
      <c r="J53" s="11"/>
      <c r="K53" s="11"/>
      <c r="L53" s="11"/>
      <c r="M53" s="11">
        <v>58821.594</v>
      </c>
      <c r="N53" s="11">
        <v>60654.179</v>
      </c>
      <c r="O53" s="11">
        <v>152555.974</v>
      </c>
      <c r="P53" s="11"/>
      <c r="Q53" s="11"/>
      <c r="R53" s="11"/>
      <c r="S53" s="11"/>
      <c r="T53" s="11"/>
      <c r="U53" s="11"/>
      <c r="V53" s="11"/>
      <c r="W53" s="11"/>
      <c r="X53" s="11"/>
      <c r="Y53" s="11" t="s">
        <v>257</v>
      </c>
      <c r="Z53" s="11"/>
      <c r="AA53" s="11"/>
      <c r="AB53" s="11"/>
      <c r="AC53" s="11"/>
      <c r="AD53" s="11"/>
      <c r="AE53" s="11">
        <v>71.945</v>
      </c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 t="s">
        <v>245</v>
      </c>
      <c r="AU53" s="53">
        <v>0.0</v>
      </c>
      <c r="AV53" s="53">
        <v>0.0</v>
      </c>
      <c r="AW53" s="53">
        <v>0.0</v>
      </c>
      <c r="AX53" s="11"/>
      <c r="AY53" s="11" t="s">
        <v>486</v>
      </c>
      <c r="AZ53" s="53">
        <v>0.0</v>
      </c>
      <c r="BA53" s="53">
        <v>0.0</v>
      </c>
      <c r="BB53" s="53">
        <v>0.0</v>
      </c>
      <c r="BC53" s="53">
        <v>0.0</v>
      </c>
      <c r="BD53" s="11"/>
      <c r="BE53" s="40" t="s">
        <v>397</v>
      </c>
      <c r="BF53" s="11"/>
      <c r="BG53" s="11"/>
      <c r="BH53" s="11"/>
      <c r="BI53" s="11"/>
      <c r="BJ53" s="11" t="s">
        <v>411</v>
      </c>
      <c r="BK53" s="11">
        <v>0.0</v>
      </c>
      <c r="BL53" s="11">
        <v>0.0</v>
      </c>
      <c r="BM53" s="11">
        <v>0.0</v>
      </c>
      <c r="BN53" s="11"/>
      <c r="BO53" s="11" t="s">
        <v>678</v>
      </c>
      <c r="BP53" s="11"/>
      <c r="BQ53" s="11">
        <v>462.89288</v>
      </c>
      <c r="BR53" s="11"/>
      <c r="BS53" s="11"/>
      <c r="BT53" s="11"/>
      <c r="BU53" s="11"/>
      <c r="BV53" s="11" t="s">
        <v>679</v>
      </c>
      <c r="BW53" s="11">
        <v>0.274</v>
      </c>
      <c r="BX53" s="11">
        <v>0.0</v>
      </c>
      <c r="BY53" s="11"/>
      <c r="BZ53" s="11"/>
      <c r="CA53" s="11"/>
      <c r="CB53" s="11" t="s">
        <v>680</v>
      </c>
      <c r="CC53" s="11">
        <v>960.724</v>
      </c>
      <c r="CD53" s="11">
        <v>960.724</v>
      </c>
      <c r="CE53" s="11">
        <v>960.724</v>
      </c>
      <c r="CF53" s="11"/>
      <c r="CG53" s="11" t="s">
        <v>681</v>
      </c>
      <c r="CH53" s="11">
        <v>405.96702</v>
      </c>
      <c r="CI53" s="11"/>
      <c r="CJ53" s="11"/>
      <c r="CK53" s="11"/>
      <c r="CL53" s="40" t="s">
        <v>662</v>
      </c>
      <c r="CM53" s="43">
        <v>12.127</v>
      </c>
      <c r="CN53" s="43">
        <v>63.12596</v>
      </c>
      <c r="CO53" s="40"/>
      <c r="CP53" s="40" t="s">
        <v>682</v>
      </c>
      <c r="CQ53" s="40"/>
      <c r="CR53" s="40"/>
      <c r="CS53" s="43">
        <v>26.02094</v>
      </c>
      <c r="CT53" s="43">
        <v>26.02094</v>
      </c>
      <c r="CU53" s="43">
        <v>26.02094</v>
      </c>
      <c r="CV53" s="11"/>
      <c r="CW53" s="11"/>
      <c r="CX53" s="11"/>
      <c r="CY53" s="11"/>
      <c r="C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 t="s">
        <v>571</v>
      </c>
      <c r="J54" s="11">
        <v>0.0</v>
      </c>
      <c r="K54" s="11">
        <v>82040.0</v>
      </c>
      <c r="L54" s="11">
        <v>69549.0</v>
      </c>
      <c r="M54" s="11">
        <v>58821.594</v>
      </c>
      <c r="N54" s="11">
        <v>60654.179</v>
      </c>
      <c r="O54" s="11">
        <v>152555.974</v>
      </c>
      <c r="P54" s="11"/>
      <c r="Q54" s="11" t="s">
        <v>92</v>
      </c>
      <c r="R54" s="53">
        <v>2019.0</v>
      </c>
      <c r="S54" s="53">
        <v>2020.0</v>
      </c>
      <c r="T54" s="53">
        <v>2021.0</v>
      </c>
      <c r="U54" s="53">
        <v>2022.0</v>
      </c>
      <c r="V54" s="53">
        <v>2023.0</v>
      </c>
      <c r="W54" s="53">
        <v>2024.0</v>
      </c>
      <c r="X54" s="11"/>
      <c r="Y54" s="11" t="s">
        <v>535</v>
      </c>
      <c r="Z54" s="11">
        <v>0.0</v>
      </c>
      <c r="AA54" s="11">
        <v>0.0</v>
      </c>
      <c r="AB54" s="11">
        <v>0.0</v>
      </c>
      <c r="AC54" s="11">
        <v>0.0</v>
      </c>
      <c r="AD54" s="11">
        <v>0.0</v>
      </c>
      <c r="AE54" s="11">
        <v>71.945</v>
      </c>
      <c r="AF54" s="11"/>
      <c r="AG54" s="11" t="s">
        <v>270</v>
      </c>
      <c r="AH54" s="53">
        <v>2019.0</v>
      </c>
      <c r="AI54" s="53">
        <v>2020.0</v>
      </c>
      <c r="AJ54" s="53">
        <v>2021.0</v>
      </c>
      <c r="AK54" s="53">
        <v>2022.0</v>
      </c>
      <c r="AL54" s="53">
        <v>2023.0</v>
      </c>
      <c r="AM54" s="53">
        <v>2024.0</v>
      </c>
      <c r="AN54" s="11"/>
      <c r="AO54" s="11" t="s">
        <v>397</v>
      </c>
      <c r="AP54" s="11"/>
      <c r="AQ54" s="11"/>
      <c r="AR54" s="11"/>
      <c r="AS54" s="11"/>
      <c r="AT54" s="11" t="s">
        <v>411</v>
      </c>
      <c r="AU54" s="11">
        <v>0.0</v>
      </c>
      <c r="AV54" s="11">
        <v>0.0</v>
      </c>
      <c r="AW54" s="11">
        <v>0.0</v>
      </c>
      <c r="AX54" s="11"/>
      <c r="AY54" s="11" t="s">
        <v>683</v>
      </c>
      <c r="AZ54" s="11">
        <v>4570.87152</v>
      </c>
      <c r="BA54" s="11">
        <v>0.0</v>
      </c>
      <c r="BB54" s="11"/>
      <c r="BC54" s="11"/>
      <c r="BD54" s="11"/>
      <c r="BE54" s="40" t="s">
        <v>238</v>
      </c>
      <c r="BF54" s="53">
        <v>0.0</v>
      </c>
      <c r="BG54" s="53">
        <v>0.0</v>
      </c>
      <c r="BH54" s="53">
        <v>0.0</v>
      </c>
      <c r="BI54" s="11"/>
      <c r="BJ54" s="11"/>
      <c r="BK54" s="11"/>
      <c r="BL54" s="11"/>
      <c r="BM54" s="11"/>
      <c r="BN54" s="11"/>
      <c r="BO54" s="11" t="s">
        <v>684</v>
      </c>
      <c r="BP54" s="11">
        <v>1626.03403</v>
      </c>
      <c r="BQ54" s="11">
        <v>438.25561</v>
      </c>
      <c r="BR54" s="11"/>
      <c r="BS54" s="11"/>
      <c r="BT54" s="11"/>
      <c r="BU54" s="11"/>
      <c r="BV54" s="11" t="s">
        <v>685</v>
      </c>
      <c r="BW54" s="11">
        <v>0.0</v>
      </c>
      <c r="BX54" s="11">
        <v>0.0</v>
      </c>
      <c r="BY54" s="11"/>
      <c r="BZ54" s="11"/>
      <c r="CA54" s="11"/>
      <c r="CB54" s="11" t="s">
        <v>686</v>
      </c>
      <c r="CC54" s="11"/>
      <c r="CD54" s="11"/>
      <c r="CE54" s="11"/>
      <c r="CF54" s="11"/>
      <c r="CG54" s="11" t="s">
        <v>411</v>
      </c>
      <c r="CH54" s="11">
        <v>5460.23366</v>
      </c>
      <c r="CI54" s="11">
        <v>3657.30785</v>
      </c>
      <c r="CJ54" s="11">
        <v>3609.58553</v>
      </c>
      <c r="CK54" s="11"/>
      <c r="CL54" s="40" t="s">
        <v>669</v>
      </c>
      <c r="CM54" s="43">
        <v>18.026</v>
      </c>
      <c r="CN54" s="43">
        <v>26.457</v>
      </c>
      <c r="CO54" s="40"/>
      <c r="CP54" s="40" t="s">
        <v>411</v>
      </c>
      <c r="CQ54" s="43">
        <v>182.012</v>
      </c>
      <c r="CR54" s="43">
        <v>253.033</v>
      </c>
      <c r="CS54" s="43">
        <v>945.9752500000001</v>
      </c>
      <c r="CT54" s="43">
        <v>977.6564999999999</v>
      </c>
      <c r="CU54" s="43">
        <v>481.2665450000003</v>
      </c>
      <c r="CV54" s="11"/>
      <c r="CW54" s="11"/>
      <c r="CX54" s="11"/>
      <c r="CY54" s="11"/>
      <c r="CZ54" s="11"/>
    </row>
    <row r="55" ht="15.75" customHeight="1">
      <c r="A55" s="11" t="s">
        <v>687</v>
      </c>
      <c r="B55" s="53">
        <v>2019.0</v>
      </c>
      <c r="C55" s="53">
        <v>2020.0</v>
      </c>
      <c r="D55" s="53">
        <v>2021.0</v>
      </c>
      <c r="E55" s="53">
        <v>2022.0</v>
      </c>
      <c r="F55" s="53">
        <v>2023.0</v>
      </c>
      <c r="G55" s="53">
        <v>2024.0</v>
      </c>
      <c r="H55" s="11"/>
      <c r="I55" s="11"/>
      <c r="J55" s="11"/>
      <c r="K55" s="11"/>
      <c r="L55" s="11"/>
      <c r="M55" s="11"/>
      <c r="N55" s="11"/>
      <c r="O55" s="11"/>
      <c r="P55" s="11"/>
      <c r="Q55" s="11" t="s">
        <v>688</v>
      </c>
      <c r="R55" s="11">
        <v>12482.0</v>
      </c>
      <c r="S55" s="11">
        <v>11000.0</v>
      </c>
      <c r="T55" s="11">
        <v>9027.959</v>
      </c>
      <c r="U55" s="11">
        <v>9936.311</v>
      </c>
      <c r="V55" s="11">
        <v>11853.918</v>
      </c>
      <c r="W55" s="11">
        <v>20667.477</v>
      </c>
      <c r="X55" s="11"/>
      <c r="Y55" s="11"/>
      <c r="Z55" s="11"/>
      <c r="AA55" s="11"/>
      <c r="AB55" s="11"/>
      <c r="AC55" s="11"/>
      <c r="AD55" s="11"/>
      <c r="AE55" s="11"/>
      <c r="AF55" s="11"/>
      <c r="AG55" s="11" t="s">
        <v>270</v>
      </c>
      <c r="AH55" s="11"/>
      <c r="AI55" s="11"/>
      <c r="AJ55" s="11"/>
      <c r="AK55" s="11">
        <v>11319.385</v>
      </c>
      <c r="AL55" s="11">
        <v>20216.327</v>
      </c>
      <c r="AM55" s="11">
        <v>14995.304</v>
      </c>
      <c r="AN55" s="11"/>
      <c r="AO55" s="11" t="s">
        <v>245</v>
      </c>
      <c r="AP55" s="53">
        <v>0.0</v>
      </c>
      <c r="AQ55" s="53">
        <v>0.0</v>
      </c>
      <c r="AR55" s="53">
        <v>0.0</v>
      </c>
      <c r="AS55" s="11"/>
      <c r="AT55" s="11"/>
      <c r="AU55" s="11"/>
      <c r="AV55" s="11"/>
      <c r="AW55" s="11"/>
      <c r="AX55" s="11"/>
      <c r="AY55" s="11" t="s">
        <v>689</v>
      </c>
      <c r="AZ55" s="11">
        <v>1760.0</v>
      </c>
      <c r="BA55" s="11">
        <v>1789.09861</v>
      </c>
      <c r="BB55" s="11">
        <v>5715.35486</v>
      </c>
      <c r="BC55" s="11">
        <v>6897.89394</v>
      </c>
      <c r="BD55" s="11"/>
      <c r="BE55" s="40" t="s">
        <v>411</v>
      </c>
      <c r="BF55" s="11">
        <v>0.0</v>
      </c>
      <c r="BG55" s="11">
        <v>0.0</v>
      </c>
      <c r="BH55" s="11">
        <v>0.0</v>
      </c>
      <c r="BI55" s="11"/>
      <c r="BJ55" s="11" t="s">
        <v>397</v>
      </c>
      <c r="BK55" s="11"/>
      <c r="BL55" s="11"/>
      <c r="BM55" s="11"/>
      <c r="BN55" s="11"/>
      <c r="BO55" s="11" t="s">
        <v>690</v>
      </c>
      <c r="BP55" s="11">
        <v>1229.35569</v>
      </c>
      <c r="BQ55" s="11">
        <v>1283.90055</v>
      </c>
      <c r="BR55" s="11"/>
      <c r="BS55" s="11"/>
      <c r="BT55" s="11"/>
      <c r="BU55" s="11"/>
      <c r="BV55" s="11" t="s">
        <v>691</v>
      </c>
      <c r="BW55" s="11">
        <v>0.0</v>
      </c>
      <c r="BX55" s="11">
        <v>0.0</v>
      </c>
      <c r="BY55" s="11"/>
      <c r="BZ55" s="11"/>
      <c r="CA55" s="11"/>
      <c r="CB55" s="11" t="s">
        <v>411</v>
      </c>
      <c r="CC55" s="11">
        <v>48308.57400000001</v>
      </c>
      <c r="CD55" s="11">
        <v>58829.27100000001</v>
      </c>
      <c r="CE55" s="11">
        <v>65363.63400000001</v>
      </c>
      <c r="CF55" s="11"/>
      <c r="CG55" s="11"/>
      <c r="CH55" s="11"/>
      <c r="CI55" s="11"/>
      <c r="CJ55" s="11"/>
      <c r="CK55" s="11"/>
      <c r="CL55" s="40" t="s">
        <v>692</v>
      </c>
      <c r="CM55" s="40"/>
      <c r="CN55" s="43">
        <v>28.42924</v>
      </c>
      <c r="CO55" s="40"/>
      <c r="CP55" s="40"/>
      <c r="CQ55" s="40"/>
      <c r="CR55" s="40"/>
      <c r="CS55" s="40"/>
      <c r="CT55" s="40"/>
      <c r="CU55" s="40"/>
      <c r="CV55" s="11"/>
      <c r="CW55" s="11"/>
      <c r="CX55" s="11"/>
      <c r="CY55" s="11"/>
      <c r="CZ55" s="11"/>
    </row>
    <row r="56" ht="15.75" customHeight="1">
      <c r="A56" s="11" t="s">
        <v>663</v>
      </c>
      <c r="B56" s="11"/>
      <c r="C56" s="11">
        <v>10181.019</v>
      </c>
      <c r="D56" s="11">
        <v>16090.981</v>
      </c>
      <c r="E56" s="11">
        <v>6822.458</v>
      </c>
      <c r="F56" s="11">
        <v>18468.018</v>
      </c>
      <c r="G56" s="11">
        <v>21738.022</v>
      </c>
      <c r="H56" s="11"/>
      <c r="I56" s="11" t="s">
        <v>245</v>
      </c>
      <c r="J56" s="53">
        <v>2019.0</v>
      </c>
      <c r="K56" s="53">
        <v>2020.0</v>
      </c>
      <c r="L56" s="53">
        <v>2021.0</v>
      </c>
      <c r="M56" s="53">
        <v>2022.0</v>
      </c>
      <c r="N56" s="53">
        <v>2023.0</v>
      </c>
      <c r="O56" s="53">
        <v>2024.0</v>
      </c>
      <c r="P56" s="11"/>
      <c r="Q56" s="11" t="s">
        <v>571</v>
      </c>
      <c r="R56" s="11">
        <v>8623.0</v>
      </c>
      <c r="S56" s="11">
        <v>5924.0</v>
      </c>
      <c r="T56" s="11">
        <v>9027.959</v>
      </c>
      <c r="U56" s="11">
        <v>9936.311</v>
      </c>
      <c r="V56" s="11">
        <v>11853.918</v>
      </c>
      <c r="W56" s="11">
        <v>20667.477</v>
      </c>
      <c r="X56" s="11"/>
      <c r="Y56" s="11" t="s">
        <v>625</v>
      </c>
      <c r="Z56" s="53">
        <v>2019.0</v>
      </c>
      <c r="AA56" s="53">
        <v>2020.0</v>
      </c>
      <c r="AB56" s="53">
        <v>2021.0</v>
      </c>
      <c r="AC56" s="53">
        <v>2022.0</v>
      </c>
      <c r="AD56" s="53">
        <v>2023.0</v>
      </c>
      <c r="AE56" s="53">
        <v>2024.0</v>
      </c>
      <c r="AF56" s="11"/>
      <c r="AG56" s="11" t="s">
        <v>555</v>
      </c>
      <c r="AH56" s="11">
        <v>0.0</v>
      </c>
      <c r="AI56" s="11">
        <v>0.0</v>
      </c>
      <c r="AJ56" s="11">
        <v>0.0</v>
      </c>
      <c r="AK56" s="11">
        <v>11319.385</v>
      </c>
      <c r="AL56" s="11">
        <v>20216.327</v>
      </c>
      <c r="AM56" s="11">
        <v>14995.304</v>
      </c>
      <c r="AN56" s="11"/>
      <c r="AO56" s="11" t="s">
        <v>411</v>
      </c>
      <c r="AP56" s="11">
        <v>0.0</v>
      </c>
      <c r="AQ56" s="11">
        <v>0.0</v>
      </c>
      <c r="AR56" s="11">
        <v>0.0</v>
      </c>
      <c r="AS56" s="11"/>
      <c r="AT56" s="11" t="s">
        <v>693</v>
      </c>
      <c r="AU56" s="11"/>
      <c r="AV56" s="11"/>
      <c r="AW56" s="11"/>
      <c r="AX56" s="11"/>
      <c r="AY56" s="11" t="s">
        <v>694</v>
      </c>
      <c r="AZ56" s="11"/>
      <c r="BA56" s="11">
        <v>0.0</v>
      </c>
      <c r="BB56" s="11"/>
      <c r="BC56" s="11"/>
      <c r="BD56" s="11"/>
      <c r="BE56" s="40"/>
      <c r="BF56" s="11"/>
      <c r="BG56" s="11"/>
      <c r="BH56" s="11"/>
      <c r="BI56" s="11"/>
      <c r="BJ56" s="11" t="s">
        <v>245</v>
      </c>
      <c r="BK56" s="53">
        <v>0.0</v>
      </c>
      <c r="BL56" s="53">
        <v>0.0</v>
      </c>
      <c r="BM56" s="53">
        <v>0.0</v>
      </c>
      <c r="BN56" s="11"/>
      <c r="BO56" s="11" t="s">
        <v>92</v>
      </c>
      <c r="BP56" s="11"/>
      <c r="BQ56" s="11"/>
      <c r="BR56" s="11"/>
      <c r="BS56" s="11"/>
      <c r="BT56" s="11"/>
      <c r="BU56" s="11"/>
      <c r="BV56" s="11" t="s">
        <v>695</v>
      </c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 t="s">
        <v>397</v>
      </c>
      <c r="CH56" s="11"/>
      <c r="CI56" s="11"/>
      <c r="CJ56" s="11"/>
      <c r="CK56" s="11"/>
      <c r="CL56" s="40" t="s">
        <v>682</v>
      </c>
      <c r="CM56" s="40"/>
      <c r="CN56" s="43">
        <v>10.01892</v>
      </c>
      <c r="CO56" s="40"/>
      <c r="CP56" s="40" t="s">
        <v>397</v>
      </c>
      <c r="CQ56" s="40"/>
      <c r="CR56" s="40"/>
      <c r="CS56" s="40"/>
      <c r="CT56" s="40"/>
      <c r="CU56" s="40"/>
      <c r="CV56" s="11"/>
      <c r="CW56" s="11"/>
      <c r="CX56" s="11"/>
      <c r="CY56" s="11"/>
      <c r="CZ56" s="11"/>
    </row>
    <row r="57" ht="15.75" customHeight="1">
      <c r="A57" s="11" t="s">
        <v>696</v>
      </c>
      <c r="B57" s="11">
        <v>0.0</v>
      </c>
      <c r="C57" s="11">
        <v>10181.019</v>
      </c>
      <c r="D57" s="11">
        <v>16090.981</v>
      </c>
      <c r="E57" s="11">
        <v>6822.458</v>
      </c>
      <c r="F57" s="11">
        <v>18468.018</v>
      </c>
      <c r="G57" s="11">
        <v>21738.022</v>
      </c>
      <c r="H57" s="11"/>
      <c r="I57" s="11" t="s">
        <v>604</v>
      </c>
      <c r="J57" s="11"/>
      <c r="K57" s="11">
        <v>30848.0</v>
      </c>
      <c r="L57" s="11">
        <v>30427.0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 t="s">
        <v>254</v>
      </c>
      <c r="Z57" s="11"/>
      <c r="AA57" s="11"/>
      <c r="AB57" s="11"/>
      <c r="AC57" s="11">
        <v>1689.486</v>
      </c>
      <c r="AD57" s="11">
        <v>2505.577</v>
      </c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 t="s">
        <v>397</v>
      </c>
      <c r="AU57" s="11"/>
      <c r="AV57" s="11"/>
      <c r="AW57" s="11"/>
      <c r="AX57" s="11"/>
      <c r="AY57" s="11" t="s">
        <v>697</v>
      </c>
      <c r="AZ57" s="11"/>
      <c r="BA57" s="11">
        <v>0.0</v>
      </c>
      <c r="BB57" s="11"/>
      <c r="BC57" s="11"/>
      <c r="BD57" s="11"/>
      <c r="BE57" s="40" t="s">
        <v>397</v>
      </c>
      <c r="BF57" s="11"/>
      <c r="BG57" s="11"/>
      <c r="BH57" s="11"/>
      <c r="BI57" s="11"/>
      <c r="BJ57" s="11" t="s">
        <v>411</v>
      </c>
      <c r="BK57" s="11">
        <v>0.0</v>
      </c>
      <c r="BL57" s="11">
        <v>0.0</v>
      </c>
      <c r="BM57" s="11">
        <v>0.0</v>
      </c>
      <c r="BN57" s="11"/>
      <c r="BO57" s="11" t="s">
        <v>411</v>
      </c>
      <c r="BP57" s="11">
        <v>3017.98058</v>
      </c>
      <c r="BQ57" s="11">
        <v>2449.56445</v>
      </c>
      <c r="BR57" s="11">
        <v>3641.56245</v>
      </c>
      <c r="BS57" s="11">
        <v>8278.43647</v>
      </c>
      <c r="BT57" s="11">
        <v>0.0</v>
      </c>
      <c r="BU57" s="11"/>
      <c r="BV57" s="11" t="s">
        <v>698</v>
      </c>
      <c r="BW57" s="11"/>
      <c r="BX57" s="11"/>
      <c r="BY57" s="11"/>
      <c r="BZ57" s="11">
        <v>205352.35198</v>
      </c>
      <c r="CA57" s="11"/>
      <c r="CB57" s="11" t="s">
        <v>397</v>
      </c>
      <c r="CC57" s="11"/>
      <c r="CD57" s="11"/>
      <c r="CE57" s="11"/>
      <c r="CF57" s="11"/>
      <c r="CG57" s="11" t="s">
        <v>472</v>
      </c>
      <c r="CH57" s="53">
        <v>0.0</v>
      </c>
      <c r="CI57" s="53">
        <v>0.0</v>
      </c>
      <c r="CJ57" s="53">
        <v>0.0</v>
      </c>
      <c r="CK57" s="11"/>
      <c r="CL57" s="40" t="s">
        <v>411</v>
      </c>
      <c r="CM57" s="43">
        <v>30.217</v>
      </c>
      <c r="CN57" s="43">
        <v>206.25054</v>
      </c>
      <c r="CO57" s="40"/>
      <c r="CP57" s="40" t="s">
        <v>92</v>
      </c>
      <c r="CQ57" s="46" t="s">
        <v>17</v>
      </c>
      <c r="CR57" s="46" t="s">
        <v>18</v>
      </c>
      <c r="CS57" s="46" t="s">
        <v>19</v>
      </c>
      <c r="CT57" s="46" t="s">
        <v>20</v>
      </c>
      <c r="CU57" s="46" t="s">
        <v>21</v>
      </c>
      <c r="CV57" s="11"/>
      <c r="CW57" s="11"/>
      <c r="CX57" s="11"/>
      <c r="CY57" s="11"/>
      <c r="C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 t="s">
        <v>699</v>
      </c>
      <c r="J58" s="11"/>
      <c r="K58" s="11"/>
      <c r="L58" s="11"/>
      <c r="M58" s="11">
        <v>22300.368</v>
      </c>
      <c r="N58" s="11">
        <v>34945.174</v>
      </c>
      <c r="O58" s="11"/>
      <c r="P58" s="11"/>
      <c r="Q58" s="11" t="s">
        <v>245</v>
      </c>
      <c r="R58" s="53">
        <v>2019.0</v>
      </c>
      <c r="S58" s="53">
        <v>2020.0</v>
      </c>
      <c r="T58" s="53">
        <v>2021.0</v>
      </c>
      <c r="U58" s="53">
        <v>2022.0</v>
      </c>
      <c r="V58" s="53">
        <v>2023.0</v>
      </c>
      <c r="W58" s="53">
        <v>2024.0</v>
      </c>
      <c r="X58" s="11"/>
      <c r="Y58" s="11" t="s">
        <v>241</v>
      </c>
      <c r="Z58" s="11"/>
      <c r="AA58" s="11"/>
      <c r="AB58" s="11"/>
      <c r="AC58" s="11">
        <v>945.096</v>
      </c>
      <c r="AD58" s="11">
        <v>683.986</v>
      </c>
      <c r="AE58" s="11"/>
      <c r="AF58" s="11"/>
      <c r="AG58" s="11" t="s">
        <v>249</v>
      </c>
      <c r="AH58" s="53">
        <v>2019.0</v>
      </c>
      <c r="AI58" s="53">
        <v>2020.0</v>
      </c>
      <c r="AJ58" s="53">
        <v>2021.0</v>
      </c>
      <c r="AK58" s="53">
        <v>2022.0</v>
      </c>
      <c r="AL58" s="53">
        <v>2023.0</v>
      </c>
      <c r="AM58" s="53">
        <v>2024.0</v>
      </c>
      <c r="AN58" s="11"/>
      <c r="AO58" s="11" t="s">
        <v>693</v>
      </c>
      <c r="AP58" s="11"/>
      <c r="AQ58" s="11"/>
      <c r="AR58" s="11"/>
      <c r="AS58" s="11"/>
      <c r="AT58" s="11" t="s">
        <v>625</v>
      </c>
      <c r="AU58" s="53">
        <v>0.0</v>
      </c>
      <c r="AV58" s="53">
        <v>0.0</v>
      </c>
      <c r="AW58" s="53">
        <v>0.0</v>
      </c>
      <c r="AX58" s="11"/>
      <c r="AY58" s="11" t="s">
        <v>700</v>
      </c>
      <c r="AZ58" s="11">
        <v>1162.377</v>
      </c>
      <c r="BA58" s="11">
        <v>689.70909</v>
      </c>
      <c r="BB58" s="11">
        <v>217.51462</v>
      </c>
      <c r="BC58" s="11"/>
      <c r="BD58" s="11"/>
      <c r="BE58" s="40" t="s">
        <v>245</v>
      </c>
      <c r="BF58" s="53">
        <v>0.0</v>
      </c>
      <c r="BG58" s="53">
        <v>0.0</v>
      </c>
      <c r="BH58" s="53">
        <v>0.0</v>
      </c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 t="s">
        <v>411</v>
      </c>
      <c r="BW58" s="11">
        <v>509219.6459999999</v>
      </c>
      <c r="BX58" s="11">
        <v>499513.1519999999</v>
      </c>
      <c r="BY58" s="11">
        <v>399411.107</v>
      </c>
      <c r="BZ58" s="11">
        <v>205352.35198</v>
      </c>
      <c r="CA58" s="11"/>
      <c r="CB58" s="11" t="s">
        <v>92</v>
      </c>
      <c r="CC58" s="53">
        <v>0.0</v>
      </c>
      <c r="CD58" s="53">
        <v>0.0</v>
      </c>
      <c r="CE58" s="53">
        <v>0.0</v>
      </c>
      <c r="CF58" s="11"/>
      <c r="CG58" s="11" t="s">
        <v>508</v>
      </c>
      <c r="CH58" s="11"/>
      <c r="CI58" s="11"/>
      <c r="CJ58" s="11"/>
      <c r="CK58" s="11"/>
      <c r="CL58" s="40"/>
      <c r="CM58" s="40"/>
      <c r="CN58" s="40"/>
      <c r="CO58" s="40"/>
      <c r="CP58" s="40" t="s">
        <v>701</v>
      </c>
      <c r="CQ58" s="43">
        <v>2682.009</v>
      </c>
      <c r="CR58" s="43">
        <v>4198.534</v>
      </c>
      <c r="CS58" s="43">
        <v>9225.5937</v>
      </c>
      <c r="CT58" s="43">
        <v>12982.95614</v>
      </c>
      <c r="CU58" s="43">
        <v>11631.38695</v>
      </c>
      <c r="CV58" s="11"/>
      <c r="CW58" s="11"/>
      <c r="CX58" s="11"/>
      <c r="CY58" s="11"/>
      <c r="CZ58" s="11"/>
    </row>
    <row r="59" ht="15.75" customHeight="1">
      <c r="A59" s="11" t="s">
        <v>326</v>
      </c>
      <c r="B59" s="53">
        <v>2019.0</v>
      </c>
      <c r="C59" s="53">
        <v>2020.0</v>
      </c>
      <c r="D59" s="53">
        <v>2021.0</v>
      </c>
      <c r="E59" s="53">
        <v>2022.0</v>
      </c>
      <c r="F59" s="53">
        <v>2023.0</v>
      </c>
      <c r="G59" s="53">
        <v>2024.0</v>
      </c>
      <c r="H59" s="11"/>
      <c r="I59" s="11" t="s">
        <v>612</v>
      </c>
      <c r="J59" s="11">
        <v>0.0</v>
      </c>
      <c r="K59" s="11">
        <v>30848.0</v>
      </c>
      <c r="L59" s="11">
        <v>30427.0</v>
      </c>
      <c r="M59" s="11">
        <v>22300.368</v>
      </c>
      <c r="N59" s="11">
        <v>34945.174</v>
      </c>
      <c r="O59" s="11">
        <v>0.0</v>
      </c>
      <c r="P59" s="11"/>
      <c r="Q59" s="11" t="s">
        <v>699</v>
      </c>
      <c r="R59" s="11">
        <v>2664.0</v>
      </c>
      <c r="S59" s="11">
        <v>2545.0</v>
      </c>
      <c r="T59" s="11">
        <v>2433.912</v>
      </c>
      <c r="U59" s="11">
        <v>2840.836</v>
      </c>
      <c r="V59" s="11">
        <v>4465.012</v>
      </c>
      <c r="W59" s="11"/>
      <c r="X59" s="11"/>
      <c r="Y59" s="11" t="s">
        <v>243</v>
      </c>
      <c r="Z59" s="11"/>
      <c r="AA59" s="11"/>
      <c r="AB59" s="11"/>
      <c r="AC59" s="11">
        <v>20.875</v>
      </c>
      <c r="AD59" s="11">
        <v>15.342</v>
      </c>
      <c r="AE59" s="11"/>
      <c r="AF59" s="11"/>
      <c r="AG59" s="11" t="s">
        <v>249</v>
      </c>
      <c r="AH59" s="11"/>
      <c r="AI59" s="11"/>
      <c r="AJ59" s="11"/>
      <c r="AK59" s="11"/>
      <c r="AL59" s="11"/>
      <c r="AM59" s="11">
        <v>165.382</v>
      </c>
      <c r="AN59" s="11"/>
      <c r="AO59" s="11" t="s">
        <v>397</v>
      </c>
      <c r="AP59" s="11"/>
      <c r="AQ59" s="11"/>
      <c r="AR59" s="11"/>
      <c r="AS59" s="11"/>
      <c r="AT59" s="11" t="s">
        <v>625</v>
      </c>
      <c r="AU59" s="11"/>
      <c r="AV59" s="11">
        <v>129.08187</v>
      </c>
      <c r="AW59" s="11"/>
      <c r="AX59" s="11"/>
      <c r="AY59" s="11" t="s">
        <v>702</v>
      </c>
      <c r="AZ59" s="11">
        <v>1138.986</v>
      </c>
      <c r="BA59" s="11">
        <v>1195.50701</v>
      </c>
      <c r="BB59" s="11">
        <v>3597.04121</v>
      </c>
      <c r="BC59" s="11">
        <v>3113.39185</v>
      </c>
      <c r="BD59" s="11"/>
      <c r="BE59" s="40" t="s">
        <v>411</v>
      </c>
      <c r="BF59" s="11">
        <v>0.0</v>
      </c>
      <c r="BG59" s="11">
        <v>0.0</v>
      </c>
      <c r="BH59" s="11">
        <v>0.0</v>
      </c>
      <c r="BI59" s="11"/>
      <c r="BJ59" s="11" t="s">
        <v>693</v>
      </c>
      <c r="BK59" s="11"/>
      <c r="BL59" s="11"/>
      <c r="BM59" s="11"/>
      <c r="BN59" s="11"/>
      <c r="BO59" s="11" t="s">
        <v>238</v>
      </c>
      <c r="BP59" s="53">
        <v>0.0</v>
      </c>
      <c r="BQ59" s="53">
        <v>0.0</v>
      </c>
      <c r="BR59" s="53">
        <v>0.0</v>
      </c>
      <c r="BS59" s="53">
        <v>0.0</v>
      </c>
      <c r="BT59" s="53">
        <v>0.0</v>
      </c>
      <c r="BU59" s="11"/>
      <c r="BV59" s="11"/>
      <c r="BW59" s="11"/>
      <c r="BX59" s="11"/>
      <c r="BY59" s="11"/>
      <c r="BZ59" s="11"/>
      <c r="CA59" s="11"/>
      <c r="CB59" s="11" t="s">
        <v>703</v>
      </c>
      <c r="CC59" s="11">
        <v>106027.177</v>
      </c>
      <c r="CD59" s="11">
        <v>168857.253</v>
      </c>
      <c r="CE59" s="11">
        <v>216476.404</v>
      </c>
      <c r="CF59" s="11"/>
      <c r="CG59" s="11" t="s">
        <v>514</v>
      </c>
      <c r="CH59" s="11"/>
      <c r="CI59" s="11"/>
      <c r="CJ59" s="11"/>
      <c r="CK59" s="53"/>
      <c r="CL59" s="40" t="s">
        <v>397</v>
      </c>
      <c r="CM59" s="40"/>
      <c r="CN59" s="40"/>
      <c r="CO59" s="40"/>
      <c r="CP59" s="40" t="s">
        <v>704</v>
      </c>
      <c r="CQ59" s="43">
        <v>236.116</v>
      </c>
      <c r="CR59" s="43">
        <v>442.935</v>
      </c>
      <c r="CS59" s="40"/>
      <c r="CT59" s="40"/>
      <c r="CU59" s="43">
        <v>1014.31406</v>
      </c>
      <c r="CV59" s="53"/>
      <c r="CW59" s="53"/>
      <c r="CX59" s="53"/>
      <c r="CY59" s="53"/>
      <c r="CZ59" s="53"/>
    </row>
    <row r="60" ht="15.75" customHeight="1">
      <c r="A60" s="11" t="s">
        <v>326</v>
      </c>
      <c r="B60" s="11"/>
      <c r="C60" s="11"/>
      <c r="D60" s="11">
        <v>40.0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 t="s">
        <v>612</v>
      </c>
      <c r="R60" s="11">
        <v>5631.0</v>
      </c>
      <c r="S60" s="11">
        <v>7037.0</v>
      </c>
      <c r="T60" s="11">
        <v>2433.912</v>
      </c>
      <c r="U60" s="11">
        <v>2840.836</v>
      </c>
      <c r="V60" s="11">
        <v>4465.012</v>
      </c>
      <c r="W60" s="11">
        <v>0.0</v>
      </c>
      <c r="X60" s="11"/>
      <c r="Y60" s="11" t="s">
        <v>244</v>
      </c>
      <c r="Z60" s="11"/>
      <c r="AA60" s="11"/>
      <c r="AB60" s="11"/>
      <c r="AC60" s="11">
        <v>5.576</v>
      </c>
      <c r="AD60" s="11">
        <v>3.417</v>
      </c>
      <c r="AE60" s="11"/>
      <c r="AF60" s="11"/>
      <c r="AG60" s="11" t="s">
        <v>519</v>
      </c>
      <c r="AH60" s="11">
        <v>0.0</v>
      </c>
      <c r="AI60" s="11">
        <v>0.0</v>
      </c>
      <c r="AJ60" s="11">
        <v>0.0</v>
      </c>
      <c r="AK60" s="11">
        <v>0.0</v>
      </c>
      <c r="AL60" s="11">
        <v>0.0</v>
      </c>
      <c r="AM60" s="11">
        <v>165.382</v>
      </c>
      <c r="AN60" s="11"/>
      <c r="AO60" s="11" t="s">
        <v>625</v>
      </c>
      <c r="AP60" s="53">
        <v>0.0</v>
      </c>
      <c r="AQ60" s="53">
        <v>0.0</v>
      </c>
      <c r="AR60" s="53">
        <v>0.0</v>
      </c>
      <c r="AS60" s="11"/>
      <c r="AT60" s="11" t="s">
        <v>411</v>
      </c>
      <c r="AU60" s="11">
        <v>0.0</v>
      </c>
      <c r="AV60" s="11">
        <v>129.08187</v>
      </c>
      <c r="AW60" s="11">
        <v>0.0</v>
      </c>
      <c r="AX60" s="11"/>
      <c r="AY60" s="11" t="s">
        <v>705</v>
      </c>
      <c r="AZ60" s="11">
        <v>218.677</v>
      </c>
      <c r="BA60" s="11">
        <v>279.737</v>
      </c>
      <c r="BB60" s="11">
        <v>233.28083</v>
      </c>
      <c r="BC60" s="11"/>
      <c r="BD60" s="11"/>
      <c r="BE60" s="40"/>
      <c r="BF60" s="11"/>
      <c r="BG60" s="11"/>
      <c r="BH60" s="11"/>
      <c r="BI60" s="11"/>
      <c r="BJ60" s="11" t="s">
        <v>397</v>
      </c>
      <c r="BK60" s="11"/>
      <c r="BL60" s="11"/>
      <c r="BM60" s="11"/>
      <c r="BN60" s="11"/>
      <c r="BO60" s="11" t="s">
        <v>411</v>
      </c>
      <c r="BP60" s="11">
        <v>0.0</v>
      </c>
      <c r="BQ60" s="11">
        <v>0.0</v>
      </c>
      <c r="BR60" s="11">
        <v>0.0</v>
      </c>
      <c r="BS60" s="11">
        <v>0.0</v>
      </c>
      <c r="BT60" s="11">
        <v>0.0</v>
      </c>
      <c r="BU60" s="11"/>
      <c r="BV60" s="11" t="s">
        <v>421</v>
      </c>
      <c r="BW60" s="53">
        <v>0.0</v>
      </c>
      <c r="BX60" s="53">
        <v>0.0</v>
      </c>
      <c r="BY60" s="53">
        <v>0.0</v>
      </c>
      <c r="BZ60" s="53">
        <v>0.0</v>
      </c>
      <c r="CA60" s="11"/>
      <c r="CB60" s="11" t="s">
        <v>411</v>
      </c>
      <c r="CC60" s="11">
        <v>106027.177</v>
      </c>
      <c r="CD60" s="11">
        <v>168857.253</v>
      </c>
      <c r="CE60" s="11">
        <v>216476.404</v>
      </c>
      <c r="CF60" s="11"/>
      <c r="CG60" s="11" t="s">
        <v>521</v>
      </c>
      <c r="CH60" s="11"/>
      <c r="CI60" s="11"/>
      <c r="CJ60" s="11"/>
      <c r="CK60" s="11"/>
      <c r="CL60" s="40" t="s">
        <v>92</v>
      </c>
      <c r="CM60" s="46" t="s">
        <v>18</v>
      </c>
      <c r="CN60" s="46" t="s">
        <v>19</v>
      </c>
      <c r="CO60" s="40"/>
      <c r="CP60" s="40" t="s">
        <v>411</v>
      </c>
      <c r="CQ60" s="43">
        <v>2918.125</v>
      </c>
      <c r="CR60" s="43">
        <v>4641.469</v>
      </c>
      <c r="CS60" s="43">
        <v>9225.5937</v>
      </c>
      <c r="CT60" s="43">
        <v>12982.95614</v>
      </c>
      <c r="CU60" s="43">
        <v>12645.70101</v>
      </c>
      <c r="CV60" s="11"/>
      <c r="CW60" s="11"/>
      <c r="CX60" s="11"/>
      <c r="CY60" s="11"/>
      <c r="CZ60" s="11"/>
    </row>
    <row r="61" ht="15.75" customHeight="1">
      <c r="A61" s="11" t="s">
        <v>706</v>
      </c>
      <c r="B61" s="11">
        <v>0.0</v>
      </c>
      <c r="C61" s="11">
        <v>0.0</v>
      </c>
      <c r="D61" s="11">
        <v>40.0</v>
      </c>
      <c r="E61" s="11">
        <v>0.0</v>
      </c>
      <c r="F61" s="11">
        <v>0.0</v>
      </c>
      <c r="G61" s="11">
        <v>0.0</v>
      </c>
      <c r="H61" s="11"/>
      <c r="I61" s="11" t="s">
        <v>249</v>
      </c>
      <c r="J61" s="53">
        <v>2019.0</v>
      </c>
      <c r="K61" s="53">
        <v>2020.0</v>
      </c>
      <c r="L61" s="53">
        <v>2021.0</v>
      </c>
      <c r="M61" s="53">
        <v>2022.0</v>
      </c>
      <c r="N61" s="53">
        <v>2023.0</v>
      </c>
      <c r="O61" s="53">
        <v>2024.0</v>
      </c>
      <c r="P61" s="11"/>
      <c r="Q61" s="11"/>
      <c r="R61" s="11"/>
      <c r="S61" s="11"/>
      <c r="T61" s="11"/>
      <c r="U61" s="11"/>
      <c r="V61" s="11"/>
      <c r="W61" s="11"/>
      <c r="X61" s="11"/>
      <c r="Y61" s="11" t="s">
        <v>248</v>
      </c>
      <c r="Z61" s="11"/>
      <c r="AA61" s="11"/>
      <c r="AB61" s="11">
        <v>45079.636</v>
      </c>
      <c r="AC61" s="11"/>
      <c r="AD61" s="11"/>
      <c r="AE61" s="11">
        <v>5083.783</v>
      </c>
      <c r="AF61" s="11"/>
      <c r="AG61" s="11"/>
      <c r="AH61" s="11"/>
      <c r="AI61" s="11"/>
      <c r="AJ61" s="11"/>
      <c r="AK61" s="11"/>
      <c r="AL61" s="11"/>
      <c r="AM61" s="11"/>
      <c r="AN61" s="11"/>
      <c r="AO61" s="11" t="s">
        <v>707</v>
      </c>
      <c r="AP61" s="11">
        <v>1937.5</v>
      </c>
      <c r="AQ61" s="11">
        <v>1937.5</v>
      </c>
      <c r="AR61" s="11">
        <v>1937.5</v>
      </c>
      <c r="AS61" s="11"/>
      <c r="AT61" s="11"/>
      <c r="AU61" s="11"/>
      <c r="AV61" s="11"/>
      <c r="AW61" s="11"/>
      <c r="AX61" s="11"/>
      <c r="AY61" s="11" t="s">
        <v>708</v>
      </c>
      <c r="AZ61" s="11">
        <v>0.0</v>
      </c>
      <c r="BA61" s="11">
        <v>947.232</v>
      </c>
      <c r="BB61" s="11"/>
      <c r="BC61" s="11"/>
      <c r="BD61" s="11"/>
      <c r="BE61" s="40" t="s">
        <v>693</v>
      </c>
      <c r="BF61" s="11"/>
      <c r="BG61" s="11"/>
      <c r="BH61" s="11"/>
      <c r="BI61" s="11"/>
      <c r="BJ61" s="11" t="s">
        <v>625</v>
      </c>
      <c r="BK61" s="53">
        <v>0.0</v>
      </c>
      <c r="BL61" s="53">
        <v>0.0</v>
      </c>
      <c r="BM61" s="53">
        <v>0.0</v>
      </c>
      <c r="BN61" s="11"/>
      <c r="BO61" s="11"/>
      <c r="BP61" s="11"/>
      <c r="BQ61" s="11"/>
      <c r="BR61" s="11"/>
      <c r="BS61" s="11"/>
      <c r="BT61" s="11"/>
      <c r="BU61" s="11"/>
      <c r="BV61" s="11" t="s">
        <v>709</v>
      </c>
      <c r="BW61" s="11">
        <v>34263.723</v>
      </c>
      <c r="BX61" s="11">
        <v>31449.952</v>
      </c>
      <c r="BY61" s="11">
        <v>34217.373</v>
      </c>
      <c r="BZ61" s="11">
        <v>54465.36812</v>
      </c>
      <c r="CA61" s="11"/>
      <c r="CB61" s="11"/>
      <c r="CC61" s="11"/>
      <c r="CD61" s="11"/>
      <c r="CE61" s="11"/>
      <c r="CF61" s="11"/>
      <c r="CG61" s="11" t="s">
        <v>525</v>
      </c>
      <c r="CH61" s="11"/>
      <c r="CI61" s="11"/>
      <c r="CJ61" s="11"/>
      <c r="CK61" s="11"/>
      <c r="CL61" s="40" t="s">
        <v>701</v>
      </c>
      <c r="CM61" s="40"/>
      <c r="CN61" s="43">
        <v>1541.29492</v>
      </c>
      <c r="CO61" s="40"/>
      <c r="CP61" s="40"/>
      <c r="CQ61" s="40"/>
      <c r="CR61" s="40"/>
      <c r="CS61" s="40"/>
      <c r="CT61" s="40"/>
      <c r="CU61" s="40"/>
      <c r="CV61" s="11"/>
      <c r="CW61" s="11"/>
      <c r="CX61" s="11"/>
      <c r="CY61" s="11"/>
      <c r="C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 t="s">
        <v>710</v>
      </c>
      <c r="J62" s="11"/>
      <c r="K62" s="11">
        <v>2613.0</v>
      </c>
      <c r="L62" s="11">
        <v>9931.0</v>
      </c>
      <c r="M62" s="11"/>
      <c r="N62" s="11"/>
      <c r="O62" s="11"/>
      <c r="P62" s="11"/>
      <c r="Q62" s="11" t="s">
        <v>711</v>
      </c>
      <c r="R62" s="53">
        <v>2019.0</v>
      </c>
      <c r="S62" s="53">
        <v>2020.0</v>
      </c>
      <c r="T62" s="53">
        <v>2021.0</v>
      </c>
      <c r="U62" s="53">
        <v>2022.0</v>
      </c>
      <c r="V62" s="53">
        <v>2023.0</v>
      </c>
      <c r="W62" s="53">
        <v>2024.0</v>
      </c>
      <c r="X62" s="11"/>
      <c r="Y62" s="11" t="s">
        <v>260</v>
      </c>
      <c r="Z62" s="11">
        <v>0.0</v>
      </c>
      <c r="AA62" s="11"/>
      <c r="AB62" s="11"/>
      <c r="AC62" s="11"/>
      <c r="AD62" s="11"/>
      <c r="AE62" s="11"/>
      <c r="AF62" s="11"/>
      <c r="AG62" s="11" t="s">
        <v>284</v>
      </c>
      <c r="AH62" s="53">
        <v>2019.0</v>
      </c>
      <c r="AI62" s="53">
        <v>2020.0</v>
      </c>
      <c r="AJ62" s="53">
        <v>2021.0</v>
      </c>
      <c r="AK62" s="53">
        <v>2022.0</v>
      </c>
      <c r="AL62" s="53">
        <v>2023.0</v>
      </c>
      <c r="AM62" s="53">
        <v>2024.0</v>
      </c>
      <c r="AN62" s="11"/>
      <c r="AO62" s="11" t="s">
        <v>411</v>
      </c>
      <c r="AP62" s="11">
        <v>1937.5</v>
      </c>
      <c r="AQ62" s="11">
        <v>1937.5</v>
      </c>
      <c r="AR62" s="11">
        <v>1937.5</v>
      </c>
      <c r="AS62" s="11"/>
      <c r="AT62" s="11" t="s">
        <v>266</v>
      </c>
      <c r="AU62" s="53">
        <v>0.0</v>
      </c>
      <c r="AV62" s="53">
        <v>0.0</v>
      </c>
      <c r="AW62" s="53">
        <v>0.0</v>
      </c>
      <c r="AX62" s="11"/>
      <c r="AY62" s="11" t="s">
        <v>712</v>
      </c>
      <c r="AZ62" s="11">
        <v>0.0</v>
      </c>
      <c r="BA62" s="11">
        <v>265.0</v>
      </c>
      <c r="BB62" s="11">
        <v>265.0</v>
      </c>
      <c r="BC62" s="11"/>
      <c r="BD62" s="11"/>
      <c r="BE62" s="40" t="s">
        <v>397</v>
      </c>
      <c r="BF62" s="11"/>
      <c r="BG62" s="11"/>
      <c r="BH62" s="11"/>
      <c r="BI62" s="11"/>
      <c r="BJ62" s="11" t="s">
        <v>713</v>
      </c>
      <c r="BK62" s="11">
        <v>12436.298</v>
      </c>
      <c r="BL62" s="11">
        <v>12759.469</v>
      </c>
      <c r="BM62" s="11">
        <v>17613.393</v>
      </c>
      <c r="BN62" s="11"/>
      <c r="BO62" s="11" t="s">
        <v>397</v>
      </c>
      <c r="BP62" s="11"/>
      <c r="BQ62" s="11"/>
      <c r="BR62" s="11"/>
      <c r="BS62" s="11"/>
      <c r="BT62" s="11"/>
      <c r="BU62" s="11"/>
      <c r="BV62" s="11" t="s">
        <v>714</v>
      </c>
      <c r="BW62" s="11">
        <v>20736.664</v>
      </c>
      <c r="BX62" s="11">
        <v>20769.535</v>
      </c>
      <c r="BY62" s="11">
        <v>25826.704</v>
      </c>
      <c r="BZ62" s="11">
        <v>20817.26285</v>
      </c>
      <c r="CA62" s="11"/>
      <c r="CB62" s="11" t="s">
        <v>397</v>
      </c>
      <c r="CC62" s="11"/>
      <c r="CD62" s="11"/>
      <c r="CE62" s="11"/>
      <c r="CF62" s="11"/>
      <c r="CG62" s="11" t="s">
        <v>527</v>
      </c>
      <c r="CH62" s="11"/>
      <c r="CI62" s="11"/>
      <c r="CJ62" s="11"/>
      <c r="CK62" s="11"/>
      <c r="CL62" s="40" t="s">
        <v>704</v>
      </c>
      <c r="CM62" s="40"/>
      <c r="CN62" s="40"/>
      <c r="CO62" s="40"/>
      <c r="CP62" s="40" t="s">
        <v>397</v>
      </c>
      <c r="CQ62" s="40"/>
      <c r="CR62" s="40"/>
      <c r="CS62" s="40"/>
      <c r="CT62" s="40"/>
      <c r="CU62" s="40"/>
      <c r="CV62" s="11"/>
      <c r="CW62" s="11"/>
      <c r="CX62" s="11"/>
      <c r="CY62" s="11"/>
      <c r="CZ62" s="11"/>
    </row>
    <row r="63" ht="15.75" customHeight="1">
      <c r="A63" s="11" t="s">
        <v>715</v>
      </c>
      <c r="B63" s="53">
        <v>2019.0</v>
      </c>
      <c r="C63" s="53">
        <v>2020.0</v>
      </c>
      <c r="D63" s="53">
        <v>2021.0</v>
      </c>
      <c r="E63" s="53">
        <v>2022.0</v>
      </c>
      <c r="F63" s="53">
        <v>2023.0</v>
      </c>
      <c r="G63" s="53">
        <v>2024.0</v>
      </c>
      <c r="H63" s="11"/>
      <c r="I63" s="11" t="s">
        <v>716</v>
      </c>
      <c r="J63" s="11"/>
      <c r="K63" s="11">
        <v>1523.0</v>
      </c>
      <c r="L63" s="11">
        <v>1266.0</v>
      </c>
      <c r="M63" s="11"/>
      <c r="N63" s="11"/>
      <c r="O63" s="11"/>
      <c r="P63" s="11"/>
      <c r="Q63" s="11" t="s">
        <v>246</v>
      </c>
      <c r="R63" s="11"/>
      <c r="S63" s="11"/>
      <c r="T63" s="11">
        <v>3140.73</v>
      </c>
      <c r="U63" s="11">
        <v>4404.015</v>
      </c>
      <c r="V63" s="11">
        <v>8225.29</v>
      </c>
      <c r="W63" s="11"/>
      <c r="X63" s="11"/>
      <c r="Y63" s="11" t="s">
        <v>671</v>
      </c>
      <c r="Z63" s="11">
        <v>0.0</v>
      </c>
      <c r="AA63" s="11">
        <v>0.0</v>
      </c>
      <c r="AB63" s="11">
        <v>45079.636</v>
      </c>
      <c r="AC63" s="11">
        <v>2661.033</v>
      </c>
      <c r="AD63" s="11">
        <v>3208.322</v>
      </c>
      <c r="AE63" s="11">
        <v>5083.783</v>
      </c>
      <c r="AF63" s="11"/>
      <c r="AG63" s="11" t="s">
        <v>717</v>
      </c>
      <c r="AH63" s="11"/>
      <c r="AI63" s="11"/>
      <c r="AJ63" s="11"/>
      <c r="AK63" s="11">
        <v>9493.161</v>
      </c>
      <c r="AL63" s="11">
        <v>8845.636</v>
      </c>
      <c r="AM63" s="11">
        <v>6171.487</v>
      </c>
      <c r="AN63" s="11"/>
      <c r="AO63" s="11"/>
      <c r="AP63" s="11"/>
      <c r="AQ63" s="11"/>
      <c r="AR63" s="11"/>
      <c r="AS63" s="11"/>
      <c r="AT63" s="11" t="s">
        <v>266</v>
      </c>
      <c r="AU63" s="11">
        <v>7.5</v>
      </c>
      <c r="AV63" s="11">
        <v>7.5</v>
      </c>
      <c r="AW63" s="11"/>
      <c r="AX63" s="11"/>
      <c r="AY63" s="11" t="s">
        <v>718</v>
      </c>
      <c r="AZ63" s="11">
        <v>0.0</v>
      </c>
      <c r="BA63" s="11">
        <v>646.71386</v>
      </c>
      <c r="BB63" s="11"/>
      <c r="BC63" s="11"/>
      <c r="BD63" s="11"/>
      <c r="BE63" s="40" t="s">
        <v>625</v>
      </c>
      <c r="BF63" s="53">
        <v>0.0</v>
      </c>
      <c r="BG63" s="53">
        <v>0.0</v>
      </c>
      <c r="BH63" s="53">
        <v>0.0</v>
      </c>
      <c r="BI63" s="11"/>
      <c r="BJ63" s="11" t="s">
        <v>242</v>
      </c>
      <c r="BK63" s="11">
        <v>41213.109</v>
      </c>
      <c r="BL63" s="11">
        <v>62895.831</v>
      </c>
      <c r="BM63" s="11">
        <v>46525.352</v>
      </c>
      <c r="BN63" s="11"/>
      <c r="BO63" s="11" t="s">
        <v>245</v>
      </c>
      <c r="BP63" s="53">
        <v>0.0</v>
      </c>
      <c r="BQ63" s="53">
        <v>0.0</v>
      </c>
      <c r="BR63" s="53">
        <v>0.0</v>
      </c>
      <c r="BS63" s="53">
        <v>0.0</v>
      </c>
      <c r="BT63" s="53">
        <v>0.0</v>
      </c>
      <c r="BU63" s="11"/>
      <c r="BV63" s="11" t="s">
        <v>719</v>
      </c>
      <c r="BW63" s="11"/>
      <c r="BX63" s="11"/>
      <c r="BY63" s="11"/>
      <c r="BZ63" s="11">
        <v>5515.80686</v>
      </c>
      <c r="CA63" s="11"/>
      <c r="CB63" s="11" t="s">
        <v>238</v>
      </c>
      <c r="CC63" s="53">
        <v>0.0</v>
      </c>
      <c r="CD63" s="53">
        <v>0.0</v>
      </c>
      <c r="CE63" s="53">
        <v>0.0</v>
      </c>
      <c r="CF63" s="11"/>
      <c r="CG63" s="11" t="s">
        <v>530</v>
      </c>
      <c r="CH63" s="11"/>
      <c r="CI63" s="11"/>
      <c r="CJ63" s="11"/>
      <c r="CK63" s="11"/>
      <c r="CL63" s="40" t="s">
        <v>720</v>
      </c>
      <c r="CM63" s="43">
        <v>241.976</v>
      </c>
      <c r="CN63" s="40"/>
      <c r="CO63" s="40"/>
      <c r="CP63" s="40" t="s">
        <v>238</v>
      </c>
      <c r="CQ63" s="46" t="s">
        <v>17</v>
      </c>
      <c r="CR63" s="46" t="s">
        <v>18</v>
      </c>
      <c r="CS63" s="46" t="s">
        <v>19</v>
      </c>
      <c r="CT63" s="46" t="s">
        <v>20</v>
      </c>
      <c r="CU63" s="46" t="s">
        <v>21</v>
      </c>
      <c r="CV63" s="11"/>
      <c r="CW63" s="11"/>
      <c r="CX63" s="11"/>
      <c r="CY63" s="11"/>
      <c r="CZ63" s="11"/>
    </row>
    <row r="64" ht="15.75" customHeight="1">
      <c r="A64" s="11" t="s">
        <v>332</v>
      </c>
      <c r="B64" s="11"/>
      <c r="C64" s="11">
        <v>0.2</v>
      </c>
      <c r="D64" s="11">
        <v>0.2</v>
      </c>
      <c r="E64" s="11">
        <v>0.2</v>
      </c>
      <c r="F64" s="11">
        <v>0.2</v>
      </c>
      <c r="G64" s="11">
        <v>0.2</v>
      </c>
      <c r="H64" s="11"/>
      <c r="I64" s="11" t="s">
        <v>512</v>
      </c>
      <c r="J64" s="11"/>
      <c r="K64" s="11">
        <v>2.0</v>
      </c>
      <c r="L64" s="11">
        <v>274.0</v>
      </c>
      <c r="M64" s="11"/>
      <c r="N64" s="11"/>
      <c r="O64" s="11"/>
      <c r="P64" s="11"/>
      <c r="Q64" s="11" t="s">
        <v>721</v>
      </c>
      <c r="R64" s="11">
        <v>0.0</v>
      </c>
      <c r="S64" s="11">
        <v>0.0</v>
      </c>
      <c r="T64" s="11">
        <v>3140.73</v>
      </c>
      <c r="U64" s="11">
        <v>4404.015</v>
      </c>
      <c r="V64" s="11">
        <v>8225.29</v>
      </c>
      <c r="W64" s="11">
        <v>0.0</v>
      </c>
      <c r="X64" s="11"/>
      <c r="Y64" s="11"/>
      <c r="Z64" s="11"/>
      <c r="AA64" s="11"/>
      <c r="AB64" s="11"/>
      <c r="AC64" s="11"/>
      <c r="AD64" s="11"/>
      <c r="AE64" s="11"/>
      <c r="AF64" s="11"/>
      <c r="AG64" s="11" t="s">
        <v>722</v>
      </c>
      <c r="AH64" s="11"/>
      <c r="AI64" s="11"/>
      <c r="AJ64" s="11"/>
      <c r="AK64" s="11"/>
      <c r="AL64" s="11"/>
      <c r="AM64" s="11">
        <v>5608.684</v>
      </c>
      <c r="AN64" s="11"/>
      <c r="AO64" s="11" t="s">
        <v>275</v>
      </c>
      <c r="AP64" s="53">
        <v>0.0</v>
      </c>
      <c r="AQ64" s="53">
        <v>0.0</v>
      </c>
      <c r="AR64" s="53">
        <v>0.0</v>
      </c>
      <c r="AS64" s="11"/>
      <c r="AT64" s="11" t="s">
        <v>411</v>
      </c>
      <c r="AU64" s="11">
        <v>7.5</v>
      </c>
      <c r="AV64" s="11">
        <v>7.5</v>
      </c>
      <c r="AW64" s="11">
        <v>0.0</v>
      </c>
      <c r="AX64" s="11"/>
      <c r="AY64" s="11" t="s">
        <v>723</v>
      </c>
      <c r="AZ64" s="11">
        <v>8169.309</v>
      </c>
      <c r="BA64" s="11">
        <v>491.77445</v>
      </c>
      <c r="BB64" s="11">
        <v>200.0</v>
      </c>
      <c r="BC64" s="11"/>
      <c r="BD64" s="11"/>
      <c r="BE64" s="40" t="s">
        <v>724</v>
      </c>
      <c r="BF64" s="11">
        <v>1430.8</v>
      </c>
      <c r="BG64" s="11">
        <v>1430.8</v>
      </c>
      <c r="BH64" s="11">
        <v>1430.8</v>
      </c>
      <c r="BI64" s="11"/>
      <c r="BJ64" s="11" t="s">
        <v>725</v>
      </c>
      <c r="BK64" s="11">
        <v>18135.827</v>
      </c>
      <c r="BL64" s="11">
        <v>18135.827</v>
      </c>
      <c r="BM64" s="11">
        <v>20518.582</v>
      </c>
      <c r="BN64" s="11"/>
      <c r="BO64" s="11" t="s">
        <v>411</v>
      </c>
      <c r="BP64" s="11">
        <v>0.0</v>
      </c>
      <c r="BQ64" s="11">
        <v>0.0</v>
      </c>
      <c r="BR64" s="11">
        <v>0.0</v>
      </c>
      <c r="BS64" s="11">
        <v>0.0</v>
      </c>
      <c r="BT64" s="11">
        <v>5741.0</v>
      </c>
      <c r="BU64" s="11"/>
      <c r="BV64" s="11" t="s">
        <v>726</v>
      </c>
      <c r="BW64" s="11"/>
      <c r="BX64" s="11"/>
      <c r="BY64" s="11"/>
      <c r="BZ64" s="11"/>
      <c r="CA64" s="11"/>
      <c r="CB64" s="11" t="s">
        <v>411</v>
      </c>
      <c r="CC64" s="11">
        <v>0.0</v>
      </c>
      <c r="CD64" s="11">
        <v>0.0</v>
      </c>
      <c r="CE64" s="11">
        <v>0.0</v>
      </c>
      <c r="CF64" s="11"/>
      <c r="CG64" s="11" t="s">
        <v>411</v>
      </c>
      <c r="CH64" s="11">
        <v>0.0</v>
      </c>
      <c r="CI64" s="11">
        <v>0.0</v>
      </c>
      <c r="CJ64" s="11">
        <v>0.0</v>
      </c>
      <c r="CK64" s="11"/>
      <c r="CL64" s="40" t="s">
        <v>411</v>
      </c>
      <c r="CM64" s="43">
        <v>241.976</v>
      </c>
      <c r="CN64" s="43">
        <v>1541.29492</v>
      </c>
      <c r="CO64" s="40"/>
      <c r="CP64" s="40" t="s">
        <v>411</v>
      </c>
      <c r="CQ64" s="43">
        <v>0.0</v>
      </c>
      <c r="CR64" s="43">
        <v>0.0</v>
      </c>
      <c r="CS64" s="43">
        <v>0.0</v>
      </c>
      <c r="CT64" s="43">
        <v>0.0</v>
      </c>
      <c r="CU64" s="43">
        <v>0.0</v>
      </c>
      <c r="CV64" s="11"/>
      <c r="CW64" s="11"/>
      <c r="CX64" s="11"/>
      <c r="CY64" s="11"/>
      <c r="CZ64" s="11"/>
    </row>
    <row r="65" ht="15.75" customHeight="1">
      <c r="A65" s="11" t="s">
        <v>337</v>
      </c>
      <c r="B65" s="11"/>
      <c r="C65" s="11">
        <v>14324.555</v>
      </c>
      <c r="D65" s="11">
        <v>17218.238</v>
      </c>
      <c r="E65" s="11">
        <v>22452.714</v>
      </c>
      <c r="F65" s="11">
        <v>28672.218</v>
      </c>
      <c r="G65" s="11">
        <v>35115.24</v>
      </c>
      <c r="H65" s="11"/>
      <c r="I65" s="11" t="s">
        <v>519</v>
      </c>
      <c r="J65" s="11">
        <v>0.0</v>
      </c>
      <c r="K65" s="11">
        <v>4138.0</v>
      </c>
      <c r="L65" s="11">
        <v>11471.0</v>
      </c>
      <c r="M65" s="11">
        <v>0.0</v>
      </c>
      <c r="N65" s="11">
        <v>0.0</v>
      </c>
      <c r="O65" s="11">
        <v>0.0</v>
      </c>
      <c r="P65" s="11"/>
      <c r="Q65" s="11"/>
      <c r="R65" s="11"/>
      <c r="S65" s="11"/>
      <c r="T65" s="11"/>
      <c r="U65" s="11"/>
      <c r="V65" s="11"/>
      <c r="W65" s="11"/>
      <c r="X65" s="11"/>
      <c r="Y65" s="11" t="s">
        <v>275</v>
      </c>
      <c r="Z65" s="53">
        <v>2019.0</v>
      </c>
      <c r="AA65" s="53">
        <v>2020.0</v>
      </c>
      <c r="AB65" s="53">
        <v>2021.0</v>
      </c>
      <c r="AC65" s="53">
        <v>2022.0</v>
      </c>
      <c r="AD65" s="53">
        <v>2023.0</v>
      </c>
      <c r="AE65" s="53">
        <v>2024.0</v>
      </c>
      <c r="AF65" s="11"/>
      <c r="AG65" s="11" t="s">
        <v>597</v>
      </c>
      <c r="AH65" s="11">
        <v>0.0</v>
      </c>
      <c r="AI65" s="11">
        <v>0.0</v>
      </c>
      <c r="AJ65" s="11">
        <v>0.0</v>
      </c>
      <c r="AK65" s="11">
        <v>9493.161</v>
      </c>
      <c r="AL65" s="11">
        <v>8845.636</v>
      </c>
      <c r="AM65" s="11">
        <v>11780.171</v>
      </c>
      <c r="AN65" s="11"/>
      <c r="AO65" s="11" t="s">
        <v>411</v>
      </c>
      <c r="AP65" s="11">
        <v>0.0</v>
      </c>
      <c r="AQ65" s="11">
        <v>0.0</v>
      </c>
      <c r="AR65" s="11">
        <v>0.0</v>
      </c>
      <c r="AS65" s="11"/>
      <c r="AT65" s="11"/>
      <c r="AU65" s="11"/>
      <c r="AV65" s="11"/>
      <c r="AW65" s="11"/>
      <c r="AX65" s="11"/>
      <c r="AY65" s="11" t="s">
        <v>727</v>
      </c>
      <c r="AZ65" s="11">
        <v>0.0</v>
      </c>
      <c r="BA65" s="11">
        <v>88.0641</v>
      </c>
      <c r="BB65" s="11">
        <v>88.0641</v>
      </c>
      <c r="BC65" s="11"/>
      <c r="BD65" s="11"/>
      <c r="BE65" s="40" t="s">
        <v>243</v>
      </c>
      <c r="BF65" s="11">
        <v>245.74</v>
      </c>
      <c r="BG65" s="11">
        <v>306.351</v>
      </c>
      <c r="BH65" s="11">
        <v>309.985</v>
      </c>
      <c r="BI65" s="11"/>
      <c r="BJ65" s="11" t="s">
        <v>243</v>
      </c>
      <c r="BK65" s="11">
        <v>10867.467</v>
      </c>
      <c r="BL65" s="11">
        <v>12936.183</v>
      </c>
      <c r="BM65" s="11">
        <v>16235.297</v>
      </c>
      <c r="BN65" s="11"/>
      <c r="BO65" s="11"/>
      <c r="BP65" s="11"/>
      <c r="BQ65" s="11"/>
      <c r="BR65" s="11"/>
      <c r="BS65" s="11"/>
      <c r="BT65" s="11"/>
      <c r="BU65" s="11"/>
      <c r="BV65" s="11" t="s">
        <v>411</v>
      </c>
      <c r="BW65" s="11">
        <v>55000.387</v>
      </c>
      <c r="BX65" s="11">
        <v>52219.487</v>
      </c>
      <c r="BY65" s="11">
        <v>60044.077</v>
      </c>
      <c r="BZ65" s="11">
        <v>80798.43783</v>
      </c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11"/>
      <c r="CW65" s="11"/>
      <c r="CX65" s="11"/>
      <c r="CY65" s="11"/>
      <c r="CZ65" s="11"/>
    </row>
    <row r="66" ht="15.75" customHeight="1">
      <c r="A66" s="11" t="s">
        <v>728</v>
      </c>
      <c r="B66" s="11"/>
      <c r="C66" s="11"/>
      <c r="D66" s="11"/>
      <c r="E66" s="11"/>
      <c r="F66" s="11"/>
      <c r="G66" s="11">
        <v>3790.436</v>
      </c>
      <c r="H66" s="11"/>
      <c r="I66" s="11"/>
      <c r="J66" s="11"/>
      <c r="K66" s="11"/>
      <c r="L66" s="11"/>
      <c r="M66" s="11"/>
      <c r="N66" s="11"/>
      <c r="O66" s="11"/>
      <c r="P66" s="11"/>
      <c r="Q66" s="11" t="s">
        <v>625</v>
      </c>
      <c r="R66" s="53">
        <v>2019.0</v>
      </c>
      <c r="S66" s="53">
        <v>2020.0</v>
      </c>
      <c r="T66" s="53">
        <v>2021.0</v>
      </c>
      <c r="U66" s="53">
        <v>2022.0</v>
      </c>
      <c r="V66" s="53">
        <v>2023.0</v>
      </c>
      <c r="W66" s="53">
        <v>2024.0</v>
      </c>
      <c r="X66" s="11"/>
      <c r="Y66" s="11" t="s">
        <v>729</v>
      </c>
      <c r="Z66" s="11">
        <v>0.0</v>
      </c>
      <c r="AA66" s="11">
        <v>0.0</v>
      </c>
      <c r="AB66" s="11">
        <v>0.0</v>
      </c>
      <c r="AC66" s="11">
        <v>0.0</v>
      </c>
      <c r="AD66" s="11">
        <v>0.0</v>
      </c>
      <c r="AE66" s="11">
        <v>0.0</v>
      </c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 t="s">
        <v>730</v>
      </c>
      <c r="AU66" s="11"/>
      <c r="AV66" s="11"/>
      <c r="AW66" s="11"/>
      <c r="AX66" s="11"/>
      <c r="AY66" s="11" t="s">
        <v>647</v>
      </c>
      <c r="AZ66" s="11"/>
      <c r="BA66" s="11"/>
      <c r="BB66" s="11">
        <v>2175.14623</v>
      </c>
      <c r="BC66" s="11"/>
      <c r="BD66" s="11"/>
      <c r="BE66" s="40" t="s">
        <v>731</v>
      </c>
      <c r="BF66" s="11">
        <v>222.241</v>
      </c>
      <c r="BG66" s="11">
        <v>320.451</v>
      </c>
      <c r="BH66" s="11">
        <v>323.932</v>
      </c>
      <c r="BI66" s="11"/>
      <c r="BJ66" s="11" t="s">
        <v>732</v>
      </c>
      <c r="BK66" s="11">
        <v>6994.974</v>
      </c>
      <c r="BL66" s="11">
        <v>7008.366</v>
      </c>
      <c r="BM66" s="11">
        <v>7008.367</v>
      </c>
      <c r="BN66" s="11"/>
      <c r="BO66" s="11" t="s">
        <v>693</v>
      </c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 t="s">
        <v>397</v>
      </c>
      <c r="CC66" s="11"/>
      <c r="CD66" s="11"/>
      <c r="CE66" s="11"/>
      <c r="CF66" s="11"/>
      <c r="CG66" s="11" t="s">
        <v>397</v>
      </c>
      <c r="CH66" s="11"/>
      <c r="CI66" s="11"/>
      <c r="CJ66" s="11"/>
      <c r="CK66" s="11"/>
      <c r="CL66" s="40" t="s">
        <v>397</v>
      </c>
      <c r="CM66" s="40"/>
      <c r="CN66" s="40"/>
      <c r="CO66" s="40"/>
      <c r="CP66" s="40" t="s">
        <v>397</v>
      </c>
      <c r="CQ66" s="40"/>
      <c r="CR66" s="40"/>
      <c r="CS66" s="40"/>
      <c r="CT66" s="40"/>
      <c r="CU66" s="40"/>
      <c r="CV66" s="11"/>
      <c r="CW66" s="11"/>
      <c r="CX66" s="11"/>
      <c r="CY66" s="11"/>
      <c r="CZ66" s="11"/>
    </row>
    <row r="67" ht="15.75" customHeight="1">
      <c r="A67" s="11" t="s">
        <v>733</v>
      </c>
      <c r="B67" s="11">
        <v>0.0</v>
      </c>
      <c r="C67" s="11">
        <v>14324.755</v>
      </c>
      <c r="D67" s="11">
        <v>17218.438</v>
      </c>
      <c r="E67" s="11">
        <v>22452.914</v>
      </c>
      <c r="F67" s="11">
        <v>28672.418</v>
      </c>
      <c r="G67" s="11">
        <v>38905.876</v>
      </c>
      <c r="H67" s="11"/>
      <c r="I67" s="11" t="s">
        <v>257</v>
      </c>
      <c r="J67" s="53">
        <v>2019.0</v>
      </c>
      <c r="K67" s="53">
        <v>2020.0</v>
      </c>
      <c r="L67" s="53">
        <v>2021.0</v>
      </c>
      <c r="M67" s="53">
        <v>2022.0</v>
      </c>
      <c r="N67" s="53">
        <v>2023.0</v>
      </c>
      <c r="O67" s="53">
        <v>2024.0</v>
      </c>
      <c r="P67" s="11"/>
      <c r="Q67" s="11" t="s">
        <v>269</v>
      </c>
      <c r="R67" s="11">
        <v>11063.0</v>
      </c>
      <c r="S67" s="11">
        <v>10925.0</v>
      </c>
      <c r="T67" s="11">
        <v>26300.778</v>
      </c>
      <c r="U67" s="11">
        <v>23715.271</v>
      </c>
      <c r="V67" s="11">
        <v>28567.047</v>
      </c>
      <c r="W67" s="11">
        <v>29221.778</v>
      </c>
      <c r="X67" s="11"/>
      <c r="Y67" s="11"/>
      <c r="Z67" s="11"/>
      <c r="AA67" s="11"/>
      <c r="AB67" s="11"/>
      <c r="AC67" s="11"/>
      <c r="AD67" s="11"/>
      <c r="AE67" s="11"/>
      <c r="AF67" s="11"/>
      <c r="AG67" s="11" t="s">
        <v>281</v>
      </c>
      <c r="AH67" s="53">
        <v>2019.0</v>
      </c>
      <c r="AI67" s="53">
        <v>2020.0</v>
      </c>
      <c r="AJ67" s="53">
        <v>2021.0</v>
      </c>
      <c r="AK67" s="53">
        <v>2022.0</v>
      </c>
      <c r="AL67" s="53">
        <v>2023.0</v>
      </c>
      <c r="AM67" s="53">
        <v>2024.0</v>
      </c>
      <c r="AN67" s="11"/>
      <c r="AO67" s="11" t="s">
        <v>730</v>
      </c>
      <c r="AP67" s="11"/>
      <c r="AQ67" s="11"/>
      <c r="AR67" s="11"/>
      <c r="AS67" s="11"/>
      <c r="AT67" s="11" t="s">
        <v>397</v>
      </c>
      <c r="AU67" s="11"/>
      <c r="AV67" s="11"/>
      <c r="AW67" s="11"/>
      <c r="AX67" s="11"/>
      <c r="AY67" s="11" t="s">
        <v>734</v>
      </c>
      <c r="AZ67" s="11"/>
      <c r="BA67" s="11"/>
      <c r="BB67" s="11"/>
      <c r="BC67" s="11">
        <v>2800.53953</v>
      </c>
      <c r="BD67" s="11"/>
      <c r="BE67" s="40" t="s">
        <v>735</v>
      </c>
      <c r="BF67" s="11">
        <v>769.454</v>
      </c>
      <c r="BG67" s="11">
        <v>789.37</v>
      </c>
      <c r="BH67" s="11">
        <v>928.791</v>
      </c>
      <c r="BI67" s="11"/>
      <c r="BJ67" s="11" t="s">
        <v>724</v>
      </c>
      <c r="BK67" s="11">
        <v>22792.135</v>
      </c>
      <c r="BL67" s="11">
        <v>22792.135</v>
      </c>
      <c r="BM67" s="11">
        <v>25964.91</v>
      </c>
      <c r="BN67" s="11"/>
      <c r="BO67" s="11" t="s">
        <v>397</v>
      </c>
      <c r="BP67" s="11"/>
      <c r="BQ67" s="11"/>
      <c r="BR67" s="11"/>
      <c r="BS67" s="11"/>
      <c r="BT67" s="11"/>
      <c r="BU67" s="11"/>
      <c r="BV67" s="11" t="s">
        <v>397</v>
      </c>
      <c r="BW67" s="11"/>
      <c r="BX67" s="11"/>
      <c r="BY67" s="11"/>
      <c r="BZ67" s="11"/>
      <c r="CA67" s="11"/>
      <c r="CB67" s="11" t="s">
        <v>245</v>
      </c>
      <c r="CC67" s="53">
        <v>0.0</v>
      </c>
      <c r="CD67" s="53">
        <v>0.0</v>
      </c>
      <c r="CE67" s="53">
        <v>0.0</v>
      </c>
      <c r="CF67" s="11"/>
      <c r="CG67" s="11" t="s">
        <v>546</v>
      </c>
      <c r="CH67" s="53">
        <v>0.0</v>
      </c>
      <c r="CI67" s="53">
        <v>0.0</v>
      </c>
      <c r="CJ67" s="53">
        <v>0.0</v>
      </c>
      <c r="CK67" s="11"/>
      <c r="CL67" s="40" t="s">
        <v>238</v>
      </c>
      <c r="CM67" s="46" t="s">
        <v>18</v>
      </c>
      <c r="CN67" s="46" t="s">
        <v>19</v>
      </c>
      <c r="CO67" s="40"/>
      <c r="CP67" s="40" t="s">
        <v>245</v>
      </c>
      <c r="CQ67" s="46" t="s">
        <v>17</v>
      </c>
      <c r="CR67" s="46" t="s">
        <v>18</v>
      </c>
      <c r="CS67" s="46" t="s">
        <v>19</v>
      </c>
      <c r="CT67" s="46" t="s">
        <v>20</v>
      </c>
      <c r="CU67" s="46" t="s">
        <v>21</v>
      </c>
      <c r="CV67" s="11"/>
      <c r="CW67" s="11"/>
      <c r="CX67" s="11"/>
      <c r="CY67" s="11"/>
      <c r="C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 t="s">
        <v>257</v>
      </c>
      <c r="J68" s="11"/>
      <c r="K68" s="11"/>
      <c r="L68" s="11"/>
      <c r="M68" s="11">
        <v>10409.053</v>
      </c>
      <c r="N68" s="11">
        <v>24411.839</v>
      </c>
      <c r="O68" s="11">
        <v>29587.734</v>
      </c>
      <c r="P68" s="11"/>
      <c r="Q68" s="11" t="s">
        <v>736</v>
      </c>
      <c r="R68" s="11">
        <v>0.0</v>
      </c>
      <c r="S68" s="11">
        <v>0.0</v>
      </c>
      <c r="T68" s="11">
        <v>0.0</v>
      </c>
      <c r="U68" s="11">
        <v>0.0</v>
      </c>
      <c r="V68" s="11">
        <v>0.0</v>
      </c>
      <c r="W68" s="11">
        <v>0.0</v>
      </c>
      <c r="X68" s="11"/>
      <c r="Y68" s="11" t="s">
        <v>270</v>
      </c>
      <c r="Z68" s="53">
        <v>2019.0</v>
      </c>
      <c r="AA68" s="53">
        <v>2020.0</v>
      </c>
      <c r="AB68" s="53">
        <v>2021.0</v>
      </c>
      <c r="AC68" s="53">
        <v>2022.0</v>
      </c>
      <c r="AD68" s="53">
        <v>2023.0</v>
      </c>
      <c r="AE68" s="53">
        <v>2024.0</v>
      </c>
      <c r="AF68" s="11"/>
      <c r="AG68" s="11" t="s">
        <v>737</v>
      </c>
      <c r="AH68" s="11"/>
      <c r="AI68" s="11"/>
      <c r="AJ68" s="11"/>
      <c r="AK68" s="11"/>
      <c r="AL68" s="11"/>
      <c r="AM68" s="11">
        <v>79.107</v>
      </c>
      <c r="AN68" s="11"/>
      <c r="AO68" s="11" t="s">
        <v>397</v>
      </c>
      <c r="AP68" s="11"/>
      <c r="AQ68" s="11"/>
      <c r="AR68" s="11"/>
      <c r="AS68" s="11"/>
      <c r="AT68" s="11" t="s">
        <v>67</v>
      </c>
      <c r="AU68" s="53">
        <v>0.0</v>
      </c>
      <c r="AV68" s="53">
        <v>0.0</v>
      </c>
      <c r="AW68" s="53">
        <v>0.0</v>
      </c>
      <c r="AX68" s="11"/>
      <c r="AY68" s="11" t="s">
        <v>738</v>
      </c>
      <c r="AZ68" s="11"/>
      <c r="BA68" s="11"/>
      <c r="BB68" s="11"/>
      <c r="BC68" s="11">
        <v>805.45254</v>
      </c>
      <c r="BD68" s="11"/>
      <c r="BE68" s="40" t="s">
        <v>739</v>
      </c>
      <c r="BF68" s="11">
        <v>241.71</v>
      </c>
      <c r="BG68" s="11">
        <v>242.778</v>
      </c>
      <c r="BH68" s="11">
        <v>242.778</v>
      </c>
      <c r="BI68" s="11"/>
      <c r="BJ68" s="11" t="s">
        <v>740</v>
      </c>
      <c r="BK68" s="11">
        <v>1350.093</v>
      </c>
      <c r="BL68" s="11">
        <v>2740.582</v>
      </c>
      <c r="BM68" s="11">
        <v>3387.618</v>
      </c>
      <c r="BN68" s="11"/>
      <c r="BO68" s="11" t="s">
        <v>625</v>
      </c>
      <c r="BP68" s="53">
        <v>0.0</v>
      </c>
      <c r="BQ68" s="53">
        <v>0.0</v>
      </c>
      <c r="BR68" s="53">
        <v>0.0</v>
      </c>
      <c r="BS68" s="53">
        <v>0.0</v>
      </c>
      <c r="BT68" s="53">
        <v>0.0</v>
      </c>
      <c r="BU68" s="11"/>
      <c r="BV68" s="11" t="s">
        <v>472</v>
      </c>
      <c r="BW68" s="53">
        <v>0.0</v>
      </c>
      <c r="BX68" s="53">
        <v>0.0</v>
      </c>
      <c r="BY68" s="53">
        <v>0.0</v>
      </c>
      <c r="BZ68" s="53">
        <v>0.0</v>
      </c>
      <c r="CA68" s="11"/>
      <c r="CB68" s="11" t="s">
        <v>411</v>
      </c>
      <c r="CC68" s="11">
        <v>0.0</v>
      </c>
      <c r="CD68" s="11">
        <v>0.0</v>
      </c>
      <c r="CE68" s="11">
        <v>0.0</v>
      </c>
      <c r="CF68" s="11"/>
      <c r="CG68" s="11" t="s">
        <v>411</v>
      </c>
      <c r="CH68" s="11">
        <v>0.0</v>
      </c>
      <c r="CI68" s="11">
        <v>0.0</v>
      </c>
      <c r="CJ68" s="11">
        <v>0.0</v>
      </c>
      <c r="CK68" s="11"/>
      <c r="CL68" s="40" t="s">
        <v>411</v>
      </c>
      <c r="CM68" s="43">
        <v>0.0</v>
      </c>
      <c r="CN68" s="43">
        <v>0.0</v>
      </c>
      <c r="CO68" s="40"/>
      <c r="CP68" s="40" t="s">
        <v>411</v>
      </c>
      <c r="CQ68" s="43">
        <v>0.0</v>
      </c>
      <c r="CR68" s="43">
        <v>0.0</v>
      </c>
      <c r="CS68" s="43">
        <v>0.0</v>
      </c>
      <c r="CT68" s="43">
        <v>0.0</v>
      </c>
      <c r="CU68" s="43">
        <v>0.0</v>
      </c>
      <c r="CV68" s="11"/>
      <c r="CW68" s="11"/>
      <c r="CX68" s="11"/>
      <c r="CY68" s="11"/>
      <c r="CZ68" s="11"/>
    </row>
    <row r="69" ht="15.75" customHeight="1">
      <c r="A69" s="11" t="s">
        <v>347</v>
      </c>
      <c r="B69" s="53">
        <v>2019.0</v>
      </c>
      <c r="C69" s="53">
        <v>2020.0</v>
      </c>
      <c r="D69" s="53">
        <v>2021.0</v>
      </c>
      <c r="E69" s="53">
        <v>2022.0</v>
      </c>
      <c r="F69" s="53">
        <v>2023.0</v>
      </c>
      <c r="G69" s="53">
        <v>2024.0</v>
      </c>
      <c r="H69" s="11"/>
      <c r="I69" s="11" t="s">
        <v>535</v>
      </c>
      <c r="J69" s="11">
        <v>0.0</v>
      </c>
      <c r="K69" s="11">
        <v>0.0</v>
      </c>
      <c r="L69" s="11">
        <v>0.0</v>
      </c>
      <c r="M69" s="11">
        <v>10409.053</v>
      </c>
      <c r="N69" s="11">
        <v>24411.839</v>
      </c>
      <c r="O69" s="11">
        <v>29587.734</v>
      </c>
      <c r="P69" s="11"/>
      <c r="Q69" s="11" t="s">
        <v>671</v>
      </c>
      <c r="R69" s="11">
        <v>23422.0</v>
      </c>
      <c r="S69" s="11">
        <v>25948.0</v>
      </c>
      <c r="T69" s="11">
        <v>26300.778</v>
      </c>
      <c r="U69" s="11">
        <v>23715.271</v>
      </c>
      <c r="V69" s="11">
        <v>28567.047</v>
      </c>
      <c r="W69" s="11">
        <v>29221.778</v>
      </c>
      <c r="X69" s="11"/>
      <c r="Y69" s="11" t="s">
        <v>270</v>
      </c>
      <c r="Z69" s="11"/>
      <c r="AA69" s="11"/>
      <c r="AB69" s="11"/>
      <c r="AC69" s="11"/>
      <c r="AD69" s="11"/>
      <c r="AE69" s="11">
        <v>31265.551</v>
      </c>
      <c r="AF69" s="11"/>
      <c r="AG69" s="11" t="s">
        <v>741</v>
      </c>
      <c r="AH69" s="11"/>
      <c r="AI69" s="11"/>
      <c r="AJ69" s="11"/>
      <c r="AK69" s="11">
        <v>2706.317999999999</v>
      </c>
      <c r="AL69" s="11">
        <v>2775.771</v>
      </c>
      <c r="AM69" s="11">
        <v>1108.452</v>
      </c>
      <c r="AN69" s="11"/>
      <c r="AO69" s="11" t="s">
        <v>67</v>
      </c>
      <c r="AP69" s="53">
        <v>0.0</v>
      </c>
      <c r="AQ69" s="53">
        <v>0.0</v>
      </c>
      <c r="AR69" s="53">
        <v>0.0</v>
      </c>
      <c r="AS69" s="11"/>
      <c r="AT69" s="11" t="s">
        <v>411</v>
      </c>
      <c r="AU69" s="11">
        <v>0.0</v>
      </c>
      <c r="AV69" s="11">
        <v>0.0</v>
      </c>
      <c r="AW69" s="11">
        <v>0.0</v>
      </c>
      <c r="AX69" s="11"/>
      <c r="AY69" s="11" t="s">
        <v>411</v>
      </c>
      <c r="AZ69" s="11">
        <v>17020.22052</v>
      </c>
      <c r="BA69" s="11">
        <v>6392.836119999999</v>
      </c>
      <c r="BB69" s="11">
        <v>12491.40185</v>
      </c>
      <c r="BC69" s="11">
        <v>13617.27786</v>
      </c>
      <c r="BD69" s="11"/>
      <c r="BE69" s="40" t="s">
        <v>742</v>
      </c>
      <c r="BF69" s="11">
        <v>97.751</v>
      </c>
      <c r="BG69" s="11">
        <v>100.576</v>
      </c>
      <c r="BH69" s="11">
        <v>100.576</v>
      </c>
      <c r="BI69" s="11"/>
      <c r="BJ69" s="11" t="s">
        <v>743</v>
      </c>
      <c r="BK69" s="11">
        <v>15.126</v>
      </c>
      <c r="BL69" s="11">
        <v>15.126</v>
      </c>
      <c r="BM69" s="11">
        <v>15.126</v>
      </c>
      <c r="BN69" s="11"/>
      <c r="BO69" s="11" t="s">
        <v>744</v>
      </c>
      <c r="BP69" s="11"/>
      <c r="BQ69" s="11"/>
      <c r="BR69" s="11"/>
      <c r="BS69" s="11">
        <v>2660.0</v>
      </c>
      <c r="BT69" s="11"/>
      <c r="BU69" s="11"/>
      <c r="BV69" s="11" t="s">
        <v>508</v>
      </c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53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53"/>
      <c r="CW69" s="53"/>
      <c r="CX69" s="53"/>
      <c r="CY69" s="53"/>
      <c r="CZ69" s="53"/>
    </row>
    <row r="70" ht="15.75" customHeight="1">
      <c r="A70" s="11" t="s">
        <v>347</v>
      </c>
      <c r="B70" s="11"/>
      <c r="C70" s="11">
        <v>23930.151</v>
      </c>
      <c r="D70" s="11">
        <v>23578.78</v>
      </c>
      <c r="E70" s="11">
        <v>27754.206</v>
      </c>
      <c r="F70" s="11">
        <v>31468.79</v>
      </c>
      <c r="G70" s="11">
        <v>24145.584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 t="s">
        <v>555</v>
      </c>
      <c r="Z70" s="11">
        <v>0.0</v>
      </c>
      <c r="AA70" s="11">
        <v>0.0</v>
      </c>
      <c r="AB70" s="11">
        <v>0.0</v>
      </c>
      <c r="AC70" s="11">
        <v>0.0</v>
      </c>
      <c r="AD70" s="11">
        <v>0.0</v>
      </c>
      <c r="AE70" s="11">
        <v>31265.551</v>
      </c>
      <c r="AF70" s="11"/>
      <c r="AG70" s="11" t="s">
        <v>745</v>
      </c>
      <c r="AH70" s="11"/>
      <c r="AI70" s="11"/>
      <c r="AJ70" s="11"/>
      <c r="AK70" s="11">
        <v>673.496</v>
      </c>
      <c r="AL70" s="11">
        <v>616.376</v>
      </c>
      <c r="AM70" s="11">
        <v>746.424</v>
      </c>
      <c r="AN70" s="11"/>
      <c r="AO70" s="11" t="s">
        <v>411</v>
      </c>
      <c r="AP70" s="11">
        <v>0.0</v>
      </c>
      <c r="AQ70" s="11">
        <v>0.0</v>
      </c>
      <c r="AR70" s="11">
        <v>0.0</v>
      </c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40" t="s">
        <v>746</v>
      </c>
      <c r="BF70" s="11">
        <v>3.332</v>
      </c>
      <c r="BG70" s="11">
        <v>5.207</v>
      </c>
      <c r="BH70" s="11">
        <v>5.207</v>
      </c>
      <c r="BI70" s="11"/>
      <c r="BJ70" s="11" t="s">
        <v>747</v>
      </c>
      <c r="BK70" s="11">
        <v>96.008</v>
      </c>
      <c r="BL70" s="11">
        <v>398.182</v>
      </c>
      <c r="BM70" s="11">
        <v>14183.671</v>
      </c>
      <c r="BN70" s="11"/>
      <c r="BO70" s="11" t="s">
        <v>242</v>
      </c>
      <c r="BP70" s="11">
        <v>284.40045</v>
      </c>
      <c r="BQ70" s="11">
        <v>480.94971</v>
      </c>
      <c r="BR70" s="11">
        <v>1922.92975</v>
      </c>
      <c r="BS70" s="11">
        <v>530.8150600000001</v>
      </c>
      <c r="BT70" s="11"/>
      <c r="BU70" s="11"/>
      <c r="BV70" s="11" t="s">
        <v>514</v>
      </c>
      <c r="BW70" s="11">
        <v>47813.393</v>
      </c>
      <c r="BX70" s="11">
        <v>45971.433</v>
      </c>
      <c r="BY70" s="11">
        <v>41807.842</v>
      </c>
      <c r="BZ70" s="11"/>
      <c r="CA70" s="11"/>
      <c r="CB70" s="11" t="s">
        <v>693</v>
      </c>
      <c r="CC70" s="11"/>
      <c r="CD70" s="11"/>
      <c r="CE70" s="11"/>
      <c r="CF70" s="11"/>
      <c r="CG70" s="11" t="s">
        <v>486</v>
      </c>
      <c r="CH70" s="53">
        <v>0.0</v>
      </c>
      <c r="CI70" s="53">
        <v>0.0</v>
      </c>
      <c r="CJ70" s="53">
        <v>0.0</v>
      </c>
      <c r="CK70" s="11"/>
      <c r="CL70" s="40" t="s">
        <v>397</v>
      </c>
      <c r="CM70" s="40"/>
      <c r="CN70" s="40"/>
      <c r="CO70" s="40"/>
      <c r="CP70" s="40" t="s">
        <v>693</v>
      </c>
      <c r="CQ70" s="40"/>
      <c r="CR70" s="40"/>
      <c r="CS70" s="40"/>
      <c r="CT70" s="40"/>
      <c r="CU70" s="40"/>
      <c r="CV70" s="11"/>
      <c r="CW70" s="11"/>
      <c r="CX70" s="11"/>
      <c r="CY70" s="11"/>
      <c r="CZ70" s="11"/>
    </row>
    <row r="71" ht="15.75" customHeight="1">
      <c r="A71" s="11" t="s">
        <v>748</v>
      </c>
      <c r="B71" s="11"/>
      <c r="C71" s="11"/>
      <c r="D71" s="11"/>
      <c r="E71" s="11">
        <v>2038.037</v>
      </c>
      <c r="F71" s="11">
        <v>1299.313</v>
      </c>
      <c r="G71" s="11"/>
      <c r="H71" s="11"/>
      <c r="I71" s="11" t="s">
        <v>625</v>
      </c>
      <c r="J71" s="53">
        <v>2019.0</v>
      </c>
      <c r="K71" s="53">
        <v>2020.0</v>
      </c>
      <c r="L71" s="53">
        <v>2021.0</v>
      </c>
      <c r="M71" s="53">
        <v>2022.0</v>
      </c>
      <c r="N71" s="53">
        <v>2023.0</v>
      </c>
      <c r="O71" s="53">
        <v>2024.0</v>
      </c>
      <c r="P71" s="11"/>
      <c r="Q71" s="11" t="s">
        <v>749</v>
      </c>
      <c r="R71" s="53">
        <v>2019.0</v>
      </c>
      <c r="S71" s="53">
        <v>2020.0</v>
      </c>
      <c r="T71" s="53">
        <v>2021.0</v>
      </c>
      <c r="U71" s="53">
        <v>2022.0</v>
      </c>
      <c r="V71" s="53">
        <v>2023.0</v>
      </c>
      <c r="W71" s="53">
        <v>2024.0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 t="s">
        <v>750</v>
      </c>
      <c r="AH71" s="11"/>
      <c r="AI71" s="11"/>
      <c r="AJ71" s="11"/>
      <c r="AK71" s="11"/>
      <c r="AL71" s="11"/>
      <c r="AM71" s="11">
        <v>100.936</v>
      </c>
      <c r="AN71" s="11"/>
      <c r="AO71" s="11"/>
      <c r="AP71" s="11"/>
      <c r="AQ71" s="11"/>
      <c r="AR71" s="11"/>
      <c r="AS71" s="11"/>
      <c r="AT71" s="11" t="s">
        <v>267</v>
      </c>
      <c r="AU71" s="11"/>
      <c r="AV71" s="11"/>
      <c r="AW71" s="11"/>
      <c r="AX71" s="11"/>
      <c r="AY71" s="11" t="s">
        <v>237</v>
      </c>
      <c r="AZ71" s="53">
        <v>0.0</v>
      </c>
      <c r="BA71" s="53">
        <v>0.0</v>
      </c>
      <c r="BB71" s="53">
        <v>0.0</v>
      </c>
      <c r="BC71" s="53">
        <v>0.0</v>
      </c>
      <c r="BD71" s="11"/>
      <c r="BE71" s="40" t="s">
        <v>411</v>
      </c>
      <c r="BF71" s="11">
        <v>3011.028</v>
      </c>
      <c r="BG71" s="11">
        <v>3195.532999999999</v>
      </c>
      <c r="BH71" s="11">
        <v>3342.069</v>
      </c>
      <c r="BI71" s="11"/>
      <c r="BJ71" s="11" t="s">
        <v>751</v>
      </c>
      <c r="BK71" s="11">
        <v>1953.602</v>
      </c>
      <c r="BL71" s="11">
        <v>16092.191</v>
      </c>
      <c r="BM71" s="11">
        <v>26296.914</v>
      </c>
      <c r="BN71" s="11"/>
      <c r="BO71" s="11" t="s">
        <v>740</v>
      </c>
      <c r="BP71" s="11">
        <v>77.12312</v>
      </c>
      <c r="BQ71" s="11">
        <v>55.06513</v>
      </c>
      <c r="BR71" s="11">
        <v>40.8125</v>
      </c>
      <c r="BS71" s="11">
        <v>56.13315</v>
      </c>
      <c r="BT71" s="11"/>
      <c r="BU71" s="11"/>
      <c r="BV71" s="11" t="s">
        <v>521</v>
      </c>
      <c r="BW71" s="11">
        <v>3297.275</v>
      </c>
      <c r="BX71" s="11">
        <v>3235.839</v>
      </c>
      <c r="BY71" s="11">
        <v>992.097</v>
      </c>
      <c r="BZ71" s="11"/>
      <c r="CA71" s="11"/>
      <c r="CB71" s="11" t="s">
        <v>397</v>
      </c>
      <c r="CC71" s="11"/>
      <c r="CD71" s="11"/>
      <c r="CE71" s="11"/>
      <c r="CF71" s="11"/>
      <c r="CG71" s="11" t="s">
        <v>752</v>
      </c>
      <c r="CH71" s="11">
        <v>3953.84559</v>
      </c>
      <c r="CI71" s="11">
        <v>6624.39379</v>
      </c>
      <c r="CJ71" s="11">
        <v>5784.56</v>
      </c>
      <c r="CK71" s="11"/>
      <c r="CL71" s="40" t="s">
        <v>245</v>
      </c>
      <c r="CM71" s="46" t="s">
        <v>18</v>
      </c>
      <c r="CN71" s="46" t="s">
        <v>19</v>
      </c>
      <c r="CO71" s="40"/>
      <c r="CP71" s="40" t="s">
        <v>397</v>
      </c>
      <c r="CQ71" s="40"/>
      <c r="CR71" s="40"/>
      <c r="CS71" s="40"/>
      <c r="CT71" s="40"/>
      <c r="CU71" s="40"/>
      <c r="CV71" s="11"/>
      <c r="CW71" s="11"/>
      <c r="CX71" s="11"/>
      <c r="CY71" s="11"/>
      <c r="CZ71" s="11"/>
    </row>
    <row r="72" ht="15.75" customHeight="1">
      <c r="A72" s="11" t="s">
        <v>753</v>
      </c>
      <c r="B72" s="11">
        <v>0.0</v>
      </c>
      <c r="C72" s="11">
        <v>23930.151</v>
      </c>
      <c r="D72" s="11">
        <v>23578.78</v>
      </c>
      <c r="E72" s="11">
        <v>29792.243</v>
      </c>
      <c r="F72" s="11">
        <v>32768.103</v>
      </c>
      <c r="G72" s="11">
        <v>24145.584</v>
      </c>
      <c r="H72" s="11"/>
      <c r="I72" s="11" t="s">
        <v>247</v>
      </c>
      <c r="J72" s="11"/>
      <c r="K72" s="11">
        <v>58054.0</v>
      </c>
      <c r="L72" s="11">
        <v>51873.0</v>
      </c>
      <c r="M72" s="11"/>
      <c r="N72" s="11"/>
      <c r="O72" s="11"/>
      <c r="P72" s="11"/>
      <c r="Q72" s="11" t="s">
        <v>751</v>
      </c>
      <c r="R72" s="11">
        <v>4999.0</v>
      </c>
      <c r="S72" s="11">
        <v>4062.0</v>
      </c>
      <c r="T72" s="11">
        <v>15287.065</v>
      </c>
      <c r="U72" s="11">
        <v>12178.625</v>
      </c>
      <c r="V72" s="11">
        <v>11363.427</v>
      </c>
      <c r="W72" s="11">
        <v>10791.562</v>
      </c>
      <c r="X72" s="11"/>
      <c r="Y72" s="11" t="s">
        <v>303</v>
      </c>
      <c r="Z72" s="53">
        <v>2019.0</v>
      </c>
      <c r="AA72" s="53">
        <v>2020.0</v>
      </c>
      <c r="AB72" s="53">
        <v>2021.0</v>
      </c>
      <c r="AC72" s="53">
        <v>2022.0</v>
      </c>
      <c r="AD72" s="53">
        <v>2023.0</v>
      </c>
      <c r="AE72" s="53">
        <v>2024.0</v>
      </c>
      <c r="AF72" s="11"/>
      <c r="AG72" s="11" t="s">
        <v>651</v>
      </c>
      <c r="AH72" s="11">
        <v>0.0</v>
      </c>
      <c r="AI72" s="11">
        <v>0.0</v>
      </c>
      <c r="AJ72" s="11">
        <v>0.0</v>
      </c>
      <c r="AK72" s="11">
        <v>3379.813999999999</v>
      </c>
      <c r="AL72" s="11">
        <v>3392.147</v>
      </c>
      <c r="AM72" s="11">
        <v>2034.919</v>
      </c>
      <c r="AN72" s="11"/>
      <c r="AO72" s="11" t="s">
        <v>267</v>
      </c>
      <c r="AP72" s="11"/>
      <c r="AQ72" s="11"/>
      <c r="AR72" s="11"/>
      <c r="AS72" s="11"/>
      <c r="AT72" s="11" t="s">
        <v>397</v>
      </c>
      <c r="AU72" s="11"/>
      <c r="AV72" s="11"/>
      <c r="AW72" s="11"/>
      <c r="AX72" s="11"/>
      <c r="AY72" s="11" t="s">
        <v>754</v>
      </c>
      <c r="AZ72" s="11">
        <v>239.816</v>
      </c>
      <c r="BA72" s="11">
        <v>459.21849</v>
      </c>
      <c r="BB72" s="11">
        <v>171.2671</v>
      </c>
      <c r="BC72" s="11"/>
      <c r="BD72" s="11"/>
      <c r="BE72" s="40"/>
      <c r="BF72" s="11"/>
      <c r="BG72" s="11"/>
      <c r="BH72" s="11"/>
      <c r="BI72" s="11"/>
      <c r="BJ72" s="11" t="s">
        <v>755</v>
      </c>
      <c r="BK72" s="11">
        <v>-44364.334</v>
      </c>
      <c r="BL72" s="11">
        <v>-53133.562</v>
      </c>
      <c r="BM72" s="11">
        <v>-61649.073</v>
      </c>
      <c r="BN72" s="11"/>
      <c r="BO72" s="11" t="s">
        <v>732</v>
      </c>
      <c r="BP72" s="11">
        <v>2.63103</v>
      </c>
      <c r="BQ72" s="11">
        <v>0.37575</v>
      </c>
      <c r="BR72" s="11">
        <v>14.41729</v>
      </c>
      <c r="BS72" s="11">
        <v>7.48575</v>
      </c>
      <c r="BT72" s="11"/>
      <c r="BU72" s="11"/>
      <c r="BV72" s="11" t="s">
        <v>525</v>
      </c>
      <c r="BW72" s="11">
        <v>1433.885</v>
      </c>
      <c r="BX72" s="11">
        <v>176.121</v>
      </c>
      <c r="BY72" s="11">
        <v>1221.692</v>
      </c>
      <c r="BZ72" s="11"/>
      <c r="CA72" s="11"/>
      <c r="CB72" s="11" t="s">
        <v>625</v>
      </c>
      <c r="CC72" s="53">
        <v>0.0</v>
      </c>
      <c r="CD72" s="53">
        <v>0.0</v>
      </c>
      <c r="CE72" s="53">
        <v>0.0</v>
      </c>
      <c r="CF72" s="11"/>
      <c r="CG72" s="11" t="s">
        <v>756</v>
      </c>
      <c r="CH72" s="11">
        <v>90.0</v>
      </c>
      <c r="CI72" s="11">
        <v>90.0</v>
      </c>
      <c r="CJ72" s="11">
        <v>90.0</v>
      </c>
      <c r="CK72" s="53"/>
      <c r="CL72" s="40" t="s">
        <v>411</v>
      </c>
      <c r="CM72" s="43">
        <v>0.0</v>
      </c>
      <c r="CN72" s="43">
        <v>0.0</v>
      </c>
      <c r="CO72" s="40"/>
      <c r="CP72" s="40" t="s">
        <v>625</v>
      </c>
      <c r="CQ72" s="46" t="s">
        <v>17</v>
      </c>
      <c r="CR72" s="46" t="s">
        <v>18</v>
      </c>
      <c r="CS72" s="46" t="s">
        <v>19</v>
      </c>
      <c r="CT72" s="46" t="s">
        <v>20</v>
      </c>
      <c r="CU72" s="46" t="s">
        <v>21</v>
      </c>
      <c r="CV72" s="53"/>
      <c r="CW72" s="53"/>
      <c r="CX72" s="53"/>
      <c r="CY72" s="53"/>
      <c r="CZ72" s="53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 t="s">
        <v>252</v>
      </c>
      <c r="J73" s="11"/>
      <c r="K73" s="11">
        <v>42183.0</v>
      </c>
      <c r="L73" s="11">
        <v>43456.0</v>
      </c>
      <c r="M73" s="11"/>
      <c r="N73" s="11"/>
      <c r="O73" s="11"/>
      <c r="P73" s="11"/>
      <c r="Q73" s="11" t="s">
        <v>757</v>
      </c>
      <c r="R73" s="11"/>
      <c r="S73" s="11">
        <v>30351.0</v>
      </c>
      <c r="T73" s="11">
        <v>30351.24</v>
      </c>
      <c r="U73" s="11">
        <v>30351.24</v>
      </c>
      <c r="V73" s="11">
        <v>30351.24</v>
      </c>
      <c r="W73" s="11">
        <v>30351.24</v>
      </c>
      <c r="X73" s="11"/>
      <c r="Y73" s="11" t="s">
        <v>758</v>
      </c>
      <c r="Z73" s="11">
        <v>0.0</v>
      </c>
      <c r="AA73" s="11">
        <v>0.0</v>
      </c>
      <c r="AB73" s="11">
        <v>0.0</v>
      </c>
      <c r="AC73" s="11">
        <v>0.0</v>
      </c>
      <c r="AD73" s="11">
        <v>0.0</v>
      </c>
      <c r="AE73" s="11">
        <v>0.0</v>
      </c>
      <c r="AF73" s="11"/>
      <c r="AG73" s="11"/>
      <c r="AH73" s="11"/>
      <c r="AI73" s="11"/>
      <c r="AJ73" s="11"/>
      <c r="AK73" s="11"/>
      <c r="AL73" s="11"/>
      <c r="AM73" s="11"/>
      <c r="AN73" s="11"/>
      <c r="AO73" s="11" t="s">
        <v>397</v>
      </c>
      <c r="AP73" s="11"/>
      <c r="AQ73" s="11"/>
      <c r="AR73" s="11"/>
      <c r="AS73" s="11"/>
      <c r="AT73" s="11" t="s">
        <v>284</v>
      </c>
      <c r="AU73" s="53">
        <v>0.0</v>
      </c>
      <c r="AV73" s="53">
        <v>0.0</v>
      </c>
      <c r="AW73" s="53">
        <v>0.0</v>
      </c>
      <c r="AX73" s="11"/>
      <c r="AY73" s="11" t="s">
        <v>759</v>
      </c>
      <c r="AZ73" s="11"/>
      <c r="BA73" s="11">
        <v>94.09011</v>
      </c>
      <c r="BB73" s="11"/>
      <c r="BC73" s="11"/>
      <c r="BD73" s="11"/>
      <c r="BE73" s="40" t="s">
        <v>275</v>
      </c>
      <c r="BF73" s="53">
        <v>0.0</v>
      </c>
      <c r="BG73" s="53">
        <v>0.0</v>
      </c>
      <c r="BH73" s="53">
        <v>0.0</v>
      </c>
      <c r="BI73" s="11"/>
      <c r="BJ73" s="11" t="s">
        <v>411</v>
      </c>
      <c r="BK73" s="11">
        <v>71490.305</v>
      </c>
      <c r="BL73" s="11">
        <v>102640.33</v>
      </c>
      <c r="BM73" s="11">
        <v>116100.1569999999</v>
      </c>
      <c r="BN73" s="11"/>
      <c r="BO73" s="11" t="s">
        <v>760</v>
      </c>
      <c r="BP73" s="11">
        <v>24.91852</v>
      </c>
      <c r="BQ73" s="11">
        <v>14.41624</v>
      </c>
      <c r="BR73" s="11">
        <v>29.7336</v>
      </c>
      <c r="BS73" s="11">
        <v>5.39205</v>
      </c>
      <c r="BT73" s="11"/>
      <c r="BU73" s="11"/>
      <c r="BV73" s="11" t="s">
        <v>527</v>
      </c>
      <c r="BW73" s="11">
        <v>2455.834</v>
      </c>
      <c r="BX73" s="11">
        <v>2836.094</v>
      </c>
      <c r="BY73" s="11">
        <v>16022.446</v>
      </c>
      <c r="BZ73" s="11"/>
      <c r="CA73" s="11"/>
      <c r="CB73" s="11" t="s">
        <v>740</v>
      </c>
      <c r="CC73" s="11">
        <v>1560.74</v>
      </c>
      <c r="CD73" s="11">
        <v>2483.927</v>
      </c>
      <c r="CE73" s="11">
        <v>3840.796</v>
      </c>
      <c r="CF73" s="11"/>
      <c r="CG73" s="11" t="s">
        <v>761</v>
      </c>
      <c r="CH73" s="11">
        <v>54.454</v>
      </c>
      <c r="CI73" s="11">
        <v>54.3454</v>
      </c>
      <c r="CJ73" s="11">
        <v>54.454</v>
      </c>
      <c r="CK73" s="11"/>
      <c r="CL73" s="40"/>
      <c r="CM73" s="40"/>
      <c r="CN73" s="40"/>
      <c r="CO73" s="40"/>
      <c r="CP73" s="40" t="s">
        <v>762</v>
      </c>
      <c r="CQ73" s="40"/>
      <c r="CR73" s="40"/>
      <c r="CS73" s="40"/>
      <c r="CT73" s="40"/>
      <c r="CU73" s="40"/>
      <c r="CV73" s="11"/>
      <c r="CW73" s="11"/>
      <c r="CX73" s="11"/>
      <c r="CY73" s="11"/>
      <c r="CZ73" s="11"/>
    </row>
    <row r="74" ht="15.75" customHeight="1">
      <c r="A74" s="11" t="s">
        <v>351</v>
      </c>
      <c r="B74" s="53">
        <v>2019.0</v>
      </c>
      <c r="C74" s="53">
        <v>2020.0</v>
      </c>
      <c r="D74" s="53">
        <v>2021.0</v>
      </c>
      <c r="E74" s="53">
        <v>2022.0</v>
      </c>
      <c r="F74" s="53">
        <v>2023.0</v>
      </c>
      <c r="G74" s="53">
        <v>2024.0</v>
      </c>
      <c r="H74" s="11"/>
      <c r="I74" s="11" t="s">
        <v>254</v>
      </c>
      <c r="J74" s="11"/>
      <c r="K74" s="11">
        <v>7791.0</v>
      </c>
      <c r="L74" s="11">
        <v>5995.0</v>
      </c>
      <c r="M74" s="11"/>
      <c r="N74" s="11"/>
      <c r="O74" s="11"/>
      <c r="P74" s="11"/>
      <c r="Q74" s="11" t="s">
        <v>301</v>
      </c>
      <c r="R74" s="11"/>
      <c r="S74" s="11"/>
      <c r="T74" s="11">
        <v>97601.242</v>
      </c>
      <c r="U74" s="11">
        <v>97601.242</v>
      </c>
      <c r="V74" s="11">
        <v>97601.242</v>
      </c>
      <c r="W74" s="11">
        <v>97601.242</v>
      </c>
      <c r="X74" s="11"/>
      <c r="Y74" s="11"/>
      <c r="Z74" s="11"/>
      <c r="AA74" s="11"/>
      <c r="AB74" s="11"/>
      <c r="AC74" s="11"/>
      <c r="AD74" s="11"/>
      <c r="AE74" s="11"/>
      <c r="AF74" s="11"/>
      <c r="AG74" s="11" t="s">
        <v>277</v>
      </c>
      <c r="AH74" s="53">
        <v>2019.0</v>
      </c>
      <c r="AI74" s="53">
        <v>2020.0</v>
      </c>
      <c r="AJ74" s="53">
        <v>2021.0</v>
      </c>
      <c r="AK74" s="53">
        <v>2022.0</v>
      </c>
      <c r="AL74" s="53">
        <v>2023.0</v>
      </c>
      <c r="AM74" s="53">
        <v>2024.0</v>
      </c>
      <c r="AN74" s="11"/>
      <c r="AO74" s="11" t="s">
        <v>284</v>
      </c>
      <c r="AP74" s="53">
        <v>0.0</v>
      </c>
      <c r="AQ74" s="53">
        <v>0.0</v>
      </c>
      <c r="AR74" s="53">
        <v>0.0</v>
      </c>
      <c r="AS74" s="11"/>
      <c r="AT74" s="11" t="s">
        <v>411</v>
      </c>
      <c r="AU74" s="11">
        <v>0.0</v>
      </c>
      <c r="AV74" s="11">
        <v>0.0</v>
      </c>
      <c r="AW74" s="11">
        <v>0.0</v>
      </c>
      <c r="AX74" s="11"/>
      <c r="AY74" s="11" t="s">
        <v>763</v>
      </c>
      <c r="AZ74" s="11"/>
      <c r="BA74" s="11"/>
      <c r="BB74" s="11">
        <v>1202.36169</v>
      </c>
      <c r="BC74" s="11"/>
      <c r="BD74" s="11"/>
      <c r="BE74" s="40" t="s">
        <v>764</v>
      </c>
      <c r="BF74" s="11">
        <v>235.59</v>
      </c>
      <c r="BG74" s="11">
        <v>507.033</v>
      </c>
      <c r="BH74" s="11">
        <v>507.033</v>
      </c>
      <c r="BI74" s="11"/>
      <c r="BJ74" s="11"/>
      <c r="BK74" s="11"/>
      <c r="BL74" s="11"/>
      <c r="BM74" s="11"/>
      <c r="BN74" s="11"/>
      <c r="BO74" s="11" t="s">
        <v>765</v>
      </c>
      <c r="BP74" s="11">
        <v>42.25155</v>
      </c>
      <c r="BQ74" s="11">
        <v>24.02801</v>
      </c>
      <c r="BR74" s="11">
        <v>10.41581</v>
      </c>
      <c r="BS74" s="11">
        <v>2.86137</v>
      </c>
      <c r="BT74" s="11"/>
      <c r="BU74" s="11"/>
      <c r="BV74" s="11" t="s">
        <v>530</v>
      </c>
      <c r="BW74" s="11"/>
      <c r="BX74" s="11"/>
      <c r="BY74" s="11"/>
      <c r="BZ74" s="11"/>
      <c r="CA74" s="11"/>
      <c r="CB74" s="11" t="s">
        <v>766</v>
      </c>
      <c r="CC74" s="11">
        <v>669.869</v>
      </c>
      <c r="CD74" s="11">
        <v>981.926</v>
      </c>
      <c r="CE74" s="11">
        <v>981.927</v>
      </c>
      <c r="CF74" s="11"/>
      <c r="CG74" s="11" t="s">
        <v>767</v>
      </c>
      <c r="CH74" s="11"/>
      <c r="CI74" s="11"/>
      <c r="CJ74" s="11">
        <v>2563.92644</v>
      </c>
      <c r="CK74" s="11"/>
      <c r="CL74" s="40" t="s">
        <v>693</v>
      </c>
      <c r="CM74" s="40"/>
      <c r="CN74" s="40"/>
      <c r="CO74" s="40"/>
      <c r="CP74" s="40" t="s">
        <v>768</v>
      </c>
      <c r="CQ74" s="40"/>
      <c r="CR74" s="40"/>
      <c r="CS74" s="40"/>
      <c r="CT74" s="40"/>
      <c r="CU74" s="40"/>
      <c r="CV74" s="11"/>
      <c r="CW74" s="11"/>
      <c r="CX74" s="11"/>
      <c r="CY74" s="11"/>
      <c r="CZ74" s="11"/>
    </row>
    <row r="75" ht="15.75" customHeight="1">
      <c r="A75" s="11" t="s">
        <v>351</v>
      </c>
      <c r="B75" s="11"/>
      <c r="C75" s="11">
        <v>15462.805</v>
      </c>
      <c r="D75" s="11">
        <v>12915.445</v>
      </c>
      <c r="E75" s="11">
        <v>11598.504</v>
      </c>
      <c r="F75" s="11">
        <v>11683.729</v>
      </c>
      <c r="G75" s="11">
        <v>8954.474</v>
      </c>
      <c r="H75" s="11"/>
      <c r="I75" s="11" t="s">
        <v>241</v>
      </c>
      <c r="J75" s="11"/>
      <c r="K75" s="11">
        <v>142121.0</v>
      </c>
      <c r="L75" s="11">
        <v>124902.0</v>
      </c>
      <c r="M75" s="11">
        <v>183901.697</v>
      </c>
      <c r="N75" s="11">
        <v>221052.018</v>
      </c>
      <c r="O75" s="11">
        <v>95615.30599999963</v>
      </c>
      <c r="P75" s="11"/>
      <c r="Q75" s="11" t="s">
        <v>291</v>
      </c>
      <c r="R75" s="11"/>
      <c r="S75" s="11"/>
      <c r="T75" s="11">
        <v>6188.536</v>
      </c>
      <c r="U75" s="11">
        <v>1095.01</v>
      </c>
      <c r="V75" s="11">
        <v>2592.901</v>
      </c>
      <c r="W75" s="11">
        <v>2145.317</v>
      </c>
      <c r="X75" s="11"/>
      <c r="Y75" s="11" t="s">
        <v>563</v>
      </c>
      <c r="Z75" s="53">
        <v>2019.0</v>
      </c>
      <c r="AA75" s="53">
        <v>2020.0</v>
      </c>
      <c r="AB75" s="53">
        <v>2021.0</v>
      </c>
      <c r="AC75" s="53">
        <v>2022.0</v>
      </c>
      <c r="AD75" s="53">
        <v>2023.0</v>
      </c>
      <c r="AE75" s="53">
        <v>2024.0</v>
      </c>
      <c r="AF75" s="11"/>
      <c r="AG75" s="11" t="s">
        <v>769</v>
      </c>
      <c r="AH75" s="11"/>
      <c r="AI75" s="11"/>
      <c r="AJ75" s="11"/>
      <c r="AK75" s="11">
        <v>1459.251</v>
      </c>
      <c r="AL75" s="11">
        <v>1088.722</v>
      </c>
      <c r="AM75" s="11">
        <v>839.323</v>
      </c>
      <c r="AN75" s="11"/>
      <c r="AO75" s="11" t="s">
        <v>411</v>
      </c>
      <c r="AP75" s="11">
        <v>0.0</v>
      </c>
      <c r="AQ75" s="11">
        <v>0.0</v>
      </c>
      <c r="AR75" s="11">
        <v>0.0</v>
      </c>
      <c r="AS75" s="11"/>
      <c r="AT75" s="11"/>
      <c r="AU75" s="11"/>
      <c r="AV75" s="11"/>
      <c r="AW75" s="11"/>
      <c r="AX75" s="11"/>
      <c r="AY75" s="11" t="s">
        <v>411</v>
      </c>
      <c r="AZ75" s="11">
        <v>239.816</v>
      </c>
      <c r="BA75" s="11">
        <v>553.3086</v>
      </c>
      <c r="BB75" s="11">
        <v>1373.62879</v>
      </c>
      <c r="BC75" s="11">
        <v>1330.02704</v>
      </c>
      <c r="BD75" s="11"/>
      <c r="BE75" s="40" t="s">
        <v>653</v>
      </c>
      <c r="BF75" s="11">
        <v>47.878</v>
      </c>
      <c r="BG75" s="11">
        <v>47.878</v>
      </c>
      <c r="BH75" s="11">
        <v>47.878</v>
      </c>
      <c r="BI75" s="11"/>
      <c r="BJ75" s="11" t="s">
        <v>275</v>
      </c>
      <c r="BK75" s="53">
        <v>0.0</v>
      </c>
      <c r="BL75" s="53">
        <v>0.0</v>
      </c>
      <c r="BM75" s="53">
        <v>0.0</v>
      </c>
      <c r="BN75" s="11"/>
      <c r="BO75" s="11" t="s">
        <v>770</v>
      </c>
      <c r="BP75" s="11">
        <v>387.5</v>
      </c>
      <c r="BQ75" s="11">
        <v>0.0</v>
      </c>
      <c r="BR75" s="11"/>
      <c r="BS75" s="11">
        <v>0.9624000000039814</v>
      </c>
      <c r="BT75" s="11"/>
      <c r="BU75" s="11"/>
      <c r="BV75" s="11" t="s">
        <v>411</v>
      </c>
      <c r="BW75" s="11">
        <v>55000.387</v>
      </c>
      <c r="BX75" s="11">
        <v>52219.48699999999</v>
      </c>
      <c r="BY75" s="11">
        <v>60044.077</v>
      </c>
      <c r="BZ75" s="11">
        <v>0.0</v>
      </c>
      <c r="CA75" s="11"/>
      <c r="CB75" s="11" t="s">
        <v>771</v>
      </c>
      <c r="CC75" s="11">
        <v>1061.769</v>
      </c>
      <c r="CD75" s="11">
        <v>1061.769</v>
      </c>
      <c r="CE75" s="11">
        <v>1061.769</v>
      </c>
      <c r="CF75" s="11"/>
      <c r="CG75" s="11" t="s">
        <v>411</v>
      </c>
      <c r="CH75" s="11">
        <v>4098.29959</v>
      </c>
      <c r="CI75" s="11">
        <v>6768.73919</v>
      </c>
      <c r="CJ75" s="11">
        <v>8492.94044</v>
      </c>
      <c r="CK75" s="11"/>
      <c r="CL75" s="40" t="s">
        <v>397</v>
      </c>
      <c r="CM75" s="40"/>
      <c r="CN75" s="40"/>
      <c r="CO75" s="40"/>
      <c r="CP75" s="40" t="s">
        <v>242</v>
      </c>
      <c r="CQ75" s="43">
        <v>10.705</v>
      </c>
      <c r="CR75" s="43">
        <v>10.705</v>
      </c>
      <c r="CS75" s="43">
        <v>10.70535</v>
      </c>
      <c r="CT75" s="43">
        <v>10.70535</v>
      </c>
      <c r="CU75" s="43">
        <v>10.70535</v>
      </c>
      <c r="CV75" s="11"/>
      <c r="CW75" s="11"/>
      <c r="CX75" s="11"/>
      <c r="CY75" s="11"/>
      <c r="CZ75" s="11"/>
    </row>
    <row r="76" ht="15.75" customHeight="1">
      <c r="A76" s="11" t="s">
        <v>772</v>
      </c>
      <c r="B76" s="53">
        <v>2019.0</v>
      </c>
      <c r="C76" s="53">
        <v>2020.0</v>
      </c>
      <c r="D76" s="53">
        <v>2021.0</v>
      </c>
      <c r="E76" s="53">
        <v>2022.0</v>
      </c>
      <c r="F76" s="53">
        <v>2023.0</v>
      </c>
      <c r="G76" s="53">
        <v>2024.0</v>
      </c>
      <c r="H76" s="11"/>
      <c r="I76" s="11" t="s">
        <v>242</v>
      </c>
      <c r="J76" s="11"/>
      <c r="K76" s="11">
        <v>4450.0</v>
      </c>
      <c r="L76" s="11">
        <v>4298.0</v>
      </c>
      <c r="M76" s="11"/>
      <c r="N76" s="11"/>
      <c r="O76" s="11"/>
      <c r="P76" s="11"/>
      <c r="Q76" s="11" t="s">
        <v>295</v>
      </c>
      <c r="R76" s="11"/>
      <c r="S76" s="11"/>
      <c r="T76" s="11">
        <v>5595.623</v>
      </c>
      <c r="U76" s="11">
        <v>5139.42</v>
      </c>
      <c r="V76" s="11">
        <v>6574.83</v>
      </c>
      <c r="W76" s="11">
        <v>7982.494</v>
      </c>
      <c r="X76" s="11"/>
      <c r="Y76" s="11" t="s">
        <v>575</v>
      </c>
      <c r="Z76" s="11">
        <v>0.0</v>
      </c>
      <c r="AA76" s="11">
        <v>0.0</v>
      </c>
      <c r="AB76" s="11">
        <v>0.0</v>
      </c>
      <c r="AC76" s="11">
        <v>0.0</v>
      </c>
      <c r="AD76" s="11">
        <v>0.0</v>
      </c>
      <c r="AE76" s="11">
        <v>0.0</v>
      </c>
      <c r="AF76" s="11"/>
      <c r="AG76" s="11" t="s">
        <v>773</v>
      </c>
      <c r="AH76" s="11">
        <v>0.0</v>
      </c>
      <c r="AI76" s="11">
        <v>0.0</v>
      </c>
      <c r="AJ76" s="11">
        <v>0.0</v>
      </c>
      <c r="AK76" s="11">
        <v>1459.251</v>
      </c>
      <c r="AL76" s="11">
        <v>1088.722</v>
      </c>
      <c r="AM76" s="11">
        <v>839.323</v>
      </c>
      <c r="AN76" s="11"/>
      <c r="AO76" s="11"/>
      <c r="AP76" s="11"/>
      <c r="AQ76" s="11"/>
      <c r="AR76" s="11"/>
      <c r="AS76" s="11"/>
      <c r="AT76" s="11" t="s">
        <v>397</v>
      </c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40" t="s">
        <v>774</v>
      </c>
      <c r="BF76" s="11">
        <v>-270.657</v>
      </c>
      <c r="BG76" s="11">
        <v>-304.872</v>
      </c>
      <c r="BH76" s="11">
        <v>-318.996</v>
      </c>
      <c r="BI76" s="11"/>
      <c r="BJ76" s="11" t="s">
        <v>765</v>
      </c>
      <c r="BK76" s="11">
        <v>3297.461</v>
      </c>
      <c r="BL76" s="11">
        <v>4455.227</v>
      </c>
      <c r="BM76" s="11">
        <v>5384.058</v>
      </c>
      <c r="BN76" s="11"/>
      <c r="BO76" s="11" t="s">
        <v>653</v>
      </c>
      <c r="BP76" s="11">
        <v>661.75697</v>
      </c>
      <c r="BQ76" s="11">
        <v>563.71766</v>
      </c>
      <c r="BR76" s="11">
        <v>465.67838</v>
      </c>
      <c r="BS76" s="11">
        <v>367.6391</v>
      </c>
      <c r="BT76" s="11"/>
      <c r="BU76" s="11"/>
      <c r="BV76" s="11"/>
      <c r="BW76" s="11"/>
      <c r="BX76" s="11"/>
      <c r="BY76" s="11"/>
      <c r="BZ76" s="11"/>
      <c r="CA76" s="11"/>
      <c r="CB76" s="11" t="s">
        <v>243</v>
      </c>
      <c r="CC76" s="11">
        <v>2785.983</v>
      </c>
      <c r="CD76" s="11">
        <v>3461.277</v>
      </c>
      <c r="CE76" s="11">
        <v>3998.361</v>
      </c>
      <c r="CF76" s="11"/>
      <c r="CG76" s="11"/>
      <c r="CH76" s="11"/>
      <c r="CI76" s="11"/>
      <c r="CJ76" s="11"/>
      <c r="CK76" s="11"/>
      <c r="CL76" s="40" t="s">
        <v>625</v>
      </c>
      <c r="CM76" s="46" t="s">
        <v>18</v>
      </c>
      <c r="CN76" s="46" t="s">
        <v>19</v>
      </c>
      <c r="CO76" s="40"/>
      <c r="CP76" s="40" t="s">
        <v>743</v>
      </c>
      <c r="CQ76" s="43">
        <v>14.285</v>
      </c>
      <c r="CR76" s="43">
        <v>14.285</v>
      </c>
      <c r="CS76" s="43">
        <v>14.28571</v>
      </c>
      <c r="CT76" s="40"/>
      <c r="CU76" s="40"/>
      <c r="CV76" s="11"/>
      <c r="CW76" s="11"/>
      <c r="CX76" s="11"/>
      <c r="CY76" s="11"/>
      <c r="CZ76" s="11"/>
    </row>
    <row r="77" ht="15.75" customHeight="1">
      <c r="A77" s="11" t="s">
        <v>772</v>
      </c>
      <c r="B77" s="11"/>
      <c r="C77" s="11">
        <v>5280.811</v>
      </c>
      <c r="D77" s="11">
        <v>7727.857</v>
      </c>
      <c r="E77" s="11">
        <v>13232.878</v>
      </c>
      <c r="F77" s="11">
        <v>14878.945</v>
      </c>
      <c r="G77" s="11"/>
      <c r="H77" s="11"/>
      <c r="I77" s="11" t="s">
        <v>243</v>
      </c>
      <c r="J77" s="11"/>
      <c r="K77" s="11">
        <v>15355.0</v>
      </c>
      <c r="L77" s="11">
        <v>15000.0</v>
      </c>
      <c r="M77" s="11"/>
      <c r="N77" s="11"/>
      <c r="O77" s="11"/>
      <c r="P77" s="11"/>
      <c r="Q77" s="11" t="s">
        <v>246</v>
      </c>
      <c r="R77" s="11"/>
      <c r="S77" s="11"/>
      <c r="T77" s="11">
        <v>1.728</v>
      </c>
      <c r="U77" s="11">
        <v>34.374</v>
      </c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 t="s">
        <v>397</v>
      </c>
      <c r="AP77" s="11"/>
      <c r="AQ77" s="11"/>
      <c r="AR77" s="11"/>
      <c r="AS77" s="11"/>
      <c r="AT77" s="11" t="s">
        <v>775</v>
      </c>
      <c r="AU77" s="53">
        <v>0.0</v>
      </c>
      <c r="AV77" s="53">
        <v>0.0</v>
      </c>
      <c r="AW77" s="53">
        <v>0.0</v>
      </c>
      <c r="AX77" s="11"/>
      <c r="AY77" s="11" t="s">
        <v>397</v>
      </c>
      <c r="AZ77" s="11"/>
      <c r="BA77" s="11"/>
      <c r="BB77" s="11"/>
      <c r="BC77" s="11"/>
      <c r="BD77" s="11"/>
      <c r="BE77" s="40" t="s">
        <v>411</v>
      </c>
      <c r="BF77" s="11">
        <v>12.81100000000004</v>
      </c>
      <c r="BG77" s="11">
        <v>250.039</v>
      </c>
      <c r="BH77" s="11">
        <v>235.9150000000001</v>
      </c>
      <c r="BI77" s="11"/>
      <c r="BJ77" s="11" t="s">
        <v>411</v>
      </c>
      <c r="BK77" s="11">
        <v>3297.461</v>
      </c>
      <c r="BL77" s="11">
        <v>4455.227</v>
      </c>
      <c r="BM77" s="11">
        <v>5384.058</v>
      </c>
      <c r="BN77" s="11"/>
      <c r="BO77" s="11" t="s">
        <v>776</v>
      </c>
      <c r="BP77" s="11">
        <v>1479.4846</v>
      </c>
      <c r="BQ77" s="11">
        <v>1392.37832</v>
      </c>
      <c r="BR77" s="11">
        <v>1305.272</v>
      </c>
      <c r="BS77" s="11">
        <v>1218.16568</v>
      </c>
      <c r="BT77" s="11"/>
      <c r="BU77" s="11"/>
      <c r="BV77" s="11" t="s">
        <v>397</v>
      </c>
      <c r="BW77" s="11"/>
      <c r="BX77" s="11"/>
      <c r="BY77" s="11"/>
      <c r="BZ77" s="11"/>
      <c r="CA77" s="11"/>
      <c r="CB77" s="11" t="s">
        <v>747</v>
      </c>
      <c r="CC77" s="11">
        <v>677.584</v>
      </c>
      <c r="CD77" s="11">
        <v>4318.323</v>
      </c>
      <c r="CE77" s="11">
        <v>17406.758</v>
      </c>
      <c r="CF77" s="11"/>
      <c r="CG77" s="11" t="s">
        <v>236</v>
      </c>
      <c r="CH77" s="53">
        <v>0.0</v>
      </c>
      <c r="CI77" s="53">
        <v>0.0</v>
      </c>
      <c r="CJ77" s="53">
        <v>0.0</v>
      </c>
      <c r="CK77" s="11"/>
      <c r="CL77" s="40" t="s">
        <v>762</v>
      </c>
      <c r="CM77" s="40"/>
      <c r="CN77" s="40"/>
      <c r="CO77" s="40"/>
      <c r="CP77" s="40" t="s">
        <v>777</v>
      </c>
      <c r="CQ77" s="43">
        <v>48.322</v>
      </c>
      <c r="CR77" s="43">
        <v>67.251</v>
      </c>
      <c r="CS77" s="43">
        <v>123.53296</v>
      </c>
      <c r="CT77" s="43">
        <v>186.9362</v>
      </c>
      <c r="CU77" s="43">
        <v>186.9362</v>
      </c>
      <c r="CV77" s="11"/>
      <c r="CW77" s="11"/>
      <c r="CX77" s="11"/>
      <c r="CY77" s="11"/>
      <c r="CZ77" s="11"/>
    </row>
    <row r="78" ht="15.75" customHeight="1">
      <c r="A78" s="11" t="s">
        <v>778</v>
      </c>
      <c r="B78" s="11">
        <v>0.0</v>
      </c>
      <c r="C78" s="11">
        <v>5280.811</v>
      </c>
      <c r="D78" s="11">
        <v>7727.857</v>
      </c>
      <c r="E78" s="11">
        <v>13232.878</v>
      </c>
      <c r="F78" s="11">
        <v>14878.945</v>
      </c>
      <c r="G78" s="11">
        <v>0.0</v>
      </c>
      <c r="H78" s="11"/>
      <c r="I78" s="11" t="s">
        <v>244</v>
      </c>
      <c r="J78" s="11"/>
      <c r="K78" s="11">
        <v>39919.0</v>
      </c>
      <c r="L78" s="11">
        <v>40033.0</v>
      </c>
      <c r="M78" s="11"/>
      <c r="N78" s="11"/>
      <c r="O78" s="11"/>
      <c r="P78" s="11"/>
      <c r="Q78" s="11" t="s">
        <v>270</v>
      </c>
      <c r="R78" s="53">
        <v>2019.0</v>
      </c>
      <c r="S78" s="53">
        <v>2020.0</v>
      </c>
      <c r="T78" s="53">
        <v>2021.0</v>
      </c>
      <c r="U78" s="53">
        <v>2022.0</v>
      </c>
      <c r="V78" s="53">
        <v>2023.0</v>
      </c>
      <c r="W78" s="53">
        <v>2024.0</v>
      </c>
      <c r="X78" s="11"/>
      <c r="Y78" s="11" t="s">
        <v>249</v>
      </c>
      <c r="Z78" s="53">
        <v>2019.0</v>
      </c>
      <c r="AA78" s="53">
        <v>2020.0</v>
      </c>
      <c r="AB78" s="53">
        <v>2021.0</v>
      </c>
      <c r="AC78" s="53">
        <v>2022.0</v>
      </c>
      <c r="AD78" s="53">
        <v>2023.0</v>
      </c>
      <c r="AE78" s="53">
        <v>2024.0</v>
      </c>
      <c r="AF78" s="11"/>
      <c r="AG78" s="11" t="s">
        <v>687</v>
      </c>
      <c r="AH78" s="53">
        <v>2019.0</v>
      </c>
      <c r="AI78" s="53">
        <v>2020.0</v>
      </c>
      <c r="AJ78" s="53">
        <v>2021.0</v>
      </c>
      <c r="AK78" s="53">
        <v>2022.0</v>
      </c>
      <c r="AL78" s="53">
        <v>2023.0</v>
      </c>
      <c r="AM78" s="53">
        <v>2024.0</v>
      </c>
      <c r="AN78" s="11"/>
      <c r="AO78" s="11" t="s">
        <v>775</v>
      </c>
      <c r="AP78" s="53">
        <v>0.0</v>
      </c>
      <c r="AQ78" s="53">
        <v>0.0</v>
      </c>
      <c r="AR78" s="53">
        <v>0.0</v>
      </c>
      <c r="AS78" s="11"/>
      <c r="AT78" s="11" t="s">
        <v>508</v>
      </c>
      <c r="AU78" s="11"/>
      <c r="AV78" s="11"/>
      <c r="AW78" s="11"/>
      <c r="AX78" s="11"/>
      <c r="AY78" s="11" t="s">
        <v>92</v>
      </c>
      <c r="AZ78" s="53">
        <v>0.0</v>
      </c>
      <c r="BA78" s="53">
        <v>0.0</v>
      </c>
      <c r="BB78" s="53">
        <v>0.0</v>
      </c>
      <c r="BC78" s="53">
        <v>0.0</v>
      </c>
      <c r="BD78" s="11"/>
      <c r="BE78" s="40"/>
      <c r="BF78" s="11"/>
      <c r="BG78" s="11"/>
      <c r="BH78" s="11"/>
      <c r="BI78" s="11"/>
      <c r="BJ78" s="11"/>
      <c r="BK78" s="11"/>
      <c r="BL78" s="11"/>
      <c r="BM78" s="11"/>
      <c r="BN78" s="11"/>
      <c r="BO78" s="11" t="s">
        <v>411</v>
      </c>
      <c r="BP78" s="11">
        <v>2960.06624</v>
      </c>
      <c r="BQ78" s="11">
        <v>2530.93082</v>
      </c>
      <c r="BR78" s="11">
        <v>3789.25933</v>
      </c>
      <c r="BS78" s="11">
        <v>2189.454560000004</v>
      </c>
      <c r="BT78" s="11">
        <v>0.0</v>
      </c>
      <c r="BU78" s="11"/>
      <c r="BV78" s="11" t="s">
        <v>546</v>
      </c>
      <c r="BW78" s="53">
        <v>0.0</v>
      </c>
      <c r="BX78" s="53">
        <v>0.0</v>
      </c>
      <c r="BY78" s="53">
        <v>0.0</v>
      </c>
      <c r="BZ78" s="53">
        <v>0.0</v>
      </c>
      <c r="CA78" s="11"/>
      <c r="CB78" s="11" t="s">
        <v>765</v>
      </c>
      <c r="CC78" s="11">
        <v>5951.627</v>
      </c>
      <c r="CD78" s="11">
        <v>5951.627</v>
      </c>
      <c r="CE78" s="11">
        <v>5951.627</v>
      </c>
      <c r="CF78" s="11"/>
      <c r="CG78" s="11" t="s">
        <v>779</v>
      </c>
      <c r="CH78" s="11">
        <v>103.46128</v>
      </c>
      <c r="CI78" s="11">
        <v>286.07319</v>
      </c>
      <c r="CJ78" s="11">
        <v>201.65228</v>
      </c>
      <c r="CK78" s="11"/>
      <c r="CL78" s="40" t="s">
        <v>768</v>
      </c>
      <c r="CM78" s="40"/>
      <c r="CN78" s="40"/>
      <c r="CO78" s="40"/>
      <c r="CP78" s="40" t="s">
        <v>780</v>
      </c>
      <c r="CQ78" s="40"/>
      <c r="CR78" s="40"/>
      <c r="CS78" s="40"/>
      <c r="CT78" s="40"/>
      <c r="CU78" s="40"/>
      <c r="CV78" s="11"/>
      <c r="CW78" s="11"/>
      <c r="CX78" s="11"/>
      <c r="CY78" s="11"/>
      <c r="C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 t="s">
        <v>248</v>
      </c>
      <c r="J79" s="11"/>
      <c r="K79" s="11">
        <v>6462.0</v>
      </c>
      <c r="L79" s="11">
        <v>9819.0</v>
      </c>
      <c r="M79" s="11"/>
      <c r="N79" s="11"/>
      <c r="O79" s="11"/>
      <c r="P79" s="11"/>
      <c r="Q79" s="11" t="s">
        <v>270</v>
      </c>
      <c r="R79" s="11"/>
      <c r="S79" s="11"/>
      <c r="T79" s="11">
        <v>7753.363000000041</v>
      </c>
      <c r="U79" s="11">
        <v>2320.991999999969</v>
      </c>
      <c r="V79" s="11">
        <v>6389.589</v>
      </c>
      <c r="W79" s="11">
        <v>19758.36</v>
      </c>
      <c r="X79" s="11"/>
      <c r="Y79" s="11" t="s">
        <v>519</v>
      </c>
      <c r="Z79" s="11">
        <v>0.0</v>
      </c>
      <c r="AA79" s="11">
        <v>0.0</v>
      </c>
      <c r="AB79" s="11">
        <v>0.0</v>
      </c>
      <c r="AC79" s="11">
        <v>0.0</v>
      </c>
      <c r="AD79" s="11">
        <v>0.0</v>
      </c>
      <c r="AE79" s="11">
        <v>0.0</v>
      </c>
      <c r="AF79" s="11"/>
      <c r="AG79" s="11" t="s">
        <v>687</v>
      </c>
      <c r="AH79" s="11"/>
      <c r="AI79" s="11"/>
      <c r="AJ79" s="11"/>
      <c r="AK79" s="11">
        <v>818.466</v>
      </c>
      <c r="AL79" s="11">
        <v>2164.079</v>
      </c>
      <c r="AM79" s="11"/>
      <c r="AN79" s="11"/>
      <c r="AO79" s="11" t="s">
        <v>508</v>
      </c>
      <c r="AP79" s="11"/>
      <c r="AQ79" s="11"/>
      <c r="AR79" s="11"/>
      <c r="AS79" s="11"/>
      <c r="AT79" s="11" t="s">
        <v>514</v>
      </c>
      <c r="AU79" s="11"/>
      <c r="AV79" s="11"/>
      <c r="AW79" s="11"/>
      <c r="AX79" s="11"/>
      <c r="AY79" s="11" t="s">
        <v>781</v>
      </c>
      <c r="AZ79" s="11">
        <v>9816.874</v>
      </c>
      <c r="BA79" s="11">
        <v>13255.05611</v>
      </c>
      <c r="BB79" s="11">
        <v>14498.97561</v>
      </c>
      <c r="BC79" s="11">
        <v>17221.7022</v>
      </c>
      <c r="BD79" s="11"/>
      <c r="BE79" s="40" t="s">
        <v>730</v>
      </c>
      <c r="BF79" s="11"/>
      <c r="BG79" s="11"/>
      <c r="BH79" s="11"/>
      <c r="BI79" s="11"/>
      <c r="BJ79" s="11" t="s">
        <v>730</v>
      </c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 t="s">
        <v>411</v>
      </c>
      <c r="BW79" s="11">
        <v>0.0</v>
      </c>
      <c r="BX79" s="11">
        <v>0.0</v>
      </c>
      <c r="BY79" s="11">
        <v>0.0</v>
      </c>
      <c r="BZ79" s="11">
        <v>0.0</v>
      </c>
      <c r="CA79" s="11"/>
      <c r="CB79" s="11" t="s">
        <v>732</v>
      </c>
      <c r="CC79" s="11"/>
      <c r="CD79" s="11">
        <v>21.428</v>
      </c>
      <c r="CE79" s="11">
        <v>21.429</v>
      </c>
      <c r="CF79" s="11"/>
      <c r="CG79" s="11" t="s">
        <v>782</v>
      </c>
      <c r="CH79" s="11">
        <v>282.64191</v>
      </c>
      <c r="CI79" s="11">
        <v>204.84924</v>
      </c>
      <c r="CJ79" s="11">
        <v>375.72052</v>
      </c>
      <c r="CK79" s="53"/>
      <c r="CL79" s="40" t="s">
        <v>242</v>
      </c>
      <c r="CM79" s="40"/>
      <c r="CN79" s="40"/>
      <c r="CO79" s="40"/>
      <c r="CP79" s="40" t="s">
        <v>243</v>
      </c>
      <c r="CQ79" s="43">
        <v>138.314</v>
      </c>
      <c r="CR79" s="43">
        <v>142.841</v>
      </c>
      <c r="CS79" s="43">
        <v>142.84113</v>
      </c>
      <c r="CT79" s="43">
        <v>286.19145</v>
      </c>
      <c r="CU79" s="43">
        <v>286.19145</v>
      </c>
      <c r="CV79" s="11"/>
      <c r="CW79" s="11"/>
      <c r="CX79" s="11"/>
      <c r="CY79" s="11"/>
      <c r="CZ79" s="11"/>
    </row>
    <row r="80" ht="15.75" customHeight="1">
      <c r="A80" s="11" t="s">
        <v>783</v>
      </c>
      <c r="B80" s="53">
        <v>2019.0</v>
      </c>
      <c r="C80" s="53">
        <v>2020.0</v>
      </c>
      <c r="D80" s="53">
        <v>2021.0</v>
      </c>
      <c r="E80" s="53">
        <v>2022.0</v>
      </c>
      <c r="F80" s="53">
        <v>2023.0</v>
      </c>
      <c r="G80" s="53">
        <v>2024.0</v>
      </c>
      <c r="H80" s="11"/>
      <c r="I80" s="11" t="s">
        <v>260</v>
      </c>
      <c r="J80" s="11">
        <v>0.0</v>
      </c>
      <c r="K80" s="11">
        <v>-199056.718</v>
      </c>
      <c r="L80" s="11">
        <v>-190039.0</v>
      </c>
      <c r="M80" s="11">
        <v>0.0</v>
      </c>
      <c r="N80" s="11">
        <v>0.0</v>
      </c>
      <c r="O80" s="11">
        <v>0.0</v>
      </c>
      <c r="P80" s="11"/>
      <c r="Q80" s="11" t="s">
        <v>555</v>
      </c>
      <c r="R80" s="11">
        <v>0.0</v>
      </c>
      <c r="S80" s="11">
        <v>0.0</v>
      </c>
      <c r="T80" s="11">
        <v>7753.363000000041</v>
      </c>
      <c r="U80" s="11">
        <v>2320.991999999969</v>
      </c>
      <c r="V80" s="11">
        <v>6389.589</v>
      </c>
      <c r="W80" s="11">
        <v>19758.36</v>
      </c>
      <c r="X80" s="11"/>
      <c r="Y80" s="11"/>
      <c r="Z80" s="11"/>
      <c r="AA80" s="11"/>
      <c r="AB80" s="11"/>
      <c r="AC80" s="11"/>
      <c r="AD80" s="11"/>
      <c r="AE80" s="11"/>
      <c r="AF80" s="11"/>
      <c r="AG80" s="11" t="s">
        <v>696</v>
      </c>
      <c r="AH80" s="11">
        <v>0.0</v>
      </c>
      <c r="AI80" s="11">
        <v>0.0</v>
      </c>
      <c r="AJ80" s="11">
        <v>0.0</v>
      </c>
      <c r="AK80" s="11">
        <v>818.466</v>
      </c>
      <c r="AL80" s="11">
        <v>2164.079</v>
      </c>
      <c r="AM80" s="11">
        <v>0.0</v>
      </c>
      <c r="AN80" s="11"/>
      <c r="AO80" s="11" t="s">
        <v>514</v>
      </c>
      <c r="AP80" s="11"/>
      <c r="AQ80" s="11"/>
      <c r="AR80" s="11"/>
      <c r="AS80" s="11"/>
      <c r="AT80" s="11" t="s">
        <v>521</v>
      </c>
      <c r="AU80" s="11"/>
      <c r="AV80" s="11"/>
      <c r="AW80" s="11"/>
      <c r="AX80" s="11"/>
      <c r="AY80" s="11" t="s">
        <v>784</v>
      </c>
      <c r="AZ80" s="11">
        <v>1171.052</v>
      </c>
      <c r="BA80" s="11">
        <v>0.0</v>
      </c>
      <c r="BB80" s="11">
        <v>267.1246</v>
      </c>
      <c r="BC80" s="11"/>
      <c r="BD80" s="11"/>
      <c r="BE80" s="40" t="s">
        <v>397</v>
      </c>
      <c r="BF80" s="11"/>
      <c r="BG80" s="11"/>
      <c r="BH80" s="11"/>
      <c r="BI80" s="11"/>
      <c r="BJ80" s="11" t="s">
        <v>397</v>
      </c>
      <c r="BK80" s="11"/>
      <c r="BL80" s="11"/>
      <c r="BM80" s="11"/>
      <c r="BN80" s="11"/>
      <c r="BO80" s="11" t="s">
        <v>260</v>
      </c>
      <c r="BP80" s="53">
        <v>0.0</v>
      </c>
      <c r="BQ80" s="53">
        <v>0.0</v>
      </c>
      <c r="BR80" s="53">
        <v>0.0</v>
      </c>
      <c r="BS80" s="53">
        <v>0.0</v>
      </c>
      <c r="BT80" s="53">
        <v>0.0</v>
      </c>
      <c r="BU80" s="11"/>
      <c r="BV80" s="11"/>
      <c r="BW80" s="11"/>
      <c r="BX80" s="11"/>
      <c r="BY80" s="11"/>
      <c r="BZ80" s="11"/>
      <c r="CA80" s="11"/>
      <c r="CB80" s="11" t="s">
        <v>785</v>
      </c>
      <c r="CC80" s="11">
        <v>-4598.095</v>
      </c>
      <c r="CD80" s="11">
        <v>-6259.373</v>
      </c>
      <c r="CE80" s="11">
        <v>-8178.749</v>
      </c>
      <c r="CF80" s="11"/>
      <c r="CG80" s="11" t="s">
        <v>786</v>
      </c>
      <c r="CH80" s="11"/>
      <c r="CI80" s="11"/>
      <c r="CJ80" s="11">
        <v>45.08362</v>
      </c>
      <c r="CK80" s="11"/>
      <c r="CL80" s="40" t="s">
        <v>743</v>
      </c>
      <c r="CM80" s="40"/>
      <c r="CN80" s="40"/>
      <c r="CO80" s="40"/>
      <c r="CP80" s="40" t="s">
        <v>787</v>
      </c>
      <c r="CQ80" s="40"/>
      <c r="CR80" s="40"/>
      <c r="CS80" s="40"/>
      <c r="CT80" s="40"/>
      <c r="CU80" s="40"/>
      <c r="CV80" s="11"/>
      <c r="CW80" s="11"/>
      <c r="CX80" s="11"/>
      <c r="CY80" s="11"/>
      <c r="CZ80" s="11"/>
    </row>
    <row r="81" ht="15.75" customHeight="1">
      <c r="A81" s="11" t="s">
        <v>363</v>
      </c>
      <c r="B81" s="11"/>
      <c r="C81" s="11"/>
      <c r="D81" s="11"/>
      <c r="E81" s="11"/>
      <c r="F81" s="11"/>
      <c r="G81" s="11">
        <v>9665.694</v>
      </c>
      <c r="H81" s="11"/>
      <c r="I81" s="11" t="s">
        <v>671</v>
      </c>
      <c r="J81" s="11">
        <v>0.0</v>
      </c>
      <c r="K81" s="11">
        <v>117278.282</v>
      </c>
      <c r="L81" s="11">
        <v>105337.0</v>
      </c>
      <c r="M81" s="11">
        <v>183901.697</v>
      </c>
      <c r="N81" s="11">
        <v>221052.018</v>
      </c>
      <c r="O81" s="11">
        <v>95615.30599999963</v>
      </c>
      <c r="P81" s="11"/>
      <c r="Q81" s="11"/>
      <c r="R81" s="11"/>
      <c r="S81" s="11"/>
      <c r="T81" s="11"/>
      <c r="U81" s="11"/>
      <c r="V81" s="11"/>
      <c r="W81" s="11"/>
      <c r="X81" s="11"/>
      <c r="Y81" s="11" t="s">
        <v>284</v>
      </c>
      <c r="Z81" s="53">
        <v>2019.0</v>
      </c>
      <c r="AA81" s="53">
        <v>2020.0</v>
      </c>
      <c r="AB81" s="53">
        <v>2021.0</v>
      </c>
      <c r="AC81" s="53">
        <v>2022.0</v>
      </c>
      <c r="AD81" s="53">
        <v>2023.0</v>
      </c>
      <c r="AE81" s="53">
        <v>2024.0</v>
      </c>
      <c r="AF81" s="11"/>
      <c r="AG81" s="11"/>
      <c r="AH81" s="11"/>
      <c r="AI81" s="11"/>
      <c r="AJ81" s="11"/>
      <c r="AK81" s="11"/>
      <c r="AL81" s="11"/>
      <c r="AM81" s="11"/>
      <c r="AN81" s="11"/>
      <c r="AO81" s="11" t="s">
        <v>521</v>
      </c>
      <c r="AP81" s="11"/>
      <c r="AQ81" s="11"/>
      <c r="AR81" s="11"/>
      <c r="AS81" s="11"/>
      <c r="AT81" s="11" t="s">
        <v>525</v>
      </c>
      <c r="AU81" s="11"/>
      <c r="AV81" s="11"/>
      <c r="AW81" s="11"/>
      <c r="AX81" s="11"/>
      <c r="AY81" s="11" t="s">
        <v>788</v>
      </c>
      <c r="AZ81" s="11">
        <v>3320.431</v>
      </c>
      <c r="BA81" s="11">
        <v>1709.4992</v>
      </c>
      <c r="BB81" s="11">
        <v>976.26674</v>
      </c>
      <c r="BC81" s="11"/>
      <c r="BD81" s="11"/>
      <c r="BE81" s="40" t="s">
        <v>67</v>
      </c>
      <c r="BF81" s="53">
        <v>0.0</v>
      </c>
      <c r="BG81" s="53">
        <v>0.0</v>
      </c>
      <c r="BH81" s="53">
        <v>0.0</v>
      </c>
      <c r="BI81" s="11"/>
      <c r="BJ81" s="11" t="s">
        <v>67</v>
      </c>
      <c r="BK81" s="53">
        <v>0.0</v>
      </c>
      <c r="BL81" s="53">
        <v>0.0</v>
      </c>
      <c r="BM81" s="53">
        <v>0.0</v>
      </c>
      <c r="BN81" s="11"/>
      <c r="BO81" s="11" t="s">
        <v>653</v>
      </c>
      <c r="BP81" s="11">
        <v>-98.03931</v>
      </c>
      <c r="BQ81" s="11">
        <v>-98.03931</v>
      </c>
      <c r="BR81" s="11">
        <v>-98.03928</v>
      </c>
      <c r="BS81" s="11">
        <v>-25.36134</v>
      </c>
      <c r="BT81" s="11"/>
      <c r="BU81" s="11"/>
      <c r="BV81" s="11" t="s">
        <v>486</v>
      </c>
      <c r="BW81" s="53">
        <v>0.0</v>
      </c>
      <c r="BX81" s="53">
        <v>0.0</v>
      </c>
      <c r="BY81" s="53">
        <v>0.0</v>
      </c>
      <c r="BZ81" s="53">
        <v>0.0</v>
      </c>
      <c r="CA81" s="11"/>
      <c r="CB81" s="11" t="s">
        <v>411</v>
      </c>
      <c r="CC81" s="11">
        <v>8109.477</v>
      </c>
      <c r="CD81" s="11">
        <v>1.9</v>
      </c>
      <c r="CE81" s="11">
        <v>25083.91799999999</v>
      </c>
      <c r="CF81" s="11"/>
      <c r="CG81" s="11" t="s">
        <v>411</v>
      </c>
      <c r="CH81" s="11">
        <v>386.10319</v>
      </c>
      <c r="CI81" s="11">
        <v>490.92243</v>
      </c>
      <c r="CJ81" s="11">
        <v>622.45642</v>
      </c>
      <c r="CK81" s="11"/>
      <c r="CL81" s="40" t="s">
        <v>777</v>
      </c>
      <c r="CM81" s="43">
        <v>3.749</v>
      </c>
      <c r="CN81" s="43">
        <v>32.09395</v>
      </c>
      <c r="CO81" s="40"/>
      <c r="CP81" s="40" t="s">
        <v>266</v>
      </c>
      <c r="CQ81" s="43">
        <v>24.927</v>
      </c>
      <c r="CR81" s="43">
        <v>24.927</v>
      </c>
      <c r="CS81" s="43">
        <v>24.92798</v>
      </c>
      <c r="CT81" s="40"/>
      <c r="CU81" s="40"/>
      <c r="CV81" s="11"/>
      <c r="CW81" s="11"/>
      <c r="CX81" s="11"/>
      <c r="CY81" s="11"/>
      <c r="CZ81" s="11"/>
    </row>
    <row r="82" ht="15.75" customHeight="1">
      <c r="A82" s="11" t="s">
        <v>789</v>
      </c>
      <c r="B82" s="11">
        <v>0.0</v>
      </c>
      <c r="C82" s="11">
        <v>0.0</v>
      </c>
      <c r="D82" s="11">
        <v>0.0</v>
      </c>
      <c r="E82" s="11">
        <v>0.0</v>
      </c>
      <c r="F82" s="11">
        <v>0.0</v>
      </c>
      <c r="G82" s="11">
        <v>9665.694</v>
      </c>
      <c r="H82" s="11"/>
      <c r="I82" s="11"/>
      <c r="J82" s="11"/>
      <c r="K82" s="11"/>
      <c r="L82" s="11"/>
      <c r="M82" s="11"/>
      <c r="N82" s="11"/>
      <c r="O82" s="11"/>
      <c r="P82" s="11"/>
      <c r="Q82" s="11" t="s">
        <v>284</v>
      </c>
      <c r="R82" s="53">
        <v>2019.0</v>
      </c>
      <c r="S82" s="53">
        <v>2020.0</v>
      </c>
      <c r="T82" s="53">
        <v>2021.0</v>
      </c>
      <c r="U82" s="53">
        <v>2022.0</v>
      </c>
      <c r="V82" s="53">
        <v>2023.0</v>
      </c>
      <c r="W82" s="53">
        <v>2024.0</v>
      </c>
      <c r="X82" s="11"/>
      <c r="Y82" s="11" t="s">
        <v>284</v>
      </c>
      <c r="Z82" s="11"/>
      <c r="AA82" s="11"/>
      <c r="AB82" s="11"/>
      <c r="AC82" s="11"/>
      <c r="AD82" s="11"/>
      <c r="AE82" s="11">
        <v>2448.012</v>
      </c>
      <c r="AF82" s="11"/>
      <c r="AG82" s="11" t="s">
        <v>790</v>
      </c>
      <c r="AH82" s="11">
        <v>0.0</v>
      </c>
      <c r="AI82" s="11">
        <v>0.0</v>
      </c>
      <c r="AJ82" s="11">
        <v>0.0</v>
      </c>
      <c r="AK82" s="11">
        <v>7707.914</v>
      </c>
      <c r="AL82" s="11">
        <v>7463.864</v>
      </c>
      <c r="AM82" s="11">
        <v>0.0</v>
      </c>
      <c r="AN82" s="11"/>
      <c r="AO82" s="11" t="s">
        <v>525</v>
      </c>
      <c r="AP82" s="11"/>
      <c r="AQ82" s="11"/>
      <c r="AR82" s="11"/>
      <c r="AS82" s="11"/>
      <c r="AT82" s="11" t="s">
        <v>527</v>
      </c>
      <c r="AU82" s="11"/>
      <c r="AV82" s="11"/>
      <c r="AW82" s="11"/>
      <c r="AX82" s="11"/>
      <c r="AY82" s="11" t="s">
        <v>791</v>
      </c>
      <c r="AZ82" s="11">
        <v>441.559</v>
      </c>
      <c r="BA82" s="11">
        <v>0.0</v>
      </c>
      <c r="BB82" s="11"/>
      <c r="BC82" s="11"/>
      <c r="BD82" s="11"/>
      <c r="BE82" s="40" t="s">
        <v>411</v>
      </c>
      <c r="BF82" s="11">
        <v>0.0</v>
      </c>
      <c r="BG82" s="11">
        <v>0.0</v>
      </c>
      <c r="BH82" s="11">
        <v>0.0</v>
      </c>
      <c r="BI82" s="11"/>
      <c r="BJ82" s="11" t="s">
        <v>411</v>
      </c>
      <c r="BK82" s="11">
        <v>0.0</v>
      </c>
      <c r="BL82" s="11">
        <v>0.0</v>
      </c>
      <c r="BM82" s="11">
        <v>0.0</v>
      </c>
      <c r="BN82" s="11"/>
      <c r="BO82" s="11" t="s">
        <v>776</v>
      </c>
      <c r="BP82" s="11">
        <v>-87.10628</v>
      </c>
      <c r="BQ82" s="11">
        <v>-87.10628</v>
      </c>
      <c r="BR82" s="11">
        <v>-87.10632</v>
      </c>
      <c r="BS82" s="11">
        <v>-51.78266</v>
      </c>
      <c r="BT82" s="11"/>
      <c r="BU82" s="11"/>
      <c r="BV82" s="11" t="s">
        <v>792</v>
      </c>
      <c r="BW82" s="11">
        <v>61.8</v>
      </c>
      <c r="BX82" s="11">
        <v>70.181</v>
      </c>
      <c r="BY82" s="11">
        <v>64.017</v>
      </c>
      <c r="BZ82" s="11">
        <v>75.0475</v>
      </c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40" t="s">
        <v>780</v>
      </c>
      <c r="CM82" s="40"/>
      <c r="CN82" s="40"/>
      <c r="CO82" s="40"/>
      <c r="CP82" s="40" t="s">
        <v>793</v>
      </c>
      <c r="CQ82" s="40"/>
      <c r="CR82" s="40"/>
      <c r="CS82" s="43">
        <v>-24.92798</v>
      </c>
      <c r="CT82" s="40"/>
      <c r="CU82" s="40"/>
      <c r="CV82" s="11"/>
      <c r="CW82" s="11"/>
      <c r="CX82" s="11"/>
      <c r="CY82" s="11"/>
      <c r="C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 t="s">
        <v>270</v>
      </c>
      <c r="J83" s="53">
        <v>2019.0</v>
      </c>
      <c r="K83" s="53">
        <v>2020.0</v>
      </c>
      <c r="L83" s="53">
        <v>2021.0</v>
      </c>
      <c r="M83" s="53">
        <v>2022.0</v>
      </c>
      <c r="N83" s="53">
        <v>2023.0</v>
      </c>
      <c r="O83" s="53">
        <v>2024.0</v>
      </c>
      <c r="P83" s="11"/>
      <c r="Q83" s="11" t="s">
        <v>284</v>
      </c>
      <c r="R83" s="11">
        <v>10493.0</v>
      </c>
      <c r="S83" s="11">
        <v>7409.0</v>
      </c>
      <c r="T83" s="11">
        <v>8841.711</v>
      </c>
      <c r="U83" s="11">
        <v>10580.451</v>
      </c>
      <c r="V83" s="11">
        <v>14254.249</v>
      </c>
      <c r="W83" s="11">
        <v>18722.91</v>
      </c>
      <c r="X83" s="11"/>
      <c r="Y83" s="11" t="s">
        <v>597</v>
      </c>
      <c r="Z83" s="11">
        <v>0.0</v>
      </c>
      <c r="AA83" s="11">
        <v>0.0</v>
      </c>
      <c r="AB83" s="11">
        <v>0.0</v>
      </c>
      <c r="AC83" s="11">
        <v>0.0</v>
      </c>
      <c r="AD83" s="11">
        <v>0.0</v>
      </c>
      <c r="AE83" s="11">
        <v>2448.012</v>
      </c>
      <c r="AF83" s="11"/>
      <c r="AG83" s="11" t="s">
        <v>794</v>
      </c>
      <c r="AH83" s="53">
        <v>2019.0</v>
      </c>
      <c r="AI83" s="53">
        <v>2020.0</v>
      </c>
      <c r="AJ83" s="53">
        <v>2021.0</v>
      </c>
      <c r="AK83" s="53">
        <v>2022.0</v>
      </c>
      <c r="AL83" s="53">
        <v>2023.0</v>
      </c>
      <c r="AM83" s="53">
        <v>2024.0</v>
      </c>
      <c r="AN83" s="11"/>
      <c r="AO83" s="11" t="s">
        <v>527</v>
      </c>
      <c r="AP83" s="11"/>
      <c r="AQ83" s="11"/>
      <c r="AR83" s="11"/>
      <c r="AS83" s="11"/>
      <c r="AT83" s="11" t="s">
        <v>530</v>
      </c>
      <c r="AU83" s="11"/>
      <c r="AV83" s="11"/>
      <c r="AW83" s="11"/>
      <c r="AX83" s="11"/>
      <c r="AY83" s="11" t="s">
        <v>411</v>
      </c>
      <c r="AZ83" s="11">
        <v>14749.916</v>
      </c>
      <c r="BA83" s="11">
        <v>14964.55531</v>
      </c>
      <c r="BB83" s="11">
        <v>15742.36695</v>
      </c>
      <c r="BC83" s="11">
        <v>17221.7022</v>
      </c>
      <c r="BD83" s="11"/>
      <c r="BE83" s="40"/>
      <c r="BF83" s="11"/>
      <c r="BG83" s="11"/>
      <c r="BH83" s="11"/>
      <c r="BI83" s="11"/>
      <c r="BJ83" s="11"/>
      <c r="BK83" s="11"/>
      <c r="BL83" s="11"/>
      <c r="BM83" s="11"/>
      <c r="BN83" s="11"/>
      <c r="BO83" s="11" t="s">
        <v>260</v>
      </c>
      <c r="BP83" s="11">
        <v>-138.1091</v>
      </c>
      <c r="BQ83" s="11">
        <v>-194.37665</v>
      </c>
      <c r="BR83" s="11">
        <v>-364.04457</v>
      </c>
      <c r="BS83" s="11">
        <v>-205.01908</v>
      </c>
      <c r="BT83" s="11"/>
      <c r="BU83" s="11"/>
      <c r="BV83" s="11" t="s">
        <v>683</v>
      </c>
      <c r="BW83" s="11">
        <v>136.4</v>
      </c>
      <c r="BX83" s="11">
        <v>10742.734</v>
      </c>
      <c r="BY83" s="11">
        <v>115.771</v>
      </c>
      <c r="BZ83" s="11">
        <v>2335.96913</v>
      </c>
      <c r="CA83" s="11"/>
      <c r="CB83" s="11" t="s">
        <v>275</v>
      </c>
      <c r="CC83" s="53">
        <v>0.0</v>
      </c>
      <c r="CD83" s="53">
        <v>0.0</v>
      </c>
      <c r="CE83" s="53">
        <v>0.0</v>
      </c>
      <c r="CF83" s="11"/>
      <c r="CG83" s="11" t="s">
        <v>397</v>
      </c>
      <c r="CH83" s="11"/>
      <c r="CI83" s="11"/>
      <c r="CJ83" s="11"/>
      <c r="CK83" s="11"/>
      <c r="CL83" s="40" t="s">
        <v>243</v>
      </c>
      <c r="CM83" s="40"/>
      <c r="CN83" s="40"/>
      <c r="CO83" s="40"/>
      <c r="CP83" s="40" t="s">
        <v>795</v>
      </c>
      <c r="CQ83" s="43">
        <v>-161.989</v>
      </c>
      <c r="CR83" s="43">
        <v>-215.901</v>
      </c>
      <c r="CS83" s="43">
        <v>-244.12202</v>
      </c>
      <c r="CT83" s="43">
        <v>-362.12911</v>
      </c>
      <c r="CU83" s="43">
        <v>-412.92128</v>
      </c>
      <c r="CV83" s="11"/>
      <c r="CW83" s="11"/>
      <c r="CX83" s="11"/>
      <c r="CY83" s="11"/>
      <c r="CZ83" s="11"/>
    </row>
    <row r="84" ht="15.75" customHeight="1">
      <c r="A84" s="11" t="s">
        <v>796</v>
      </c>
      <c r="B84" s="53">
        <v>2019.0</v>
      </c>
      <c r="C84" s="53">
        <v>2020.0</v>
      </c>
      <c r="D84" s="53">
        <v>2021.0</v>
      </c>
      <c r="E84" s="53">
        <v>2022.0</v>
      </c>
      <c r="F84" s="53">
        <v>2023.0</v>
      </c>
      <c r="G84" s="53">
        <v>2024.0</v>
      </c>
      <c r="H84" s="11"/>
      <c r="I84" s="11" t="s">
        <v>797</v>
      </c>
      <c r="J84" s="11"/>
      <c r="K84" s="11">
        <v>328552.0</v>
      </c>
      <c r="L84" s="11">
        <v>270224.0</v>
      </c>
      <c r="M84" s="11"/>
      <c r="N84" s="11"/>
      <c r="O84" s="11"/>
      <c r="P84" s="11"/>
      <c r="Q84" s="11" t="s">
        <v>597</v>
      </c>
      <c r="R84" s="11">
        <v>10493.0</v>
      </c>
      <c r="S84" s="11">
        <v>7409.0</v>
      </c>
      <c r="T84" s="11">
        <v>8841.711</v>
      </c>
      <c r="U84" s="11">
        <v>10580.451</v>
      </c>
      <c r="V84" s="11">
        <v>14254.249</v>
      </c>
      <c r="W84" s="11">
        <v>18722.91</v>
      </c>
      <c r="X84" s="11"/>
      <c r="Y84" s="11"/>
      <c r="Z84" s="11"/>
      <c r="AA84" s="11"/>
      <c r="AB84" s="11"/>
      <c r="AC84" s="11"/>
      <c r="AD84" s="11"/>
      <c r="AE84" s="11"/>
      <c r="AF84" s="11"/>
      <c r="AG84" s="11" t="s">
        <v>798</v>
      </c>
      <c r="AH84" s="11"/>
      <c r="AI84" s="11"/>
      <c r="AJ84" s="11"/>
      <c r="AK84" s="11">
        <v>16827.203</v>
      </c>
      <c r="AL84" s="11">
        <v>14063.864</v>
      </c>
      <c r="AM84" s="11">
        <v>10884.524</v>
      </c>
      <c r="AN84" s="11"/>
      <c r="AO84" s="11" t="s">
        <v>530</v>
      </c>
      <c r="AP84" s="11"/>
      <c r="AQ84" s="11"/>
      <c r="AR84" s="11"/>
      <c r="AS84" s="11"/>
      <c r="AT84" s="11" t="s">
        <v>411</v>
      </c>
      <c r="AU84" s="11">
        <v>0.0</v>
      </c>
      <c r="AV84" s="11">
        <v>0.0</v>
      </c>
      <c r="AW84" s="11">
        <v>0.0</v>
      </c>
      <c r="AX84" s="11"/>
      <c r="AY84" s="11"/>
      <c r="AZ84" s="11"/>
      <c r="BA84" s="11"/>
      <c r="BB84" s="11"/>
      <c r="BC84" s="11"/>
      <c r="BD84" s="11"/>
      <c r="BE84" s="40" t="s">
        <v>267</v>
      </c>
      <c r="BF84" s="11"/>
      <c r="BG84" s="11"/>
      <c r="BH84" s="11"/>
      <c r="BI84" s="11"/>
      <c r="BJ84" s="11" t="s">
        <v>267</v>
      </c>
      <c r="BK84" s="11"/>
      <c r="BL84" s="11"/>
      <c r="BM84" s="11"/>
      <c r="BN84" s="11"/>
      <c r="BO84" s="11" t="s">
        <v>411</v>
      </c>
      <c r="BP84" s="11">
        <v>-323.25469</v>
      </c>
      <c r="BQ84" s="11">
        <v>-379.52224</v>
      </c>
      <c r="BR84" s="11">
        <v>-549.1901700000001</v>
      </c>
      <c r="BS84" s="11">
        <v>-282.16308</v>
      </c>
      <c r="BT84" s="11">
        <v>0.0</v>
      </c>
      <c r="BU84" s="11"/>
      <c r="BV84" s="11" t="s">
        <v>799</v>
      </c>
      <c r="BW84" s="11">
        <v>10905.919</v>
      </c>
      <c r="BX84" s="11">
        <v>15247.141</v>
      </c>
      <c r="BY84" s="11">
        <v>25127.677</v>
      </c>
      <c r="BZ84" s="11">
        <v>2.0</v>
      </c>
      <c r="CA84" s="11"/>
      <c r="CB84" s="11" t="s">
        <v>411</v>
      </c>
      <c r="CC84" s="11">
        <v>0.0</v>
      </c>
      <c r="CD84" s="11">
        <v>0.0</v>
      </c>
      <c r="CE84" s="11">
        <v>0.0</v>
      </c>
      <c r="CF84" s="11"/>
      <c r="CG84" s="11" t="s">
        <v>92</v>
      </c>
      <c r="CH84" s="53">
        <v>0.0</v>
      </c>
      <c r="CI84" s="53">
        <v>0.0</v>
      </c>
      <c r="CJ84" s="53">
        <v>0.0</v>
      </c>
      <c r="CK84" s="11"/>
      <c r="CL84" s="40" t="s">
        <v>787</v>
      </c>
      <c r="CM84" s="40"/>
      <c r="CN84" s="40"/>
      <c r="CO84" s="40"/>
      <c r="CP84" s="40" t="s">
        <v>411</v>
      </c>
      <c r="CQ84" s="43">
        <v>74.564</v>
      </c>
      <c r="CR84" s="43">
        <v>44.108</v>
      </c>
      <c r="CS84" s="43">
        <v>47.24313000000001</v>
      </c>
      <c r="CT84" s="43">
        <v>121.70389</v>
      </c>
      <c r="CU84" s="43">
        <v>70.91171999999995</v>
      </c>
      <c r="CV84" s="11"/>
      <c r="CW84" s="11"/>
      <c r="CX84" s="11"/>
      <c r="CY84" s="11"/>
      <c r="CZ84" s="11"/>
    </row>
    <row r="85" ht="15.75" customHeight="1">
      <c r="A85" s="11" t="s">
        <v>373</v>
      </c>
      <c r="B85" s="11"/>
      <c r="C85" s="11">
        <v>11232.151</v>
      </c>
      <c r="D85" s="11">
        <v>-41.595</v>
      </c>
      <c r="E85" s="11">
        <v>273.615</v>
      </c>
      <c r="F85" s="11">
        <v>14.075</v>
      </c>
      <c r="G85" s="11">
        <v>-1734.978</v>
      </c>
      <c r="H85" s="11"/>
      <c r="I85" s="11" t="s">
        <v>800</v>
      </c>
      <c r="J85" s="11"/>
      <c r="K85" s="11">
        <v>212739.0</v>
      </c>
      <c r="L85" s="11">
        <v>266808.0</v>
      </c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 t="s">
        <v>801</v>
      </c>
      <c r="Z85" s="53">
        <v>2019.0</v>
      </c>
      <c r="AA85" s="53">
        <v>2020.0</v>
      </c>
      <c r="AB85" s="53">
        <v>2021.0</v>
      </c>
      <c r="AC85" s="53">
        <v>2022.0</v>
      </c>
      <c r="AD85" s="53">
        <v>2023.0</v>
      </c>
      <c r="AE85" s="53">
        <v>2024.0</v>
      </c>
      <c r="AF85" s="11"/>
      <c r="AG85" s="11" t="s">
        <v>802</v>
      </c>
      <c r="AH85" s="11"/>
      <c r="AI85" s="11"/>
      <c r="AJ85" s="11"/>
      <c r="AK85" s="11">
        <v>-7707.914</v>
      </c>
      <c r="AL85" s="11">
        <v>-7463.864</v>
      </c>
      <c r="AM85" s="11"/>
      <c r="AN85" s="11"/>
      <c r="AO85" s="11" t="s">
        <v>411</v>
      </c>
      <c r="AP85" s="11">
        <v>0.0</v>
      </c>
      <c r="AQ85" s="11">
        <v>0.0</v>
      </c>
      <c r="AR85" s="11">
        <v>0.0</v>
      </c>
      <c r="AS85" s="11"/>
      <c r="AT85" s="11"/>
      <c r="AU85" s="11"/>
      <c r="AV85" s="11"/>
      <c r="AW85" s="11"/>
      <c r="AX85" s="11"/>
      <c r="AY85" s="11" t="s">
        <v>397</v>
      </c>
      <c r="AZ85" s="11"/>
      <c r="BA85" s="11"/>
      <c r="BB85" s="11"/>
      <c r="BC85" s="11"/>
      <c r="BD85" s="11"/>
      <c r="BE85" s="40" t="s">
        <v>397</v>
      </c>
      <c r="BF85" s="11"/>
      <c r="BG85" s="11"/>
      <c r="BH85" s="11"/>
      <c r="BI85" s="11"/>
      <c r="BJ85" s="11" t="s">
        <v>397</v>
      </c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 t="s">
        <v>803</v>
      </c>
      <c r="BW85" s="11">
        <v>11880.54</v>
      </c>
      <c r="BX85" s="11">
        <v>10682.134</v>
      </c>
      <c r="BY85" s="11">
        <v>6799.279</v>
      </c>
      <c r="BZ85" s="11">
        <v>13977.18558</v>
      </c>
      <c r="CA85" s="11"/>
      <c r="CB85" s="11"/>
      <c r="CC85" s="11"/>
      <c r="CD85" s="11"/>
      <c r="CE85" s="11"/>
      <c r="CF85" s="11"/>
      <c r="CG85" s="11" t="s">
        <v>92</v>
      </c>
      <c r="CH85" s="11">
        <v>225.88182</v>
      </c>
      <c r="CI85" s="11">
        <v>350.88182</v>
      </c>
      <c r="CJ85" s="11">
        <v>3010.93291</v>
      </c>
      <c r="CK85" s="11"/>
      <c r="CL85" s="40" t="s">
        <v>266</v>
      </c>
      <c r="CM85" s="40"/>
      <c r="CN85" s="40"/>
      <c r="CO85" s="40"/>
      <c r="CP85" s="40"/>
      <c r="CQ85" s="40"/>
      <c r="CR85" s="40"/>
      <c r="CS85" s="40"/>
      <c r="CT85" s="40"/>
      <c r="CU85" s="40"/>
      <c r="CV85" s="11"/>
      <c r="CW85" s="11"/>
      <c r="CX85" s="11"/>
      <c r="CY85" s="11"/>
      <c r="C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 t="s">
        <v>576</v>
      </c>
      <c r="J86" s="11"/>
      <c r="K86" s="11">
        <v>-224911.0</v>
      </c>
      <c r="L86" s="11">
        <v>-204926.0</v>
      </c>
      <c r="M86" s="11"/>
      <c r="N86" s="11"/>
      <c r="O86" s="11"/>
      <c r="P86" s="11"/>
      <c r="Q86" s="11" t="s">
        <v>610</v>
      </c>
      <c r="R86" s="53">
        <v>2019.0</v>
      </c>
      <c r="S86" s="53">
        <v>2020.0</v>
      </c>
      <c r="T86" s="53">
        <v>2021.0</v>
      </c>
      <c r="U86" s="53">
        <v>2022.0</v>
      </c>
      <c r="V86" s="53">
        <v>2023.0</v>
      </c>
      <c r="W86" s="53">
        <v>2024.0</v>
      </c>
      <c r="X86" s="11"/>
      <c r="Y86" s="11" t="s">
        <v>804</v>
      </c>
      <c r="Z86" s="11"/>
      <c r="AA86" s="11"/>
      <c r="AB86" s="11">
        <v>1385.148</v>
      </c>
      <c r="AC86" s="11">
        <v>2086.333</v>
      </c>
      <c r="AD86" s="11">
        <v>1685.257</v>
      </c>
      <c r="AE86" s="11">
        <v>13982.314</v>
      </c>
      <c r="AF86" s="11"/>
      <c r="AG86" s="11" t="s">
        <v>805</v>
      </c>
      <c r="AH86" s="11"/>
      <c r="AI86" s="11"/>
      <c r="AJ86" s="11"/>
      <c r="AK86" s="11">
        <v>9838.951</v>
      </c>
      <c r="AL86" s="11">
        <v>4282.094</v>
      </c>
      <c r="AM86" s="11"/>
      <c r="AN86" s="11"/>
      <c r="AO86" s="11"/>
      <c r="AP86" s="11"/>
      <c r="AQ86" s="11"/>
      <c r="AR86" s="11"/>
      <c r="AS86" s="11"/>
      <c r="AT86" s="11" t="s">
        <v>397</v>
      </c>
      <c r="AU86" s="11"/>
      <c r="AV86" s="11"/>
      <c r="AW86" s="11"/>
      <c r="AX86" s="11"/>
      <c r="AY86" s="11" t="s">
        <v>238</v>
      </c>
      <c r="AZ86" s="53">
        <v>0.0</v>
      </c>
      <c r="BA86" s="53">
        <v>0.0</v>
      </c>
      <c r="BB86" s="53">
        <v>0.0</v>
      </c>
      <c r="BC86" s="53">
        <v>0.0</v>
      </c>
      <c r="BD86" s="11"/>
      <c r="BE86" s="40" t="s">
        <v>284</v>
      </c>
      <c r="BF86" s="53">
        <v>0.0</v>
      </c>
      <c r="BG86" s="53">
        <v>0.0</v>
      </c>
      <c r="BH86" s="53">
        <v>0.0</v>
      </c>
      <c r="BI86" s="11"/>
      <c r="BJ86" s="11" t="s">
        <v>284</v>
      </c>
      <c r="BK86" s="53">
        <v>0.0</v>
      </c>
      <c r="BL86" s="53">
        <v>0.0</v>
      </c>
      <c r="BM86" s="53">
        <v>0.0</v>
      </c>
      <c r="BN86" s="11"/>
      <c r="BO86" s="11" t="s">
        <v>730</v>
      </c>
      <c r="BP86" s="11"/>
      <c r="BQ86" s="11"/>
      <c r="BR86" s="11"/>
      <c r="BS86" s="11"/>
      <c r="BT86" s="11"/>
      <c r="BU86" s="11"/>
      <c r="BV86" s="11" t="s">
        <v>716</v>
      </c>
      <c r="BW86" s="11">
        <v>7568.319</v>
      </c>
      <c r="BX86" s="11">
        <v>7897.717</v>
      </c>
      <c r="BY86" s="11">
        <v>8148.669</v>
      </c>
      <c r="BZ86" s="11">
        <v>8228.42761</v>
      </c>
      <c r="CA86" s="11"/>
      <c r="CB86" s="11" t="s">
        <v>730</v>
      </c>
      <c r="CC86" s="11"/>
      <c r="CD86" s="11"/>
      <c r="CE86" s="11"/>
      <c r="CF86" s="11"/>
      <c r="CG86" s="11" t="s">
        <v>411</v>
      </c>
      <c r="CH86" s="11">
        <v>225.88182</v>
      </c>
      <c r="CI86" s="11">
        <v>350.88182</v>
      </c>
      <c r="CJ86" s="11">
        <v>3010.93291</v>
      </c>
      <c r="CK86" s="53"/>
      <c r="CL86" s="40" t="s">
        <v>795</v>
      </c>
      <c r="CM86" s="43">
        <v>-0.41652</v>
      </c>
      <c r="CN86" s="43">
        <v>4.44762</v>
      </c>
      <c r="CO86" s="40"/>
      <c r="CP86" s="40" t="s">
        <v>411</v>
      </c>
      <c r="CQ86" s="43">
        <v>0.0</v>
      </c>
      <c r="CR86" s="43">
        <v>0.0</v>
      </c>
      <c r="CS86" s="43">
        <v>0.0</v>
      </c>
      <c r="CT86" s="40"/>
      <c r="CU86" s="40"/>
      <c r="CV86" s="53"/>
      <c r="CW86" s="53"/>
      <c r="CX86" s="53"/>
      <c r="CY86" s="53"/>
      <c r="CZ86" s="53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 t="s">
        <v>270</v>
      </c>
      <c r="J87" s="11"/>
      <c r="K87" s="11"/>
      <c r="L87" s="11"/>
      <c r="M87" s="11">
        <v>7311.429</v>
      </c>
      <c r="N87" s="11">
        <v>16609.091</v>
      </c>
      <c r="O87" s="11">
        <v>307871.699</v>
      </c>
      <c r="P87" s="11"/>
      <c r="Q87" s="11" t="s">
        <v>610</v>
      </c>
      <c r="R87" s="11"/>
      <c r="S87" s="11"/>
      <c r="T87" s="11">
        <v>1885.574</v>
      </c>
      <c r="U87" s="11">
        <v>1350.257</v>
      </c>
      <c r="V87" s="11">
        <v>1506.6</v>
      </c>
      <c r="W87" s="11">
        <v>2543.829000000001</v>
      </c>
      <c r="X87" s="11"/>
      <c r="Y87" s="11" t="s">
        <v>806</v>
      </c>
      <c r="Z87" s="11">
        <v>0.0</v>
      </c>
      <c r="AA87" s="11">
        <v>0.0</v>
      </c>
      <c r="AB87" s="11">
        <v>1385.148</v>
      </c>
      <c r="AC87" s="11">
        <v>2086.333</v>
      </c>
      <c r="AD87" s="11">
        <v>1685.257</v>
      </c>
      <c r="AE87" s="11">
        <v>13982.314</v>
      </c>
      <c r="AF87" s="11"/>
      <c r="AG87" s="11" t="s">
        <v>807</v>
      </c>
      <c r="AH87" s="11">
        <v>0.0</v>
      </c>
      <c r="AI87" s="11">
        <v>0.0</v>
      </c>
      <c r="AJ87" s="11">
        <v>0.0</v>
      </c>
      <c r="AK87" s="11">
        <v>18958.24</v>
      </c>
      <c r="AL87" s="11">
        <v>10882.094</v>
      </c>
      <c r="AM87" s="11">
        <v>10884.524</v>
      </c>
      <c r="AN87" s="11"/>
      <c r="AO87" s="11" t="s">
        <v>397</v>
      </c>
      <c r="AP87" s="11"/>
      <c r="AQ87" s="11"/>
      <c r="AR87" s="11"/>
      <c r="AS87" s="11"/>
      <c r="AT87" s="11" t="s">
        <v>281</v>
      </c>
      <c r="AU87" s="53">
        <v>0.0</v>
      </c>
      <c r="AV87" s="53">
        <v>0.0</v>
      </c>
      <c r="AW87" s="53">
        <v>0.0</v>
      </c>
      <c r="AX87" s="11"/>
      <c r="AY87" s="11" t="s">
        <v>411</v>
      </c>
      <c r="AZ87" s="11">
        <v>0.0</v>
      </c>
      <c r="BA87" s="11">
        <v>0.0</v>
      </c>
      <c r="BB87" s="11">
        <v>0.0</v>
      </c>
      <c r="BC87" s="11">
        <v>0.0</v>
      </c>
      <c r="BD87" s="11"/>
      <c r="BE87" s="40" t="s">
        <v>808</v>
      </c>
      <c r="BF87" s="11">
        <v>310.388</v>
      </c>
      <c r="BG87" s="11">
        <v>324.879</v>
      </c>
      <c r="BH87" s="11">
        <v>269.495</v>
      </c>
      <c r="BI87" s="11"/>
      <c r="BJ87" s="11" t="s">
        <v>808</v>
      </c>
      <c r="BK87" s="11">
        <v>16496.579</v>
      </c>
      <c r="BL87" s="11">
        <v>30961.074</v>
      </c>
      <c r="BM87" s="11">
        <v>15471.431</v>
      </c>
      <c r="BN87" s="11"/>
      <c r="BO87" s="11" t="s">
        <v>397</v>
      </c>
      <c r="BP87" s="11"/>
      <c r="BQ87" s="11"/>
      <c r="BR87" s="11"/>
      <c r="BS87" s="11"/>
      <c r="BT87" s="11"/>
      <c r="BU87" s="11"/>
      <c r="BV87" s="11" t="s">
        <v>809</v>
      </c>
      <c r="BW87" s="11">
        <v>1408.566</v>
      </c>
      <c r="BX87" s="11">
        <v>5764.103</v>
      </c>
      <c r="BY87" s="11">
        <v>5768.555</v>
      </c>
      <c r="BZ87" s="11">
        <v>1263.61464</v>
      </c>
      <c r="CA87" s="11"/>
      <c r="CB87" s="11" t="s">
        <v>397</v>
      </c>
      <c r="CC87" s="11"/>
      <c r="CD87" s="11"/>
      <c r="CE87" s="11"/>
      <c r="CF87" s="11"/>
      <c r="CG87" s="11"/>
      <c r="CH87" s="11"/>
      <c r="CI87" s="11"/>
      <c r="CJ87" s="11"/>
      <c r="CK87" s="11"/>
      <c r="CL87" s="40" t="s">
        <v>411</v>
      </c>
      <c r="CM87" s="43">
        <v>3.33248</v>
      </c>
      <c r="CN87" s="43">
        <v>36.54157</v>
      </c>
      <c r="CO87" s="40"/>
      <c r="CP87" s="40"/>
      <c r="CQ87" s="40"/>
      <c r="CR87" s="40"/>
      <c r="CS87" s="40"/>
      <c r="CT87" s="40"/>
      <c r="CU87" s="40"/>
      <c r="CV87" s="11"/>
      <c r="CW87" s="11"/>
      <c r="CX87" s="11"/>
      <c r="CY87" s="11"/>
      <c r="C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 t="s">
        <v>555</v>
      </c>
      <c r="J88" s="11">
        <v>0.0</v>
      </c>
      <c r="K88" s="11">
        <v>316380.0</v>
      </c>
      <c r="L88" s="11">
        <v>332106.0</v>
      </c>
      <c r="M88" s="11">
        <v>7311.429</v>
      </c>
      <c r="N88" s="11">
        <v>16609.091</v>
      </c>
      <c r="O88" s="11">
        <v>307871.699</v>
      </c>
      <c r="P88" s="11"/>
      <c r="Q88" s="11" t="s">
        <v>624</v>
      </c>
      <c r="R88" s="11">
        <v>0.0</v>
      </c>
      <c r="S88" s="11">
        <v>0.0</v>
      </c>
      <c r="T88" s="11">
        <v>1885.574</v>
      </c>
      <c r="U88" s="11">
        <v>1350.257</v>
      </c>
      <c r="V88" s="11">
        <v>1506.6</v>
      </c>
      <c r="W88" s="11">
        <v>2543.829000000001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 t="s">
        <v>810</v>
      </c>
      <c r="AH88" s="11">
        <v>0.0</v>
      </c>
      <c r="AI88" s="11">
        <v>0.0</v>
      </c>
      <c r="AJ88" s="11">
        <v>0.0</v>
      </c>
      <c r="AK88" s="11">
        <v>26666.154</v>
      </c>
      <c r="AL88" s="11">
        <v>18345.958</v>
      </c>
      <c r="AM88" s="11">
        <v>10884.524</v>
      </c>
      <c r="AN88" s="11"/>
      <c r="AO88" s="11" t="s">
        <v>281</v>
      </c>
      <c r="AP88" s="53">
        <v>0.0</v>
      </c>
      <c r="AQ88" s="53">
        <v>0.0</v>
      </c>
      <c r="AR88" s="53">
        <v>0.0</v>
      </c>
      <c r="AS88" s="11"/>
      <c r="AT88" s="11" t="s">
        <v>811</v>
      </c>
      <c r="AU88" s="11">
        <v>7.5</v>
      </c>
      <c r="AV88" s="11">
        <v>1.2</v>
      </c>
      <c r="AW88" s="11"/>
      <c r="AX88" s="11"/>
      <c r="AY88" s="11"/>
      <c r="AZ88" s="11"/>
      <c r="BA88" s="11"/>
      <c r="BB88" s="11"/>
      <c r="BC88" s="11"/>
      <c r="BD88" s="11"/>
      <c r="BE88" s="40" t="s">
        <v>315</v>
      </c>
      <c r="BF88" s="11">
        <v>7101.953</v>
      </c>
      <c r="BG88" s="11">
        <v>4286.057</v>
      </c>
      <c r="BH88" s="11">
        <v>9.9999998928979E-4</v>
      </c>
      <c r="BI88" s="11"/>
      <c r="BJ88" s="11" t="s">
        <v>315</v>
      </c>
      <c r="BK88" s="11"/>
      <c r="BL88" s="11"/>
      <c r="BM88" s="11">
        <v>188.944</v>
      </c>
      <c r="BN88" s="11"/>
      <c r="BO88" s="11" t="s">
        <v>67</v>
      </c>
      <c r="BP88" s="53">
        <v>0.0</v>
      </c>
      <c r="BQ88" s="53">
        <v>0.0</v>
      </c>
      <c r="BR88" s="53">
        <v>0.0</v>
      </c>
      <c r="BS88" s="53">
        <v>0.0</v>
      </c>
      <c r="BT88" s="53">
        <v>0.0</v>
      </c>
      <c r="BU88" s="11"/>
      <c r="BV88" s="11" t="s">
        <v>812</v>
      </c>
      <c r="BW88" s="11">
        <v>14.799</v>
      </c>
      <c r="BX88" s="11">
        <v>14.779</v>
      </c>
      <c r="BY88" s="11">
        <v>14.799</v>
      </c>
      <c r="BZ88" s="11">
        <v>14798.98</v>
      </c>
      <c r="CA88" s="11"/>
      <c r="CB88" s="11" t="s">
        <v>67</v>
      </c>
      <c r="CC88" s="53">
        <v>0.0</v>
      </c>
      <c r="CD88" s="53">
        <v>0.0</v>
      </c>
      <c r="CE88" s="53">
        <v>0.0</v>
      </c>
      <c r="CF88" s="11"/>
      <c r="CG88" s="11" t="s">
        <v>397</v>
      </c>
      <c r="CH88" s="11"/>
      <c r="CI88" s="11"/>
      <c r="CJ88" s="11"/>
      <c r="CK88" s="11"/>
      <c r="CL88" s="40"/>
      <c r="CM88" s="40"/>
      <c r="CN88" s="40"/>
      <c r="CO88" s="40"/>
      <c r="CP88" s="40" t="s">
        <v>730</v>
      </c>
      <c r="CQ88" s="40"/>
      <c r="CR88" s="40"/>
      <c r="CS88" s="40"/>
      <c r="CT88" s="40"/>
      <c r="CU88" s="40"/>
      <c r="CV88" s="11"/>
      <c r="CW88" s="11"/>
      <c r="CX88" s="11"/>
      <c r="CY88" s="11"/>
      <c r="C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 t="s">
        <v>610</v>
      </c>
      <c r="Z89" s="53">
        <v>2019.0</v>
      </c>
      <c r="AA89" s="53">
        <v>2020.0</v>
      </c>
      <c r="AB89" s="53">
        <v>2021.0</v>
      </c>
      <c r="AC89" s="53">
        <v>2022.0</v>
      </c>
      <c r="AD89" s="53">
        <v>2023.0</v>
      </c>
      <c r="AE89" s="53">
        <v>2024.0</v>
      </c>
      <c r="AF89" s="11"/>
      <c r="AG89" s="11"/>
      <c r="AH89" s="11"/>
      <c r="AI89" s="11"/>
      <c r="AJ89" s="11"/>
      <c r="AK89" s="11"/>
      <c r="AL89" s="11"/>
      <c r="AM89" s="11"/>
      <c r="AN89" s="11"/>
      <c r="AO89" s="11" t="s">
        <v>411</v>
      </c>
      <c r="AP89" s="11">
        <v>0.0</v>
      </c>
      <c r="AQ89" s="11">
        <v>0.0</v>
      </c>
      <c r="AR89" s="11">
        <v>0.0</v>
      </c>
      <c r="AS89" s="11"/>
      <c r="AT89" s="11" t="s">
        <v>813</v>
      </c>
      <c r="AU89" s="11"/>
      <c r="AV89" s="11">
        <v>12.93554</v>
      </c>
      <c r="AW89" s="11"/>
      <c r="AX89" s="11"/>
      <c r="AY89" s="11" t="s">
        <v>397</v>
      </c>
      <c r="AZ89" s="11"/>
      <c r="BA89" s="11"/>
      <c r="BB89" s="11"/>
      <c r="BC89" s="11"/>
      <c r="BD89" s="11"/>
      <c r="BE89" s="40" t="s">
        <v>411</v>
      </c>
      <c r="BF89" s="11">
        <v>7412.341</v>
      </c>
      <c r="BG89" s="11">
        <v>4610.936</v>
      </c>
      <c r="BH89" s="11">
        <v>269.4959999999893</v>
      </c>
      <c r="BI89" s="11"/>
      <c r="BJ89" s="11" t="s">
        <v>411</v>
      </c>
      <c r="BK89" s="11">
        <v>16496.579</v>
      </c>
      <c r="BL89" s="11">
        <v>30961.074</v>
      </c>
      <c r="BM89" s="11">
        <v>15660.375</v>
      </c>
      <c r="BN89" s="11"/>
      <c r="BO89" s="11" t="s">
        <v>814</v>
      </c>
      <c r="BP89" s="11">
        <v>2450.44796</v>
      </c>
      <c r="BQ89" s="11"/>
      <c r="BR89" s="11"/>
      <c r="BS89" s="11"/>
      <c r="BT89" s="11"/>
      <c r="BU89" s="11"/>
      <c r="BV89" s="11" t="s">
        <v>710</v>
      </c>
      <c r="BW89" s="11">
        <v>614.192</v>
      </c>
      <c r="BX89" s="11">
        <v>417.892</v>
      </c>
      <c r="BY89" s="11">
        <v>30772.018</v>
      </c>
      <c r="BZ89" s="11">
        <v>3232.55471</v>
      </c>
      <c r="CA89" s="11"/>
      <c r="CB89" s="11" t="s">
        <v>411</v>
      </c>
      <c r="CC89" s="11">
        <v>0.0</v>
      </c>
      <c r="CD89" s="11">
        <v>0.0</v>
      </c>
      <c r="CE89" s="11">
        <v>0.0</v>
      </c>
      <c r="CF89" s="11"/>
      <c r="CG89" s="11" t="s">
        <v>238</v>
      </c>
      <c r="CH89" s="53">
        <v>0.0</v>
      </c>
      <c r="CI89" s="53">
        <v>0.0</v>
      </c>
      <c r="CJ89" s="53">
        <v>0.0</v>
      </c>
      <c r="CK89" s="11"/>
      <c r="CL89" s="40" t="s">
        <v>411</v>
      </c>
      <c r="CM89" s="43">
        <v>0.0</v>
      </c>
      <c r="CN89" s="43">
        <v>0.0</v>
      </c>
      <c r="CO89" s="40"/>
      <c r="CP89" s="40" t="s">
        <v>397</v>
      </c>
      <c r="CQ89" s="40"/>
      <c r="CR89" s="40"/>
      <c r="CS89" s="40"/>
      <c r="CT89" s="40"/>
      <c r="CU89" s="40"/>
      <c r="CV89" s="11"/>
      <c r="CW89" s="11"/>
      <c r="CX89" s="11"/>
      <c r="CY89" s="11"/>
      <c r="C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 t="s">
        <v>303</v>
      </c>
      <c r="J90" s="53">
        <v>2019.0</v>
      </c>
      <c r="K90" s="53">
        <v>2020.0</v>
      </c>
      <c r="L90" s="53">
        <v>2021.0</v>
      </c>
      <c r="M90" s="53">
        <v>2022.0</v>
      </c>
      <c r="N90" s="53">
        <v>2023.0</v>
      </c>
      <c r="O90" s="53">
        <v>2024.0</v>
      </c>
      <c r="P90" s="11"/>
      <c r="Q90" s="11" t="s">
        <v>281</v>
      </c>
      <c r="R90" s="53">
        <v>2019.0</v>
      </c>
      <c r="S90" s="53">
        <v>2020.0</v>
      </c>
      <c r="T90" s="53">
        <v>2021.0</v>
      </c>
      <c r="U90" s="53">
        <v>2022.0</v>
      </c>
      <c r="V90" s="53">
        <v>2023.0</v>
      </c>
      <c r="W90" s="53">
        <v>2024.0</v>
      </c>
      <c r="X90" s="11"/>
      <c r="Y90" s="11" t="s">
        <v>610</v>
      </c>
      <c r="Z90" s="11"/>
      <c r="AA90" s="11"/>
      <c r="AB90" s="11">
        <v>38811.518</v>
      </c>
      <c r="AC90" s="11">
        <v>3411.621</v>
      </c>
      <c r="AD90" s="11">
        <v>22482.224</v>
      </c>
      <c r="AE90" s="11">
        <v>1198.654</v>
      </c>
      <c r="AF90" s="11"/>
      <c r="AG90" s="11" t="s">
        <v>304</v>
      </c>
      <c r="AH90" s="53">
        <v>2019.0</v>
      </c>
      <c r="AI90" s="53">
        <v>2020.0</v>
      </c>
      <c r="AJ90" s="53">
        <v>2021.0</v>
      </c>
      <c r="AK90" s="53">
        <v>2022.0</v>
      </c>
      <c r="AL90" s="53">
        <v>2023.0</v>
      </c>
      <c r="AM90" s="53">
        <v>2024.0</v>
      </c>
      <c r="AN90" s="11"/>
      <c r="AO90" s="11"/>
      <c r="AP90" s="11"/>
      <c r="AQ90" s="11"/>
      <c r="AR90" s="11"/>
      <c r="AS90" s="11"/>
      <c r="AT90" s="11" t="s">
        <v>411</v>
      </c>
      <c r="AU90" s="11">
        <v>7.5</v>
      </c>
      <c r="AV90" s="11">
        <v>12035.121</v>
      </c>
      <c r="AW90" s="11">
        <v>0.0</v>
      </c>
      <c r="AX90" s="11"/>
      <c r="AY90" s="11" t="s">
        <v>245</v>
      </c>
      <c r="AZ90" s="53">
        <v>0.0</v>
      </c>
      <c r="BA90" s="53">
        <v>0.0</v>
      </c>
      <c r="BB90" s="53">
        <v>0.0</v>
      </c>
      <c r="BC90" s="53">
        <v>0.0</v>
      </c>
      <c r="BD90" s="11"/>
      <c r="BE90" s="40"/>
      <c r="BF90" s="11"/>
      <c r="BG90" s="11"/>
      <c r="BH90" s="11"/>
      <c r="BI90" s="11"/>
      <c r="BJ90" s="11"/>
      <c r="BK90" s="11"/>
      <c r="BL90" s="11"/>
      <c r="BM90" s="11"/>
      <c r="BN90" s="11"/>
      <c r="BO90" s="11" t="s">
        <v>815</v>
      </c>
      <c r="BP90" s="11">
        <v>1650.33107</v>
      </c>
      <c r="BQ90" s="11"/>
      <c r="BR90" s="11"/>
      <c r="BS90" s="11"/>
      <c r="BT90" s="11"/>
      <c r="BU90" s="11"/>
      <c r="BV90" s="11" t="s">
        <v>816</v>
      </c>
      <c r="BW90" s="11">
        <v>4900.0</v>
      </c>
      <c r="BX90" s="11">
        <v>4900.0</v>
      </c>
      <c r="BY90" s="11">
        <v>4900.0</v>
      </c>
      <c r="BZ90" s="11">
        <v>4900.0</v>
      </c>
      <c r="CA90" s="11"/>
      <c r="CB90" s="11"/>
      <c r="CC90" s="11"/>
      <c r="CD90" s="11"/>
      <c r="CE90" s="11"/>
      <c r="CF90" s="11"/>
      <c r="CG90" s="11" t="s">
        <v>411</v>
      </c>
      <c r="CH90" s="11">
        <v>0.0</v>
      </c>
      <c r="CI90" s="11">
        <v>0.0</v>
      </c>
      <c r="CJ90" s="11">
        <v>0.0</v>
      </c>
      <c r="CK90" s="11"/>
      <c r="CL90" s="40"/>
      <c r="CM90" s="40"/>
      <c r="CN90" s="40"/>
      <c r="CO90" s="40"/>
      <c r="CP90" s="40" t="s">
        <v>67</v>
      </c>
      <c r="CQ90" s="46" t="s">
        <v>17</v>
      </c>
      <c r="CR90" s="46" t="s">
        <v>18</v>
      </c>
      <c r="CS90" s="46" t="s">
        <v>19</v>
      </c>
      <c r="CT90" s="46" t="s">
        <v>20</v>
      </c>
      <c r="CU90" s="46" t="s">
        <v>21</v>
      </c>
      <c r="CV90" s="11"/>
      <c r="CW90" s="11"/>
      <c r="CX90" s="11"/>
      <c r="CY90" s="11"/>
      <c r="C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 t="s">
        <v>817</v>
      </c>
      <c r="J91" s="11"/>
      <c r="K91" s="11"/>
      <c r="L91" s="11"/>
      <c r="M91" s="11">
        <v>39483.25199999994</v>
      </c>
      <c r="N91" s="11">
        <v>50117.098</v>
      </c>
      <c r="O91" s="11"/>
      <c r="P91" s="11"/>
      <c r="Q91" s="11" t="s">
        <v>818</v>
      </c>
      <c r="R91" s="11">
        <v>5131.0</v>
      </c>
      <c r="S91" s="11">
        <v>4321.0</v>
      </c>
      <c r="T91" s="11">
        <v>2312.236</v>
      </c>
      <c r="U91" s="11"/>
      <c r="V91" s="11"/>
      <c r="W91" s="11"/>
      <c r="X91" s="11"/>
      <c r="Y91" s="11" t="s">
        <v>624</v>
      </c>
      <c r="Z91" s="11">
        <v>0.0</v>
      </c>
      <c r="AA91" s="11">
        <v>0.0</v>
      </c>
      <c r="AB91" s="11">
        <v>38811.518</v>
      </c>
      <c r="AC91" s="11">
        <v>3411.621</v>
      </c>
      <c r="AD91" s="11">
        <v>22482.224</v>
      </c>
      <c r="AE91" s="11">
        <v>1198.654</v>
      </c>
      <c r="AF91" s="11"/>
      <c r="AG91" s="11" t="s">
        <v>304</v>
      </c>
      <c r="AH91" s="11"/>
      <c r="AI91" s="11"/>
      <c r="AJ91" s="11"/>
      <c r="AK91" s="11">
        <v>10249.01</v>
      </c>
      <c r="AL91" s="11">
        <v>6795.92</v>
      </c>
      <c r="AM91" s="11">
        <v>13575.185</v>
      </c>
      <c r="AN91" s="11"/>
      <c r="AO91" s="11" t="s">
        <v>271</v>
      </c>
      <c r="AP91" s="11"/>
      <c r="AQ91" s="11"/>
      <c r="AR91" s="11"/>
      <c r="AS91" s="11"/>
      <c r="AT91" s="11"/>
      <c r="AU91" s="11"/>
      <c r="AV91" s="11"/>
      <c r="AW91" s="11"/>
      <c r="AX91" s="11"/>
      <c r="AY91" s="11" t="s">
        <v>411</v>
      </c>
      <c r="AZ91" s="11">
        <v>0.0</v>
      </c>
      <c r="BA91" s="11">
        <v>0.0</v>
      </c>
      <c r="BB91" s="11">
        <v>0.0</v>
      </c>
      <c r="BC91" s="11">
        <v>0.0</v>
      </c>
      <c r="BD91" s="11"/>
      <c r="BE91" s="40" t="s">
        <v>397</v>
      </c>
      <c r="BF91" s="11"/>
      <c r="BG91" s="11"/>
      <c r="BH91" s="11"/>
      <c r="BI91" s="11"/>
      <c r="BJ91" s="11" t="s">
        <v>397</v>
      </c>
      <c r="BK91" s="11"/>
      <c r="BL91" s="11"/>
      <c r="BM91" s="11"/>
      <c r="BN91" s="11"/>
      <c r="BO91" s="11" t="s">
        <v>411</v>
      </c>
      <c r="BP91" s="11">
        <v>4100.77903</v>
      </c>
      <c r="BQ91" s="11">
        <v>0.0</v>
      </c>
      <c r="BR91" s="11">
        <v>0.0</v>
      </c>
      <c r="BS91" s="11">
        <v>0.0</v>
      </c>
      <c r="BT91" s="11">
        <v>0.0</v>
      </c>
      <c r="BU91" s="11"/>
      <c r="BV91" s="11" t="s">
        <v>819</v>
      </c>
      <c r="BW91" s="11"/>
      <c r="BX91" s="11"/>
      <c r="BY91" s="11"/>
      <c r="BZ91" s="11"/>
      <c r="CA91" s="11"/>
      <c r="CB91" s="11" t="s">
        <v>267</v>
      </c>
      <c r="CC91" s="11"/>
      <c r="CD91" s="11"/>
      <c r="CE91" s="11"/>
      <c r="CF91" s="11"/>
      <c r="CG91" s="11"/>
      <c r="CH91" s="11"/>
      <c r="CI91" s="11"/>
      <c r="CJ91" s="11"/>
      <c r="CK91" s="53"/>
      <c r="CL91" s="40" t="s">
        <v>730</v>
      </c>
      <c r="CM91" s="40"/>
      <c r="CN91" s="40"/>
      <c r="CO91" s="40"/>
      <c r="CP91" s="40" t="s">
        <v>411</v>
      </c>
      <c r="CQ91" s="43">
        <v>0.0</v>
      </c>
      <c r="CR91" s="43">
        <v>0.0</v>
      </c>
      <c r="CS91" s="43">
        <v>0.0</v>
      </c>
      <c r="CT91" s="43">
        <v>0.0</v>
      </c>
      <c r="CU91" s="43">
        <v>0.0</v>
      </c>
      <c r="CV91" s="53"/>
      <c r="CW91" s="53"/>
      <c r="CX91" s="53"/>
      <c r="CY91" s="53"/>
      <c r="CZ91" s="53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 t="s">
        <v>758</v>
      </c>
      <c r="J92" s="11">
        <v>0.0</v>
      </c>
      <c r="K92" s="11">
        <v>0.0</v>
      </c>
      <c r="L92" s="11">
        <v>0.0</v>
      </c>
      <c r="M92" s="11">
        <v>39483.25199999994</v>
      </c>
      <c r="N92" s="11">
        <v>50117.098</v>
      </c>
      <c r="O92" s="11">
        <v>0.0</v>
      </c>
      <c r="P92" s="11"/>
      <c r="Q92" s="11" t="s">
        <v>281</v>
      </c>
      <c r="R92" s="11">
        <v>2007.0</v>
      </c>
      <c r="S92" s="11">
        <v>10551.0</v>
      </c>
      <c r="T92" s="11"/>
      <c r="U92" s="11"/>
      <c r="V92" s="11"/>
      <c r="W92" s="11">
        <v>11622.018</v>
      </c>
      <c r="X92" s="11"/>
      <c r="Y92" s="11"/>
      <c r="Z92" s="11"/>
      <c r="AA92" s="11"/>
      <c r="AB92" s="11"/>
      <c r="AC92" s="11"/>
      <c r="AD92" s="11"/>
      <c r="AE92" s="11"/>
      <c r="AF92" s="11"/>
      <c r="AG92" s="11" t="s">
        <v>820</v>
      </c>
      <c r="AH92" s="11"/>
      <c r="AI92" s="11"/>
      <c r="AJ92" s="11"/>
      <c r="AK92" s="11">
        <v>-9838.951</v>
      </c>
      <c r="AL92" s="11"/>
      <c r="AM92" s="11"/>
      <c r="AN92" s="11"/>
      <c r="AO92" s="11" t="s">
        <v>397</v>
      </c>
      <c r="AP92" s="11"/>
      <c r="AQ92" s="11"/>
      <c r="AR92" s="11"/>
      <c r="AS92" s="11"/>
      <c r="AT92" s="11" t="s">
        <v>271</v>
      </c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40" t="s">
        <v>775</v>
      </c>
      <c r="BF92" s="53">
        <v>0.0</v>
      </c>
      <c r="BG92" s="53">
        <v>0.0</v>
      </c>
      <c r="BH92" s="53">
        <v>0.0</v>
      </c>
      <c r="BI92" s="11"/>
      <c r="BJ92" s="11" t="s">
        <v>775</v>
      </c>
      <c r="BK92" s="53">
        <v>0.0</v>
      </c>
      <c r="BL92" s="53">
        <v>0.0</v>
      </c>
      <c r="BM92" s="53">
        <v>0.0</v>
      </c>
      <c r="BN92" s="11"/>
      <c r="BO92" s="11"/>
      <c r="BP92" s="11"/>
      <c r="BQ92" s="11"/>
      <c r="BR92" s="11"/>
      <c r="BS92" s="11"/>
      <c r="BT92" s="11"/>
      <c r="BU92" s="11"/>
      <c r="BV92" s="11" t="s">
        <v>821</v>
      </c>
      <c r="BW92" s="11"/>
      <c r="BX92" s="11"/>
      <c r="BY92" s="11">
        <v>1850.928</v>
      </c>
      <c r="BZ92" s="11">
        <v>5770.15412</v>
      </c>
      <c r="CA92" s="11"/>
      <c r="CB92" s="11" t="s">
        <v>397</v>
      </c>
      <c r="CC92" s="11"/>
      <c r="CD92" s="11"/>
      <c r="CE92" s="11"/>
      <c r="CF92" s="11"/>
      <c r="CG92" s="11" t="s">
        <v>397</v>
      </c>
      <c r="CH92" s="11"/>
      <c r="CI92" s="11"/>
      <c r="CJ92" s="11"/>
      <c r="CK92" s="11"/>
      <c r="CL92" s="40" t="s">
        <v>397</v>
      </c>
      <c r="CM92" s="40"/>
      <c r="CN92" s="40"/>
      <c r="CO92" s="40"/>
      <c r="CP92" s="40"/>
      <c r="CQ92" s="40"/>
      <c r="CR92" s="40"/>
      <c r="CS92" s="40"/>
      <c r="CT92" s="40"/>
      <c r="CU92" s="40"/>
      <c r="CV92" s="11"/>
      <c r="CW92" s="11"/>
      <c r="CX92" s="11"/>
      <c r="CY92" s="11"/>
      <c r="C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 t="s">
        <v>822</v>
      </c>
      <c r="R93" s="11">
        <v>174.0</v>
      </c>
      <c r="S93" s="11">
        <v>926.0</v>
      </c>
      <c r="T93" s="11">
        <v>1099.422</v>
      </c>
      <c r="U93" s="11">
        <v>1814.749</v>
      </c>
      <c r="V93" s="11">
        <v>1635.3</v>
      </c>
      <c r="W93" s="11">
        <v>1730.198</v>
      </c>
      <c r="X93" s="11"/>
      <c r="Y93" s="11" t="s">
        <v>281</v>
      </c>
      <c r="Z93" s="53">
        <v>2019.0</v>
      </c>
      <c r="AA93" s="53">
        <v>2020.0</v>
      </c>
      <c r="AB93" s="53">
        <v>2021.0</v>
      </c>
      <c r="AC93" s="53">
        <v>2022.0</v>
      </c>
      <c r="AD93" s="53">
        <v>2023.0</v>
      </c>
      <c r="AE93" s="53">
        <v>2024.0</v>
      </c>
      <c r="AF93" s="11"/>
      <c r="AG93" s="11" t="s">
        <v>823</v>
      </c>
      <c r="AH93" s="11">
        <v>0.0</v>
      </c>
      <c r="AI93" s="11">
        <v>0.0</v>
      </c>
      <c r="AJ93" s="11">
        <v>0.0</v>
      </c>
      <c r="AK93" s="11">
        <v>410.0590000000011</v>
      </c>
      <c r="AL93" s="11">
        <v>6795.92</v>
      </c>
      <c r="AM93" s="11">
        <v>13575.185</v>
      </c>
      <c r="AN93" s="11"/>
      <c r="AO93" s="11" t="s">
        <v>824</v>
      </c>
      <c r="AP93" s="53">
        <v>0.0</v>
      </c>
      <c r="AQ93" s="53">
        <v>0.0</v>
      </c>
      <c r="AR93" s="53">
        <v>0.0</v>
      </c>
      <c r="AS93" s="11"/>
      <c r="AT93" s="11" t="s">
        <v>397</v>
      </c>
      <c r="AU93" s="11"/>
      <c r="AV93" s="11"/>
      <c r="AW93" s="11"/>
      <c r="AX93" s="11"/>
      <c r="AY93" s="11" t="s">
        <v>693</v>
      </c>
      <c r="AZ93" s="11"/>
      <c r="BA93" s="11"/>
      <c r="BB93" s="11"/>
      <c r="BC93" s="11"/>
      <c r="BD93" s="11"/>
      <c r="BE93" s="40" t="s">
        <v>508</v>
      </c>
      <c r="BF93" s="11"/>
      <c r="BG93" s="11"/>
      <c r="BH93" s="11"/>
      <c r="BI93" s="11"/>
      <c r="BJ93" s="11" t="s">
        <v>508</v>
      </c>
      <c r="BK93" s="11"/>
      <c r="BL93" s="11"/>
      <c r="BM93" s="11"/>
      <c r="BN93" s="11"/>
      <c r="BO93" s="11" t="s">
        <v>267</v>
      </c>
      <c r="BP93" s="11"/>
      <c r="BQ93" s="11"/>
      <c r="BR93" s="11"/>
      <c r="BS93" s="11"/>
      <c r="BT93" s="11"/>
      <c r="BU93" s="11"/>
      <c r="BV93" s="11" t="s">
        <v>411</v>
      </c>
      <c r="BW93" s="11">
        <v>37490.535</v>
      </c>
      <c r="BX93" s="11">
        <v>55736.681</v>
      </c>
      <c r="BY93" s="11">
        <v>83561.713</v>
      </c>
      <c r="BZ93" s="11">
        <v>76602.88968000002</v>
      </c>
      <c r="CA93" s="11"/>
      <c r="CB93" s="11" t="s">
        <v>284</v>
      </c>
      <c r="CC93" s="53">
        <v>0.0</v>
      </c>
      <c r="CD93" s="53">
        <v>0.0</v>
      </c>
      <c r="CE93" s="53">
        <v>0.0</v>
      </c>
      <c r="CF93" s="11"/>
      <c r="CG93" s="11" t="s">
        <v>245</v>
      </c>
      <c r="CH93" s="53">
        <v>0.0</v>
      </c>
      <c r="CI93" s="53">
        <v>0.0</v>
      </c>
      <c r="CJ93" s="53">
        <v>0.0</v>
      </c>
      <c r="CK93" s="11"/>
      <c r="CL93" s="40" t="s">
        <v>67</v>
      </c>
      <c r="CM93" s="46" t="s">
        <v>18</v>
      </c>
      <c r="CN93" s="46" t="s">
        <v>19</v>
      </c>
      <c r="CO93" s="40"/>
      <c r="CP93" s="40" t="s">
        <v>267</v>
      </c>
      <c r="CQ93" s="40"/>
      <c r="CR93" s="40"/>
      <c r="CS93" s="40"/>
      <c r="CT93" s="40"/>
      <c r="CU93" s="40"/>
      <c r="CV93" s="11"/>
      <c r="CW93" s="11"/>
      <c r="CX93" s="11"/>
      <c r="CY93" s="11"/>
      <c r="C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 t="s">
        <v>563</v>
      </c>
      <c r="J94" s="53">
        <v>2019.0</v>
      </c>
      <c r="K94" s="53">
        <v>2020.0</v>
      </c>
      <c r="L94" s="53">
        <v>2021.0</v>
      </c>
      <c r="M94" s="53">
        <v>2022.0</v>
      </c>
      <c r="N94" s="53">
        <v>2023.0</v>
      </c>
      <c r="O94" s="53">
        <v>2024.0</v>
      </c>
      <c r="P94" s="11"/>
      <c r="Q94" s="11" t="s">
        <v>825</v>
      </c>
      <c r="R94" s="11"/>
      <c r="S94" s="11"/>
      <c r="T94" s="11">
        <v>1432.358</v>
      </c>
      <c r="U94" s="11">
        <v>2197.94</v>
      </c>
      <c r="V94" s="11">
        <v>1598.089</v>
      </c>
      <c r="W94" s="11">
        <v>2010.123</v>
      </c>
      <c r="X94" s="11"/>
      <c r="Y94" s="11" t="s">
        <v>745</v>
      </c>
      <c r="Z94" s="11"/>
      <c r="AA94" s="11"/>
      <c r="AB94" s="11">
        <v>215.82</v>
      </c>
      <c r="AC94" s="11">
        <v>217.796</v>
      </c>
      <c r="AD94" s="11">
        <v>268.154</v>
      </c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 t="s">
        <v>344</v>
      </c>
      <c r="AP94" s="11">
        <v>5.89476</v>
      </c>
      <c r="AQ94" s="11">
        <v>0.0</v>
      </c>
      <c r="AR94" s="11">
        <v>0.0</v>
      </c>
      <c r="AS94" s="11"/>
      <c r="AT94" s="11" t="s">
        <v>824</v>
      </c>
      <c r="AU94" s="53">
        <v>0.0</v>
      </c>
      <c r="AV94" s="53">
        <v>0.0</v>
      </c>
      <c r="AW94" s="53">
        <v>0.0</v>
      </c>
      <c r="AX94" s="11"/>
      <c r="AY94" s="11" t="s">
        <v>397</v>
      </c>
      <c r="AZ94" s="11"/>
      <c r="BA94" s="11"/>
      <c r="BB94" s="11"/>
      <c r="BC94" s="11"/>
      <c r="BD94" s="11"/>
      <c r="BE94" s="40" t="s">
        <v>514</v>
      </c>
      <c r="BF94" s="11"/>
      <c r="BG94" s="11"/>
      <c r="BH94" s="11"/>
      <c r="BI94" s="11"/>
      <c r="BJ94" s="11" t="s">
        <v>514</v>
      </c>
      <c r="BK94" s="11"/>
      <c r="BL94" s="11"/>
      <c r="BM94" s="11"/>
      <c r="BN94" s="11"/>
      <c r="BO94" s="11" t="s">
        <v>397</v>
      </c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 t="s">
        <v>808</v>
      </c>
      <c r="CC94" s="11">
        <v>115829.181</v>
      </c>
      <c r="CD94" s="11">
        <v>188933.173</v>
      </c>
      <c r="CE94" s="11">
        <v>301090.585</v>
      </c>
      <c r="CF94" s="11"/>
      <c r="CG94" s="11" t="s">
        <v>411</v>
      </c>
      <c r="CH94" s="11">
        <v>0.0</v>
      </c>
      <c r="CI94" s="11">
        <v>0.0</v>
      </c>
      <c r="CJ94" s="11">
        <v>0.0</v>
      </c>
      <c r="CK94" s="11"/>
      <c r="CL94" s="40" t="s">
        <v>411</v>
      </c>
      <c r="CM94" s="43">
        <v>0.0</v>
      </c>
      <c r="CN94" s="43">
        <v>0.0</v>
      </c>
      <c r="CO94" s="40"/>
      <c r="CP94" s="40" t="s">
        <v>397</v>
      </c>
      <c r="CQ94" s="40"/>
      <c r="CR94" s="40"/>
      <c r="CS94" s="40"/>
      <c r="CT94" s="40"/>
      <c r="CU94" s="40"/>
      <c r="CV94" s="11"/>
      <c r="CW94" s="11"/>
      <c r="CX94" s="11"/>
      <c r="CY94" s="11"/>
      <c r="C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 t="s">
        <v>305</v>
      </c>
      <c r="J95" s="11"/>
      <c r="K95" s="11"/>
      <c r="L95" s="11"/>
      <c r="M95" s="11">
        <v>134425.41</v>
      </c>
      <c r="N95" s="11">
        <v>134425.41</v>
      </c>
      <c r="O95" s="11">
        <v>134425.41</v>
      </c>
      <c r="P95" s="11"/>
      <c r="Q95" s="11" t="s">
        <v>826</v>
      </c>
      <c r="R95" s="11"/>
      <c r="S95" s="11"/>
      <c r="T95" s="11"/>
      <c r="U95" s="11">
        <v>1692.494</v>
      </c>
      <c r="V95" s="11">
        <v>1872.212</v>
      </c>
      <c r="W95" s="11"/>
      <c r="X95" s="11"/>
      <c r="Y95" s="11" t="s">
        <v>281</v>
      </c>
      <c r="Z95" s="11"/>
      <c r="AA95" s="11"/>
      <c r="AB95" s="11">
        <v>160.443</v>
      </c>
      <c r="AC95" s="11">
        <v>376.548</v>
      </c>
      <c r="AD95" s="11">
        <v>851.975</v>
      </c>
      <c r="AE95" s="11">
        <v>4314.751</v>
      </c>
      <c r="AF95" s="11"/>
      <c r="AG95" s="11" t="s">
        <v>715</v>
      </c>
      <c r="AH95" s="53">
        <v>2019.0</v>
      </c>
      <c r="AI95" s="53">
        <v>2020.0</v>
      </c>
      <c r="AJ95" s="53">
        <v>2021.0</v>
      </c>
      <c r="AK95" s="53">
        <v>2022.0</v>
      </c>
      <c r="AL95" s="53">
        <v>2023.0</v>
      </c>
      <c r="AM95" s="53">
        <v>2024.0</v>
      </c>
      <c r="AN95" s="11"/>
      <c r="AO95" s="11" t="s">
        <v>411</v>
      </c>
      <c r="AP95" s="11">
        <v>5.89476</v>
      </c>
      <c r="AQ95" s="11">
        <v>0.0</v>
      </c>
      <c r="AR95" s="11">
        <v>0.0</v>
      </c>
      <c r="AS95" s="11"/>
      <c r="AT95" s="11" t="s">
        <v>411</v>
      </c>
      <c r="AU95" s="11">
        <v>0.0</v>
      </c>
      <c r="AV95" s="11">
        <v>0.0</v>
      </c>
      <c r="AW95" s="11">
        <v>0.0</v>
      </c>
      <c r="AX95" s="11"/>
      <c r="AY95" s="11" t="s">
        <v>625</v>
      </c>
      <c r="AZ95" s="53">
        <v>0.0</v>
      </c>
      <c r="BA95" s="53">
        <v>0.0</v>
      </c>
      <c r="BB95" s="53">
        <v>0.0</v>
      </c>
      <c r="BC95" s="53">
        <v>0.0</v>
      </c>
      <c r="BD95" s="11"/>
      <c r="BE95" s="40" t="s">
        <v>521</v>
      </c>
      <c r="BF95" s="11"/>
      <c r="BG95" s="11"/>
      <c r="BH95" s="11"/>
      <c r="BI95" s="11"/>
      <c r="BJ95" s="11" t="s">
        <v>521</v>
      </c>
      <c r="BK95" s="11"/>
      <c r="BL95" s="11"/>
      <c r="BM95" s="11"/>
      <c r="BN95" s="11"/>
      <c r="BO95" s="11" t="s">
        <v>284</v>
      </c>
      <c r="BP95" s="53">
        <v>0.0</v>
      </c>
      <c r="BQ95" s="53">
        <v>0.0</v>
      </c>
      <c r="BR95" s="53">
        <v>0.0</v>
      </c>
      <c r="BS95" s="53">
        <v>0.0</v>
      </c>
      <c r="BT95" s="53">
        <v>0.0</v>
      </c>
      <c r="BU95" s="11"/>
      <c r="BV95" s="11" t="s">
        <v>237</v>
      </c>
      <c r="BW95" s="53">
        <v>0.0</v>
      </c>
      <c r="BX95" s="53">
        <v>0.0</v>
      </c>
      <c r="BY95" s="53">
        <v>0.0</v>
      </c>
      <c r="BZ95" s="53">
        <v>0.0</v>
      </c>
      <c r="CA95" s="11"/>
      <c r="CB95" s="11" t="s">
        <v>827</v>
      </c>
      <c r="CC95" s="11">
        <v>65527.384</v>
      </c>
      <c r="CD95" s="11">
        <v>60683.284</v>
      </c>
      <c r="CE95" s="11">
        <v>107914.379</v>
      </c>
      <c r="CF95" s="11"/>
      <c r="CG95" s="11"/>
      <c r="CH95" s="11"/>
      <c r="CI95" s="11"/>
      <c r="CJ95" s="11"/>
      <c r="CK95" s="53"/>
      <c r="CL95" s="40"/>
      <c r="CM95" s="40"/>
      <c r="CN95" s="40"/>
      <c r="CO95" s="40"/>
      <c r="CP95" s="40" t="s">
        <v>284</v>
      </c>
      <c r="CQ95" s="46" t="s">
        <v>17</v>
      </c>
      <c r="CR95" s="46" t="s">
        <v>18</v>
      </c>
      <c r="CS95" s="46" t="s">
        <v>19</v>
      </c>
      <c r="CT95" s="46" t="s">
        <v>20</v>
      </c>
      <c r="CU95" s="46" t="s">
        <v>21</v>
      </c>
      <c r="CV95" s="53"/>
      <c r="CW95" s="53"/>
      <c r="CX95" s="53"/>
      <c r="CY95" s="53"/>
      <c r="CZ95" s="53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 t="s">
        <v>309</v>
      </c>
      <c r="J96" s="11"/>
      <c r="K96" s="11"/>
      <c r="L96" s="11"/>
      <c r="M96" s="11">
        <v>88271.098</v>
      </c>
      <c r="N96" s="11">
        <v>81032.767</v>
      </c>
      <c r="O96" s="11"/>
      <c r="P96" s="11"/>
      <c r="Q96" s="11" t="s">
        <v>281</v>
      </c>
      <c r="R96" s="11"/>
      <c r="S96" s="11"/>
      <c r="T96" s="11">
        <v>19315.683</v>
      </c>
      <c r="U96" s="11">
        <v>27856.868</v>
      </c>
      <c r="V96" s="11">
        <v>23249.50700000002</v>
      </c>
      <c r="W96" s="11"/>
      <c r="X96" s="11"/>
      <c r="Y96" s="11" t="s">
        <v>651</v>
      </c>
      <c r="Z96" s="11">
        <v>0.0</v>
      </c>
      <c r="AA96" s="11">
        <v>0.0</v>
      </c>
      <c r="AB96" s="11">
        <v>376.263</v>
      </c>
      <c r="AC96" s="11">
        <v>594.344</v>
      </c>
      <c r="AD96" s="11">
        <v>1120.129</v>
      </c>
      <c r="AE96" s="11">
        <v>4314.751</v>
      </c>
      <c r="AF96" s="11"/>
      <c r="AG96" s="11" t="s">
        <v>332</v>
      </c>
      <c r="AH96" s="11"/>
      <c r="AI96" s="11"/>
      <c r="AJ96" s="11"/>
      <c r="AK96" s="11">
        <v>20598.0</v>
      </c>
      <c r="AL96" s="11">
        <v>20598.0</v>
      </c>
      <c r="AM96" s="11">
        <v>20598.0</v>
      </c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 t="s">
        <v>828</v>
      </c>
      <c r="AZ96" s="11">
        <v>3058.17894</v>
      </c>
      <c r="BA96" s="11">
        <v>3058.17894</v>
      </c>
      <c r="BB96" s="11">
        <v>3058.17894</v>
      </c>
      <c r="BC96" s="11">
        <v>3058.17894</v>
      </c>
      <c r="BD96" s="11"/>
      <c r="BE96" s="40" t="s">
        <v>525</v>
      </c>
      <c r="BF96" s="11"/>
      <c r="BG96" s="11"/>
      <c r="BH96" s="11"/>
      <c r="BI96" s="11"/>
      <c r="BJ96" s="11" t="s">
        <v>525</v>
      </c>
      <c r="BK96" s="11"/>
      <c r="BL96" s="11"/>
      <c r="BM96" s="11"/>
      <c r="BN96" s="11"/>
      <c r="BO96" s="11" t="s">
        <v>284</v>
      </c>
      <c r="BP96" s="11">
        <v>145.77746</v>
      </c>
      <c r="BQ96" s="11">
        <v>1181.029799999996</v>
      </c>
      <c r="BR96" s="11">
        <v>647.70124</v>
      </c>
      <c r="BS96" s="11">
        <v>822.87784</v>
      </c>
      <c r="BT96" s="11"/>
      <c r="BU96" s="11"/>
      <c r="BV96" s="11" t="s">
        <v>224</v>
      </c>
      <c r="BW96" s="11">
        <v>12259.423</v>
      </c>
      <c r="BX96" s="11">
        <v>15516.334</v>
      </c>
      <c r="BY96" s="11">
        <v>21488.799</v>
      </c>
      <c r="BZ96" s="11">
        <v>7623.12419</v>
      </c>
      <c r="CA96" s="11"/>
      <c r="CB96" s="11" t="s">
        <v>411</v>
      </c>
      <c r="CC96" s="11">
        <v>181356.565</v>
      </c>
      <c r="CD96" s="11">
        <v>249616.457</v>
      </c>
      <c r="CE96" s="11">
        <v>409004.964</v>
      </c>
      <c r="CF96" s="11"/>
      <c r="CG96" s="11" t="s">
        <v>693</v>
      </c>
      <c r="CH96" s="11"/>
      <c r="CI96" s="11"/>
      <c r="CJ96" s="11"/>
      <c r="CK96" s="11"/>
      <c r="CL96" s="40" t="s">
        <v>267</v>
      </c>
      <c r="CM96" s="40"/>
      <c r="CN96" s="40"/>
      <c r="CO96" s="40"/>
      <c r="CP96" s="40" t="s">
        <v>829</v>
      </c>
      <c r="CQ96" s="40"/>
      <c r="CR96" s="40"/>
      <c r="CS96" s="43">
        <v>1598.72001</v>
      </c>
      <c r="CT96" s="43">
        <v>213.66775</v>
      </c>
      <c r="CU96" s="43">
        <v>291.9613</v>
      </c>
      <c r="CV96" s="11"/>
      <c r="CW96" s="11"/>
      <c r="CX96" s="11"/>
      <c r="CY96" s="11"/>
      <c r="C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 t="s">
        <v>575</v>
      </c>
      <c r="J97" s="11">
        <v>0.0</v>
      </c>
      <c r="K97" s="11">
        <v>0.0</v>
      </c>
      <c r="L97" s="11">
        <v>0.0</v>
      </c>
      <c r="M97" s="11">
        <v>222696.508</v>
      </c>
      <c r="N97" s="11">
        <v>215458.177</v>
      </c>
      <c r="O97" s="11">
        <v>134425.41</v>
      </c>
      <c r="P97" s="11"/>
      <c r="Q97" s="11" t="s">
        <v>651</v>
      </c>
      <c r="R97" s="11">
        <v>11208.0</v>
      </c>
      <c r="S97" s="11">
        <v>24226.0</v>
      </c>
      <c r="T97" s="11">
        <v>24159.699</v>
      </c>
      <c r="U97" s="11">
        <v>33562.051</v>
      </c>
      <c r="V97" s="11">
        <v>28355.10800000001</v>
      </c>
      <c r="W97" s="11">
        <v>15362.339</v>
      </c>
      <c r="X97" s="11"/>
      <c r="Y97" s="11"/>
      <c r="Z97" s="11"/>
      <c r="AA97" s="11"/>
      <c r="AB97" s="11"/>
      <c r="AC97" s="11"/>
      <c r="AD97" s="11"/>
      <c r="AE97" s="11"/>
      <c r="AF97" s="11"/>
      <c r="AG97" s="11" t="s">
        <v>334</v>
      </c>
      <c r="AH97" s="11"/>
      <c r="AI97" s="11"/>
      <c r="AJ97" s="11"/>
      <c r="AK97" s="11"/>
      <c r="AL97" s="11"/>
      <c r="AM97" s="11">
        <v>694.589</v>
      </c>
      <c r="AN97" s="11"/>
      <c r="AO97" s="11" t="s">
        <v>397</v>
      </c>
      <c r="AP97" s="11"/>
      <c r="AQ97" s="11"/>
      <c r="AR97" s="11"/>
      <c r="AS97" s="11"/>
      <c r="AT97" s="11" t="s">
        <v>397</v>
      </c>
      <c r="AU97" s="11"/>
      <c r="AV97" s="11"/>
      <c r="AW97" s="11"/>
      <c r="AX97" s="11"/>
      <c r="AY97" s="11" t="s">
        <v>830</v>
      </c>
      <c r="AZ97" s="11">
        <v>3207.99835</v>
      </c>
      <c r="BA97" s="11">
        <v>3808.32968</v>
      </c>
      <c r="BB97" s="11">
        <v>7999.94845</v>
      </c>
      <c r="BC97" s="11">
        <v>10279.48493</v>
      </c>
      <c r="BD97" s="11"/>
      <c r="BE97" s="40" t="s">
        <v>527</v>
      </c>
      <c r="BF97" s="11"/>
      <c r="BG97" s="11"/>
      <c r="BH97" s="11"/>
      <c r="BI97" s="11"/>
      <c r="BJ97" s="11" t="s">
        <v>527</v>
      </c>
      <c r="BK97" s="11"/>
      <c r="BL97" s="11"/>
      <c r="BM97" s="11"/>
      <c r="BN97" s="11"/>
      <c r="BO97" s="11" t="s">
        <v>831</v>
      </c>
      <c r="BP97" s="11">
        <v>730.88284</v>
      </c>
      <c r="BQ97" s="11">
        <v>6175.296</v>
      </c>
      <c r="BR97" s="11">
        <v>11.26811</v>
      </c>
      <c r="BS97" s="11"/>
      <c r="BT97" s="11"/>
      <c r="BU97" s="11"/>
      <c r="BV97" s="11" t="s">
        <v>832</v>
      </c>
      <c r="BW97" s="11">
        <v>-7035.25</v>
      </c>
      <c r="BX97" s="11">
        <v>-9481.661</v>
      </c>
      <c r="BY97" s="11">
        <v>-11671.773</v>
      </c>
      <c r="BZ97" s="11"/>
      <c r="CA97" s="11"/>
      <c r="CB97" s="11"/>
      <c r="CC97" s="11"/>
      <c r="CD97" s="11"/>
      <c r="CE97" s="11"/>
      <c r="CF97" s="11"/>
      <c r="CG97" s="11" t="s">
        <v>397</v>
      </c>
      <c r="CH97" s="11"/>
      <c r="CI97" s="11"/>
      <c r="CJ97" s="11"/>
      <c r="CK97" s="11"/>
      <c r="CL97" s="40" t="s">
        <v>397</v>
      </c>
      <c r="CM97" s="40"/>
      <c r="CN97" s="40"/>
      <c r="CO97" s="40"/>
      <c r="CP97" s="40" t="s">
        <v>833</v>
      </c>
      <c r="CQ97" s="40"/>
      <c r="CR97" s="40"/>
      <c r="CS97" s="43">
        <v>1958.87641</v>
      </c>
      <c r="CT97" s="43">
        <v>545.21205</v>
      </c>
      <c r="CU97" s="43">
        <v>1759.20591</v>
      </c>
      <c r="CV97" s="11"/>
      <c r="CW97" s="11"/>
      <c r="CX97" s="11"/>
      <c r="CY97" s="11"/>
      <c r="C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 t="s">
        <v>277</v>
      </c>
      <c r="Z98" s="53">
        <v>2019.0</v>
      </c>
      <c r="AA98" s="53">
        <v>2020.0</v>
      </c>
      <c r="AB98" s="53">
        <v>2021.0</v>
      </c>
      <c r="AC98" s="53">
        <v>2022.0</v>
      </c>
      <c r="AD98" s="53">
        <v>2023.0</v>
      </c>
      <c r="AE98" s="53">
        <v>2024.0</v>
      </c>
      <c r="AF98" s="11"/>
      <c r="AG98" s="11" t="s">
        <v>834</v>
      </c>
      <c r="AH98" s="11"/>
      <c r="AI98" s="11"/>
      <c r="AJ98" s="11"/>
      <c r="AK98" s="11"/>
      <c r="AL98" s="11"/>
      <c r="AM98" s="11">
        <v>5439.5</v>
      </c>
      <c r="AN98" s="11"/>
      <c r="AO98" s="11" t="s">
        <v>835</v>
      </c>
      <c r="AP98" s="53">
        <v>0.0</v>
      </c>
      <c r="AQ98" s="53">
        <v>0.0</v>
      </c>
      <c r="AR98" s="53">
        <v>0.0</v>
      </c>
      <c r="AS98" s="11"/>
      <c r="AT98" s="11" t="s">
        <v>835</v>
      </c>
      <c r="AU98" s="53">
        <v>0.0</v>
      </c>
      <c r="AV98" s="53">
        <v>0.0</v>
      </c>
      <c r="AW98" s="53">
        <v>0.0</v>
      </c>
      <c r="AX98" s="11"/>
      <c r="AY98" s="11" t="s">
        <v>836</v>
      </c>
      <c r="AZ98" s="11">
        <v>2371.70791</v>
      </c>
      <c r="BA98" s="11">
        <v>2454.79999</v>
      </c>
      <c r="BB98" s="11">
        <v>2932.53325</v>
      </c>
      <c r="BC98" s="11">
        <v>2932.53325</v>
      </c>
      <c r="BD98" s="11"/>
      <c r="BE98" s="40" t="s">
        <v>530</v>
      </c>
      <c r="BF98" s="11"/>
      <c r="BG98" s="11"/>
      <c r="BH98" s="11"/>
      <c r="BI98" s="11"/>
      <c r="BJ98" s="11" t="s">
        <v>530</v>
      </c>
      <c r="BK98" s="11"/>
      <c r="BL98" s="11"/>
      <c r="BM98" s="11"/>
      <c r="BN98" s="11"/>
      <c r="BO98" s="11" t="s">
        <v>837</v>
      </c>
      <c r="BP98" s="11">
        <v>815.0</v>
      </c>
      <c r="BQ98" s="11"/>
      <c r="BR98" s="11"/>
      <c r="BS98" s="11"/>
      <c r="BT98" s="11"/>
      <c r="BU98" s="11"/>
      <c r="BV98" s="11" t="s">
        <v>631</v>
      </c>
      <c r="BW98" s="11">
        <v>39970.023</v>
      </c>
      <c r="BX98" s="11">
        <v>38508.307</v>
      </c>
      <c r="BY98" s="11">
        <v>28452.731</v>
      </c>
      <c r="BZ98" s="11">
        <v>30325.20195</v>
      </c>
      <c r="CA98" s="11"/>
      <c r="CB98" s="11" t="s">
        <v>397</v>
      </c>
      <c r="CC98" s="11"/>
      <c r="CD98" s="11"/>
      <c r="CE98" s="11"/>
      <c r="CF98" s="11"/>
      <c r="CG98" s="11" t="s">
        <v>625</v>
      </c>
      <c r="CH98" s="53">
        <v>0.0</v>
      </c>
      <c r="CI98" s="53">
        <v>0.0</v>
      </c>
      <c r="CJ98" s="53">
        <v>0.0</v>
      </c>
      <c r="CK98" s="11"/>
      <c r="CL98" s="40" t="s">
        <v>284</v>
      </c>
      <c r="CM98" s="46" t="s">
        <v>18</v>
      </c>
      <c r="CN98" s="46" t="s">
        <v>19</v>
      </c>
      <c r="CO98" s="40"/>
      <c r="CP98" s="40" t="s">
        <v>411</v>
      </c>
      <c r="CQ98" s="43">
        <v>0.0</v>
      </c>
      <c r="CR98" s="43">
        <v>0.0</v>
      </c>
      <c r="CS98" s="43">
        <v>3557.59642</v>
      </c>
      <c r="CT98" s="43">
        <v>758.8797999999999</v>
      </c>
      <c r="CU98" s="43">
        <v>2051.16721</v>
      </c>
      <c r="CV98" s="11"/>
      <c r="CW98" s="11"/>
      <c r="CX98" s="11"/>
      <c r="CY98" s="11"/>
      <c r="C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 t="s">
        <v>284</v>
      </c>
      <c r="J99" s="53">
        <v>2019.0</v>
      </c>
      <c r="K99" s="53">
        <v>2020.0</v>
      </c>
      <c r="L99" s="53">
        <v>2021.0</v>
      </c>
      <c r="M99" s="53">
        <v>2022.0</v>
      </c>
      <c r="N99" s="53">
        <v>2023.0</v>
      </c>
      <c r="O99" s="53">
        <v>2024.0</v>
      </c>
      <c r="P99" s="11"/>
      <c r="Q99" s="11" t="s">
        <v>277</v>
      </c>
      <c r="R99" s="53">
        <v>2019.0</v>
      </c>
      <c r="S99" s="53">
        <v>2020.0</v>
      </c>
      <c r="T99" s="53">
        <v>2021.0</v>
      </c>
      <c r="U99" s="53">
        <v>2022.0</v>
      </c>
      <c r="V99" s="53">
        <v>2023.0</v>
      </c>
      <c r="W99" s="53">
        <v>2024.0</v>
      </c>
      <c r="X99" s="11"/>
      <c r="Y99" s="11" t="s">
        <v>773</v>
      </c>
      <c r="Z99" s="11">
        <v>0.0</v>
      </c>
      <c r="AA99" s="11">
        <v>0.0</v>
      </c>
      <c r="AB99" s="11">
        <v>0.0</v>
      </c>
      <c r="AC99" s="11">
        <v>0.0</v>
      </c>
      <c r="AD99" s="11">
        <v>0.0</v>
      </c>
      <c r="AE99" s="11">
        <v>0.0</v>
      </c>
      <c r="AF99" s="11"/>
      <c r="AG99" s="11" t="s">
        <v>337</v>
      </c>
      <c r="AH99" s="11"/>
      <c r="AI99" s="11"/>
      <c r="AJ99" s="11"/>
      <c r="AK99" s="11">
        <v>16308.73</v>
      </c>
      <c r="AL99" s="11">
        <v>17210.48</v>
      </c>
      <c r="AM99" s="11">
        <v>10923.642</v>
      </c>
      <c r="AN99" s="11"/>
      <c r="AO99" s="11" t="s">
        <v>411</v>
      </c>
      <c r="AP99" s="11">
        <v>0.0</v>
      </c>
      <c r="AQ99" s="11">
        <v>0.0</v>
      </c>
      <c r="AR99" s="11">
        <v>0.0</v>
      </c>
      <c r="AS99" s="11"/>
      <c r="AT99" s="11" t="s">
        <v>838</v>
      </c>
      <c r="AU99" s="11"/>
      <c r="AV99" s="11">
        <v>753.8662</v>
      </c>
      <c r="AW99" s="11"/>
      <c r="AX99" s="11"/>
      <c r="AY99" s="11" t="s">
        <v>839</v>
      </c>
      <c r="AZ99" s="11">
        <v>2099.86593</v>
      </c>
      <c r="BA99" s="11">
        <v>2190.87464</v>
      </c>
      <c r="BB99" s="11">
        <v>2568.50394</v>
      </c>
      <c r="BC99" s="11">
        <v>2568.50394</v>
      </c>
      <c r="BD99" s="11"/>
      <c r="BE99" s="40" t="s">
        <v>411</v>
      </c>
      <c r="BF99" s="11">
        <v>0.0</v>
      </c>
      <c r="BG99" s="11">
        <v>0.0</v>
      </c>
      <c r="BH99" s="11">
        <v>0.0</v>
      </c>
      <c r="BI99" s="11"/>
      <c r="BJ99" s="11" t="s">
        <v>411</v>
      </c>
      <c r="BK99" s="11">
        <v>0.0</v>
      </c>
      <c r="BL99" s="11">
        <v>0.0</v>
      </c>
      <c r="BM99" s="11">
        <v>0.0</v>
      </c>
      <c r="BN99" s="11"/>
      <c r="BO99" s="11" t="s">
        <v>840</v>
      </c>
      <c r="BP99" s="11"/>
      <c r="BQ99" s="11">
        <v>64.82417</v>
      </c>
      <c r="BR99" s="11"/>
      <c r="BS99" s="11"/>
      <c r="BT99" s="11"/>
      <c r="BU99" s="11"/>
      <c r="BV99" s="11" t="s">
        <v>841</v>
      </c>
      <c r="BW99" s="11">
        <v>-8016.313</v>
      </c>
      <c r="BX99" s="11"/>
      <c r="BY99" s="11"/>
      <c r="BZ99" s="11"/>
      <c r="CA99" s="11"/>
      <c r="CB99" s="11" t="s">
        <v>775</v>
      </c>
      <c r="CC99" s="53">
        <v>0.0</v>
      </c>
      <c r="CD99" s="53">
        <v>0.0</v>
      </c>
      <c r="CE99" s="53">
        <v>0.0</v>
      </c>
      <c r="CF99" s="11"/>
      <c r="CG99" s="11" t="s">
        <v>842</v>
      </c>
      <c r="CH99" s="11">
        <v>252.53691</v>
      </c>
      <c r="CI99" s="11">
        <v>252.53691</v>
      </c>
      <c r="CJ99" s="11">
        <v>257.96393</v>
      </c>
      <c r="CK99" s="11"/>
      <c r="CL99" s="40" t="s">
        <v>808</v>
      </c>
      <c r="CM99" s="43">
        <v>336.44854</v>
      </c>
      <c r="CN99" s="43">
        <v>141.26857</v>
      </c>
      <c r="CO99" s="40"/>
      <c r="CP99" s="40"/>
      <c r="CQ99" s="40"/>
      <c r="CR99" s="40"/>
      <c r="CS99" s="40"/>
      <c r="CT99" s="40"/>
      <c r="CU99" s="40"/>
      <c r="CV99" s="11"/>
      <c r="CW99" s="11"/>
      <c r="CX99" s="11"/>
      <c r="CY99" s="11"/>
      <c r="C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 t="s">
        <v>717</v>
      </c>
      <c r="J100" s="11"/>
      <c r="K100" s="11">
        <v>36558.0</v>
      </c>
      <c r="L100" s="11">
        <v>42754.0</v>
      </c>
      <c r="M100" s="11"/>
      <c r="N100" s="11"/>
      <c r="O100" s="11"/>
      <c r="P100" s="11"/>
      <c r="Q100" s="11" t="s">
        <v>835</v>
      </c>
      <c r="R100" s="11"/>
      <c r="S100" s="11">
        <v>1033.0</v>
      </c>
      <c r="T100" s="11">
        <v>428.733</v>
      </c>
      <c r="U100" s="11">
        <v>1763.227</v>
      </c>
      <c r="V100" s="11">
        <v>1185.71</v>
      </c>
      <c r="W100" s="11">
        <v>459.902</v>
      </c>
      <c r="X100" s="11"/>
      <c r="Y100" s="11"/>
      <c r="Z100" s="11"/>
      <c r="AA100" s="11"/>
      <c r="AB100" s="11"/>
      <c r="AC100" s="11"/>
      <c r="AD100" s="11"/>
      <c r="AE100" s="11"/>
      <c r="AF100" s="11"/>
      <c r="AG100" s="11" t="s">
        <v>728</v>
      </c>
      <c r="AH100" s="11"/>
      <c r="AI100" s="11"/>
      <c r="AJ100" s="11"/>
      <c r="AK100" s="11"/>
      <c r="AL100" s="11"/>
      <c r="AM100" s="11">
        <v>2968.523</v>
      </c>
      <c r="AN100" s="11"/>
      <c r="AO100" s="11"/>
      <c r="AP100" s="11"/>
      <c r="AQ100" s="11"/>
      <c r="AR100" s="11"/>
      <c r="AS100" s="11"/>
      <c r="AT100" s="11" t="s">
        <v>835</v>
      </c>
      <c r="AU100" s="11"/>
      <c r="AV100" s="11">
        <v>23.31288</v>
      </c>
      <c r="AW100" s="11"/>
      <c r="AX100" s="11"/>
      <c r="AY100" s="11" t="s">
        <v>843</v>
      </c>
      <c r="AZ100" s="11">
        <v>686.74648</v>
      </c>
      <c r="BA100" s="11">
        <v>872.30448</v>
      </c>
      <c r="BB100" s="11">
        <v>272.25507</v>
      </c>
      <c r="BC100" s="11">
        <v>272.25507</v>
      </c>
      <c r="BD100" s="11"/>
      <c r="BE100" s="40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 t="s">
        <v>411</v>
      </c>
      <c r="BP100" s="11">
        <v>1691.6603</v>
      </c>
      <c r="BQ100" s="11">
        <v>7421.149969999996</v>
      </c>
      <c r="BR100" s="11">
        <v>658.96935</v>
      </c>
      <c r="BS100" s="11">
        <v>822.87784</v>
      </c>
      <c r="BT100" s="11">
        <v>0.0</v>
      </c>
      <c r="BU100" s="11"/>
      <c r="BV100" s="11" t="s">
        <v>844</v>
      </c>
      <c r="BW100" s="11"/>
      <c r="BX100" s="11">
        <v>-5381.025</v>
      </c>
      <c r="BY100" s="11"/>
      <c r="BZ100" s="11"/>
      <c r="CA100" s="11"/>
      <c r="CB100" s="11" t="s">
        <v>508</v>
      </c>
      <c r="CC100" s="11"/>
      <c r="CD100" s="11"/>
      <c r="CE100" s="11"/>
      <c r="CF100" s="11"/>
      <c r="CG100" s="11" t="s">
        <v>731</v>
      </c>
      <c r="CH100" s="11">
        <v>133.69395</v>
      </c>
      <c r="CI100" s="11">
        <v>133.69395</v>
      </c>
      <c r="CJ100" s="11">
        <v>133.69395</v>
      </c>
      <c r="CK100" s="53"/>
      <c r="CL100" s="40" t="s">
        <v>411</v>
      </c>
      <c r="CM100" s="43">
        <v>336.44854</v>
      </c>
      <c r="CN100" s="43">
        <v>141.26857</v>
      </c>
      <c r="CO100" s="40"/>
      <c r="CP100" s="40" t="s">
        <v>775</v>
      </c>
      <c r="CQ100" s="46" t="s">
        <v>17</v>
      </c>
      <c r="CR100" s="46" t="s">
        <v>18</v>
      </c>
      <c r="CS100" s="46" t="s">
        <v>19</v>
      </c>
      <c r="CT100" s="46" t="s">
        <v>20</v>
      </c>
      <c r="CU100" s="46" t="s">
        <v>21</v>
      </c>
      <c r="CV100" s="53"/>
      <c r="CW100" s="53"/>
      <c r="CX100" s="53"/>
      <c r="CY100" s="53"/>
      <c r="CZ100" s="53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 t="s">
        <v>722</v>
      </c>
      <c r="J101" s="11"/>
      <c r="K101" s="11">
        <v>10947.0</v>
      </c>
      <c r="L101" s="11">
        <v>11783.0</v>
      </c>
      <c r="M101" s="11"/>
      <c r="N101" s="11"/>
      <c r="O101" s="11"/>
      <c r="P101" s="11"/>
      <c r="Q101" s="11" t="s">
        <v>773</v>
      </c>
      <c r="R101" s="11">
        <v>0.0</v>
      </c>
      <c r="S101" s="11">
        <v>1033.0</v>
      </c>
      <c r="T101" s="11">
        <v>428.733</v>
      </c>
      <c r="U101" s="11">
        <v>1763.227</v>
      </c>
      <c r="V101" s="11">
        <v>1185.71</v>
      </c>
      <c r="W101" s="11">
        <v>459.902</v>
      </c>
      <c r="X101" s="11"/>
      <c r="Y101" s="11" t="s">
        <v>322</v>
      </c>
      <c r="Z101" s="53">
        <v>2019.0</v>
      </c>
      <c r="AA101" s="53">
        <v>2020.0</v>
      </c>
      <c r="AB101" s="53">
        <v>2021.0</v>
      </c>
      <c r="AC101" s="53">
        <v>2022.0</v>
      </c>
      <c r="AD101" s="53">
        <v>2023.0</v>
      </c>
      <c r="AE101" s="53">
        <v>2024.0</v>
      </c>
      <c r="AF101" s="11"/>
      <c r="AG101" s="11" t="s">
        <v>733</v>
      </c>
      <c r="AH101" s="11">
        <v>0.0</v>
      </c>
      <c r="AI101" s="11">
        <v>0.0</v>
      </c>
      <c r="AJ101" s="11">
        <v>0.0</v>
      </c>
      <c r="AK101" s="11">
        <v>36906.73</v>
      </c>
      <c r="AL101" s="11">
        <v>37808.48</v>
      </c>
      <c r="AM101" s="11">
        <v>40624.254</v>
      </c>
      <c r="AN101" s="11"/>
      <c r="AO101" s="11" t="s">
        <v>845</v>
      </c>
      <c r="AP101" s="11"/>
      <c r="AQ101" s="11"/>
      <c r="AR101" s="11"/>
      <c r="AS101" s="11"/>
      <c r="AT101" s="11" t="s">
        <v>411</v>
      </c>
      <c r="AU101" s="11">
        <v>0.0</v>
      </c>
      <c r="AV101" s="11">
        <v>777.17908</v>
      </c>
      <c r="AW101" s="11">
        <v>0.0</v>
      </c>
      <c r="AX101" s="11"/>
      <c r="AY101" s="11" t="s">
        <v>846</v>
      </c>
      <c r="AZ101" s="11">
        <v>432.51219</v>
      </c>
      <c r="BA101" s="11">
        <v>1324.94124</v>
      </c>
      <c r="BB101" s="11">
        <v>200.33234</v>
      </c>
      <c r="BC101" s="11">
        <v>200.33234</v>
      </c>
      <c r="BD101" s="11"/>
      <c r="BE101" s="40" t="s">
        <v>397</v>
      </c>
      <c r="BF101" s="11"/>
      <c r="BG101" s="11"/>
      <c r="BH101" s="11"/>
      <c r="BI101" s="11"/>
      <c r="BJ101" s="11" t="s">
        <v>397</v>
      </c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 t="s">
        <v>847</v>
      </c>
      <c r="BW101" s="11">
        <v>46244.277</v>
      </c>
      <c r="BX101" s="11">
        <v>31671.383</v>
      </c>
      <c r="BY101" s="11">
        <v>25589.174</v>
      </c>
      <c r="BZ101" s="11">
        <v>33980.05482</v>
      </c>
      <c r="CA101" s="11"/>
      <c r="CB101" s="11" t="s">
        <v>514</v>
      </c>
      <c r="CC101" s="11"/>
      <c r="CD101" s="11"/>
      <c r="CE101" s="11"/>
      <c r="CF101" s="11"/>
      <c r="CG101" s="11" t="s">
        <v>848</v>
      </c>
      <c r="CH101" s="11">
        <v>52.96071</v>
      </c>
      <c r="CI101" s="11">
        <v>151.79158</v>
      </c>
      <c r="CJ101" s="11">
        <v>401.79158</v>
      </c>
      <c r="CK101" s="11"/>
      <c r="CL101" s="40"/>
      <c r="CM101" s="40"/>
      <c r="CN101" s="40"/>
      <c r="CO101" s="40"/>
      <c r="CP101" s="40" t="s">
        <v>508</v>
      </c>
      <c r="CQ101" s="40"/>
      <c r="CR101" s="40"/>
      <c r="CS101" s="40"/>
      <c r="CT101" s="40"/>
      <c r="CU101" s="40"/>
      <c r="CV101" s="11"/>
      <c r="CW101" s="11"/>
      <c r="CX101" s="11"/>
      <c r="CY101" s="11"/>
      <c r="C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 t="s">
        <v>284</v>
      </c>
      <c r="J102" s="11"/>
      <c r="K102" s="11"/>
      <c r="L102" s="11"/>
      <c r="M102" s="11">
        <v>48400.023</v>
      </c>
      <c r="N102" s="11">
        <v>57465.915</v>
      </c>
      <c r="O102" s="11">
        <v>88200.035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 t="s">
        <v>849</v>
      </c>
      <c r="Z102" s="11">
        <v>0.0</v>
      </c>
      <c r="AA102" s="11">
        <v>0.0</v>
      </c>
      <c r="AB102" s="11">
        <v>0.0</v>
      </c>
      <c r="AC102" s="11">
        <v>0.0</v>
      </c>
      <c r="AD102" s="11">
        <v>0.0</v>
      </c>
      <c r="AE102" s="11">
        <v>0.0</v>
      </c>
      <c r="AF102" s="11"/>
      <c r="AG102" s="11"/>
      <c r="AH102" s="11"/>
      <c r="AI102" s="11"/>
      <c r="AJ102" s="11"/>
      <c r="AK102" s="11"/>
      <c r="AL102" s="11"/>
      <c r="AM102" s="11"/>
      <c r="AN102" s="11"/>
      <c r="AO102" s="11" t="s">
        <v>397</v>
      </c>
      <c r="AP102" s="11"/>
      <c r="AQ102" s="11"/>
      <c r="AR102" s="11"/>
      <c r="AS102" s="11"/>
      <c r="AT102" s="11"/>
      <c r="AU102" s="11"/>
      <c r="AV102" s="11"/>
      <c r="AW102" s="11"/>
      <c r="AX102" s="11"/>
      <c r="AY102" s="11" t="s">
        <v>850</v>
      </c>
      <c r="AZ102" s="11">
        <v>146.9022</v>
      </c>
      <c r="BA102" s="11">
        <v>148.09821</v>
      </c>
      <c r="BB102" s="11">
        <v>148.09821</v>
      </c>
      <c r="BC102" s="11">
        <v>148.09821</v>
      </c>
      <c r="BD102" s="11"/>
      <c r="BE102" s="40" t="s">
        <v>281</v>
      </c>
      <c r="BF102" s="53">
        <v>0.0</v>
      </c>
      <c r="BG102" s="53">
        <v>0.0</v>
      </c>
      <c r="BH102" s="53">
        <v>0.0</v>
      </c>
      <c r="BI102" s="11"/>
      <c r="BJ102" s="11" t="s">
        <v>281</v>
      </c>
      <c r="BK102" s="53">
        <v>0.0</v>
      </c>
      <c r="BL102" s="53">
        <v>0.0</v>
      </c>
      <c r="BM102" s="53">
        <v>0.0</v>
      </c>
      <c r="BN102" s="11"/>
      <c r="BO102" s="11" t="s">
        <v>397</v>
      </c>
      <c r="BP102" s="11"/>
      <c r="BQ102" s="11"/>
      <c r="BR102" s="11"/>
      <c r="BS102" s="11"/>
      <c r="BT102" s="11"/>
      <c r="BU102" s="11"/>
      <c r="BV102" s="11" t="s">
        <v>851</v>
      </c>
      <c r="BW102" s="11">
        <v>7587.328</v>
      </c>
      <c r="BX102" s="11">
        <v>18527.665</v>
      </c>
      <c r="BY102" s="11">
        <v>10561.436</v>
      </c>
      <c r="BZ102" s="11">
        <v>26766.57481</v>
      </c>
      <c r="CA102" s="11"/>
      <c r="CB102" s="11" t="s">
        <v>521</v>
      </c>
      <c r="CC102" s="11"/>
      <c r="CD102" s="11"/>
      <c r="CE102" s="11"/>
      <c r="CF102" s="11"/>
      <c r="CG102" s="11" t="s">
        <v>735</v>
      </c>
      <c r="CH102" s="11">
        <v>129.11785</v>
      </c>
      <c r="CI102" s="11">
        <v>142.01071</v>
      </c>
      <c r="CJ102" s="11">
        <v>703.47946</v>
      </c>
      <c r="CK102" s="11"/>
      <c r="CL102" s="40" t="s">
        <v>397</v>
      </c>
      <c r="CM102" s="40"/>
      <c r="CN102" s="40"/>
      <c r="CO102" s="40"/>
      <c r="CP102" s="40" t="s">
        <v>514</v>
      </c>
      <c r="CQ102" s="40"/>
      <c r="CR102" s="40"/>
      <c r="CS102" s="40"/>
      <c r="CT102" s="40"/>
      <c r="CU102" s="40"/>
      <c r="CV102" s="11"/>
      <c r="CW102" s="11"/>
      <c r="CX102" s="11"/>
      <c r="CY102" s="11"/>
      <c r="C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 t="s">
        <v>597</v>
      </c>
      <c r="J103" s="11">
        <v>0.0</v>
      </c>
      <c r="K103" s="11">
        <v>47505.0</v>
      </c>
      <c r="L103" s="11">
        <v>54537.0</v>
      </c>
      <c r="M103" s="11">
        <v>48400.023</v>
      </c>
      <c r="N103" s="11">
        <v>57465.915</v>
      </c>
      <c r="O103" s="11">
        <v>88200.035</v>
      </c>
      <c r="P103" s="11"/>
      <c r="Q103" s="11" t="s">
        <v>663</v>
      </c>
      <c r="R103" s="53">
        <v>2019.0</v>
      </c>
      <c r="S103" s="53">
        <v>2020.0</v>
      </c>
      <c r="T103" s="53">
        <v>2021.0</v>
      </c>
      <c r="U103" s="53">
        <v>2022.0</v>
      </c>
      <c r="V103" s="53">
        <v>2023.0</v>
      </c>
      <c r="W103" s="53">
        <v>2024.0</v>
      </c>
      <c r="X103" s="11"/>
      <c r="Y103" s="11"/>
      <c r="Z103" s="11"/>
      <c r="AA103" s="11"/>
      <c r="AB103" s="11"/>
      <c r="AC103" s="11"/>
      <c r="AD103" s="11"/>
      <c r="AE103" s="11"/>
      <c r="AF103" s="11"/>
      <c r="AG103" s="11" t="s">
        <v>347</v>
      </c>
      <c r="AH103" s="53">
        <v>2019.0</v>
      </c>
      <c r="AI103" s="53">
        <v>2020.0</v>
      </c>
      <c r="AJ103" s="53">
        <v>2021.0</v>
      </c>
      <c r="AK103" s="53">
        <v>2022.0</v>
      </c>
      <c r="AL103" s="53">
        <v>2023.0</v>
      </c>
      <c r="AM103" s="53">
        <v>2024.0</v>
      </c>
      <c r="AN103" s="11"/>
      <c r="AO103" s="11" t="s">
        <v>852</v>
      </c>
      <c r="AP103" s="53">
        <v>0.0</v>
      </c>
      <c r="AQ103" s="53">
        <v>0.0</v>
      </c>
      <c r="AR103" s="53">
        <v>0.0</v>
      </c>
      <c r="AS103" s="11"/>
      <c r="AT103" s="11" t="s">
        <v>845</v>
      </c>
      <c r="AU103" s="11"/>
      <c r="AV103" s="11"/>
      <c r="AW103" s="11"/>
      <c r="AX103" s="11"/>
      <c r="AY103" s="11" t="s">
        <v>853</v>
      </c>
      <c r="AZ103" s="11"/>
      <c r="BA103" s="11">
        <v>248.43905</v>
      </c>
      <c r="BB103" s="11">
        <v>175.52243</v>
      </c>
      <c r="BC103" s="11">
        <v>175.52243</v>
      </c>
      <c r="BD103" s="11"/>
      <c r="BE103" s="40" t="s">
        <v>411</v>
      </c>
      <c r="BF103" s="11">
        <v>0.0</v>
      </c>
      <c r="BG103" s="11">
        <v>0.0</v>
      </c>
      <c r="BH103" s="11">
        <v>0.0</v>
      </c>
      <c r="BI103" s="11"/>
      <c r="BJ103" s="11" t="s">
        <v>854</v>
      </c>
      <c r="BK103" s="11">
        <v>3503.891</v>
      </c>
      <c r="BL103" s="11">
        <v>2341.886</v>
      </c>
      <c r="BM103" s="11">
        <v>1792.331</v>
      </c>
      <c r="BN103" s="11"/>
      <c r="BO103" s="11" t="s">
        <v>775</v>
      </c>
      <c r="BP103" s="53">
        <v>0.0</v>
      </c>
      <c r="BQ103" s="53">
        <v>0.0</v>
      </c>
      <c r="BR103" s="53">
        <v>0.0</v>
      </c>
      <c r="BS103" s="53">
        <v>0.0</v>
      </c>
      <c r="BT103" s="53">
        <v>0.0</v>
      </c>
      <c r="BU103" s="11"/>
      <c r="BV103" s="11" t="s">
        <v>411</v>
      </c>
      <c r="BW103" s="11">
        <v>91009.488</v>
      </c>
      <c r="BX103" s="11">
        <v>89361.003</v>
      </c>
      <c r="BY103" s="11">
        <v>74420.367</v>
      </c>
      <c r="BZ103" s="11">
        <v>98694.95577</v>
      </c>
      <c r="CA103" s="11"/>
      <c r="CB103" s="11" t="s">
        <v>525</v>
      </c>
      <c r="CC103" s="11"/>
      <c r="CD103" s="11"/>
      <c r="CE103" s="11"/>
      <c r="CF103" s="11"/>
      <c r="CG103" s="11" t="s">
        <v>855</v>
      </c>
      <c r="CH103" s="11">
        <v>6604.8758</v>
      </c>
      <c r="CI103" s="11">
        <v>6604.8758</v>
      </c>
      <c r="CJ103" s="11">
        <v>7758.80552</v>
      </c>
      <c r="CK103" s="11"/>
      <c r="CL103" s="40" t="s">
        <v>775</v>
      </c>
      <c r="CM103" s="46" t="s">
        <v>18</v>
      </c>
      <c r="CN103" s="46" t="s">
        <v>19</v>
      </c>
      <c r="CO103" s="40"/>
      <c r="CP103" s="40" t="s">
        <v>521</v>
      </c>
      <c r="CQ103" s="40"/>
      <c r="CR103" s="40"/>
      <c r="CS103" s="40"/>
      <c r="CT103" s="40"/>
      <c r="CU103" s="40"/>
      <c r="CV103" s="11"/>
      <c r="CW103" s="11"/>
      <c r="CX103" s="11"/>
      <c r="CY103" s="11"/>
      <c r="C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 t="s">
        <v>856</v>
      </c>
      <c r="R104" s="11"/>
      <c r="S104" s="11"/>
      <c r="T104" s="11">
        <v>4467.323</v>
      </c>
      <c r="U104" s="11">
        <v>5211.23</v>
      </c>
      <c r="V104" s="11">
        <v>5461.158</v>
      </c>
      <c r="W104" s="11">
        <v>5502.549</v>
      </c>
      <c r="X104" s="11"/>
      <c r="Y104" s="11" t="s">
        <v>663</v>
      </c>
      <c r="Z104" s="53">
        <v>2019.0</v>
      </c>
      <c r="AA104" s="53">
        <v>2020.0</v>
      </c>
      <c r="AB104" s="53">
        <v>2021.0</v>
      </c>
      <c r="AC104" s="53">
        <v>2022.0</v>
      </c>
      <c r="AD104" s="53">
        <v>2023.0</v>
      </c>
      <c r="AE104" s="53">
        <v>2024.0</v>
      </c>
      <c r="AF104" s="11"/>
      <c r="AG104" s="11" t="s">
        <v>347</v>
      </c>
      <c r="AH104" s="11"/>
      <c r="AI104" s="11"/>
      <c r="AJ104" s="11"/>
      <c r="AK104" s="11">
        <v>39281.699</v>
      </c>
      <c r="AL104" s="11">
        <v>52097.658</v>
      </c>
      <c r="AM104" s="11">
        <v>54416.681</v>
      </c>
      <c r="AN104" s="11"/>
      <c r="AO104" s="11" t="s">
        <v>857</v>
      </c>
      <c r="AP104" s="11">
        <v>0.0</v>
      </c>
      <c r="AQ104" s="11">
        <v>0.0</v>
      </c>
      <c r="AR104" s="11">
        <v>0.0</v>
      </c>
      <c r="AS104" s="11"/>
      <c r="AT104" s="11" t="s">
        <v>397</v>
      </c>
      <c r="AU104" s="11"/>
      <c r="AV104" s="11"/>
      <c r="AW104" s="11"/>
      <c r="AX104" s="11"/>
      <c r="AY104" s="11" t="s">
        <v>858</v>
      </c>
      <c r="AZ104" s="11"/>
      <c r="BA104" s="11">
        <v>1145.71954</v>
      </c>
      <c r="BB104" s="11">
        <v>1145.71954</v>
      </c>
      <c r="BC104" s="11">
        <v>1145.71954</v>
      </c>
      <c r="BD104" s="11"/>
      <c r="BE104" s="40"/>
      <c r="BF104" s="11"/>
      <c r="BG104" s="11"/>
      <c r="BH104" s="11"/>
      <c r="BI104" s="11"/>
      <c r="BJ104" s="11" t="s">
        <v>281</v>
      </c>
      <c r="BK104" s="11">
        <v>3387.375</v>
      </c>
      <c r="BL104" s="11">
        <v>5087.336</v>
      </c>
      <c r="BM104" s="11">
        <v>1574.429</v>
      </c>
      <c r="BN104" s="11"/>
      <c r="BO104" s="11" t="s">
        <v>508</v>
      </c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 t="s">
        <v>527</v>
      </c>
      <c r="CC104" s="11"/>
      <c r="CD104" s="11"/>
      <c r="CE104" s="11"/>
      <c r="CF104" s="11"/>
      <c r="CG104" s="11" t="s">
        <v>859</v>
      </c>
      <c r="CH104" s="11">
        <v>65.29882</v>
      </c>
      <c r="CI104" s="11">
        <v>203.7483</v>
      </c>
      <c r="CJ104" s="11">
        <v>203.74838</v>
      </c>
      <c r="CK104" s="11"/>
      <c r="CL104" s="40" t="s">
        <v>508</v>
      </c>
      <c r="CM104" s="40"/>
      <c r="CN104" s="40"/>
      <c r="CO104" s="40"/>
      <c r="CP104" s="40" t="s">
        <v>525</v>
      </c>
      <c r="CQ104" s="40"/>
      <c r="CR104" s="40"/>
      <c r="CS104" s="40"/>
      <c r="CT104" s="40"/>
      <c r="CU104" s="40"/>
      <c r="CV104" s="11"/>
      <c r="CW104" s="11"/>
      <c r="CX104" s="11"/>
      <c r="CY104" s="11"/>
      <c r="C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 t="s">
        <v>610</v>
      </c>
      <c r="J105" s="53">
        <v>2019.0</v>
      </c>
      <c r="K105" s="53">
        <v>2020.0</v>
      </c>
      <c r="L105" s="53">
        <v>2021.0</v>
      </c>
      <c r="M105" s="53">
        <v>2022.0</v>
      </c>
      <c r="N105" s="53">
        <v>2023.0</v>
      </c>
      <c r="O105" s="53">
        <v>2024.0</v>
      </c>
      <c r="P105" s="11"/>
      <c r="Q105" s="11" t="s">
        <v>677</v>
      </c>
      <c r="R105" s="11">
        <v>0.0</v>
      </c>
      <c r="S105" s="11">
        <v>0.0</v>
      </c>
      <c r="T105" s="11">
        <v>4467.323</v>
      </c>
      <c r="U105" s="11">
        <v>5211.23</v>
      </c>
      <c r="V105" s="11">
        <v>5461.158</v>
      </c>
      <c r="W105" s="11">
        <v>5502.549</v>
      </c>
      <c r="X105" s="11"/>
      <c r="Y105" s="11" t="s">
        <v>856</v>
      </c>
      <c r="Z105" s="11"/>
      <c r="AA105" s="11"/>
      <c r="AB105" s="11">
        <v>77.481</v>
      </c>
      <c r="AC105" s="11">
        <v>331.962</v>
      </c>
      <c r="AD105" s="11">
        <v>198.82</v>
      </c>
      <c r="AE105" s="11">
        <v>167.502</v>
      </c>
      <c r="AF105" s="11"/>
      <c r="AG105" s="11" t="s">
        <v>753</v>
      </c>
      <c r="AH105" s="11">
        <v>0.0</v>
      </c>
      <c r="AI105" s="11">
        <v>0.0</v>
      </c>
      <c r="AJ105" s="11">
        <v>0.0</v>
      </c>
      <c r="AK105" s="11">
        <v>39281.699</v>
      </c>
      <c r="AL105" s="11">
        <v>52097.658</v>
      </c>
      <c r="AM105" s="11">
        <v>54416.681</v>
      </c>
      <c r="AN105" s="11"/>
      <c r="AO105" s="11" t="s">
        <v>794</v>
      </c>
      <c r="AP105" s="53">
        <v>0.0</v>
      </c>
      <c r="AQ105" s="53">
        <v>0.0</v>
      </c>
      <c r="AR105" s="53">
        <v>0.0</v>
      </c>
      <c r="AS105" s="11"/>
      <c r="AT105" s="11" t="s">
        <v>852</v>
      </c>
      <c r="AU105" s="53">
        <v>0.0</v>
      </c>
      <c r="AV105" s="53">
        <v>0.0</v>
      </c>
      <c r="AW105" s="53">
        <v>0.0</v>
      </c>
      <c r="AX105" s="11"/>
      <c r="AY105" s="11" t="s">
        <v>860</v>
      </c>
      <c r="AZ105" s="11"/>
      <c r="BA105" s="11">
        <v>912.35631</v>
      </c>
      <c r="BB105" s="11">
        <v>0.0</v>
      </c>
      <c r="BC105" s="11">
        <v>0.0</v>
      </c>
      <c r="BD105" s="11"/>
      <c r="BE105" s="40" t="s">
        <v>271</v>
      </c>
      <c r="BF105" s="11"/>
      <c r="BG105" s="11"/>
      <c r="BH105" s="11"/>
      <c r="BI105" s="11"/>
      <c r="BJ105" s="11" t="s">
        <v>861</v>
      </c>
      <c r="BK105" s="11">
        <v>426.122</v>
      </c>
      <c r="BL105" s="11">
        <v>501.855</v>
      </c>
      <c r="BM105" s="11">
        <v>514.756</v>
      </c>
      <c r="BN105" s="11"/>
      <c r="BO105" s="11" t="s">
        <v>514</v>
      </c>
      <c r="BP105" s="11"/>
      <c r="BQ105" s="11"/>
      <c r="BR105" s="11"/>
      <c r="BS105" s="11"/>
      <c r="BT105" s="11"/>
      <c r="BU105" s="11"/>
      <c r="BV105" s="11" t="s">
        <v>397</v>
      </c>
      <c r="BW105" s="11"/>
      <c r="BX105" s="11"/>
      <c r="BY105" s="11"/>
      <c r="BZ105" s="11"/>
      <c r="CA105" s="11"/>
      <c r="CB105" s="11" t="s">
        <v>530</v>
      </c>
      <c r="CC105" s="11"/>
      <c r="CD105" s="11"/>
      <c r="CE105" s="11"/>
      <c r="CF105" s="11"/>
      <c r="CG105" s="11" t="s">
        <v>862</v>
      </c>
      <c r="CH105" s="11">
        <v>-3647.02238</v>
      </c>
      <c r="CI105" s="11">
        <v>-3647.02238</v>
      </c>
      <c r="CJ105" s="11">
        <v>-3316.76044</v>
      </c>
      <c r="CK105" s="11"/>
      <c r="CL105" s="40" t="s">
        <v>514</v>
      </c>
      <c r="CM105" s="40"/>
      <c r="CN105" s="40"/>
      <c r="CO105" s="40"/>
      <c r="CP105" s="40" t="s">
        <v>527</v>
      </c>
      <c r="CQ105" s="40"/>
      <c r="CR105" s="40"/>
      <c r="CS105" s="40"/>
      <c r="CT105" s="40"/>
      <c r="CU105" s="40"/>
      <c r="CV105" s="11"/>
      <c r="CW105" s="11"/>
      <c r="CX105" s="11"/>
      <c r="CY105" s="11"/>
      <c r="C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 t="s">
        <v>797</v>
      </c>
      <c r="J106" s="11"/>
      <c r="K106" s="11">
        <v>13028.0</v>
      </c>
      <c r="L106" s="11">
        <v>24611.0</v>
      </c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 t="s">
        <v>677</v>
      </c>
      <c r="Z106" s="11">
        <v>0.0</v>
      </c>
      <c r="AA106" s="11">
        <v>0.0</v>
      </c>
      <c r="AB106" s="11">
        <v>77.481</v>
      </c>
      <c r="AC106" s="11">
        <v>331.962</v>
      </c>
      <c r="AD106" s="11">
        <v>198.82</v>
      </c>
      <c r="AE106" s="11">
        <v>167.502</v>
      </c>
      <c r="AF106" s="11"/>
      <c r="AG106" s="11"/>
      <c r="AH106" s="11"/>
      <c r="AI106" s="11"/>
      <c r="AJ106" s="11"/>
      <c r="AK106" s="11"/>
      <c r="AL106" s="11"/>
      <c r="AM106" s="11"/>
      <c r="AN106" s="11"/>
      <c r="AO106" s="11" t="s">
        <v>857</v>
      </c>
      <c r="AP106" s="11">
        <v>0.0</v>
      </c>
      <c r="AQ106" s="11">
        <v>0.0</v>
      </c>
      <c r="AR106" s="11">
        <v>0.0</v>
      </c>
      <c r="AS106" s="11"/>
      <c r="AT106" s="11" t="s">
        <v>863</v>
      </c>
      <c r="AU106" s="11"/>
      <c r="AV106" s="11">
        <v>1517.88104</v>
      </c>
      <c r="AW106" s="11"/>
      <c r="AX106" s="11"/>
      <c r="AY106" s="11" t="s">
        <v>864</v>
      </c>
      <c r="AZ106" s="11"/>
      <c r="BA106" s="11">
        <v>183.66604</v>
      </c>
      <c r="BB106" s="11">
        <v>0.0</v>
      </c>
      <c r="BC106" s="11">
        <v>0.0</v>
      </c>
      <c r="BD106" s="11"/>
      <c r="BE106" s="40" t="s">
        <v>397</v>
      </c>
      <c r="BF106" s="11"/>
      <c r="BG106" s="11"/>
      <c r="BH106" s="11"/>
      <c r="BI106" s="11"/>
      <c r="BJ106" s="11" t="s">
        <v>865</v>
      </c>
      <c r="BK106" s="11">
        <v>0.0</v>
      </c>
      <c r="BL106" s="11">
        <v>55.432</v>
      </c>
      <c r="BM106" s="11"/>
      <c r="BN106" s="11"/>
      <c r="BO106" s="11" t="s">
        <v>521</v>
      </c>
      <c r="BP106" s="11"/>
      <c r="BQ106" s="11"/>
      <c r="BR106" s="11"/>
      <c r="BS106" s="11"/>
      <c r="BT106" s="11"/>
      <c r="BU106" s="11"/>
      <c r="BV106" s="11" t="s">
        <v>92</v>
      </c>
      <c r="BW106" s="53">
        <v>0.0</v>
      </c>
      <c r="BX106" s="53">
        <v>0.0</v>
      </c>
      <c r="BY106" s="53">
        <v>0.0</v>
      </c>
      <c r="BZ106" s="53">
        <v>0.0</v>
      </c>
      <c r="CA106" s="11"/>
      <c r="CB106" s="11" t="s">
        <v>411</v>
      </c>
      <c r="CC106" s="11">
        <v>0.0</v>
      </c>
      <c r="CD106" s="11">
        <v>0.0</v>
      </c>
      <c r="CE106" s="11">
        <v>0.0</v>
      </c>
      <c r="CF106" s="11"/>
      <c r="CG106" s="11" t="s">
        <v>411</v>
      </c>
      <c r="CH106" s="11">
        <v>3591.461659999999</v>
      </c>
      <c r="CI106" s="11">
        <v>3841.63487</v>
      </c>
      <c r="CJ106" s="11">
        <v>6142.722380000001</v>
      </c>
      <c r="CK106" s="11"/>
      <c r="CL106" s="40" t="s">
        <v>521</v>
      </c>
      <c r="CM106" s="40"/>
      <c r="CN106" s="40"/>
      <c r="CO106" s="40"/>
      <c r="CP106" s="40" t="s">
        <v>530</v>
      </c>
      <c r="CQ106" s="40"/>
      <c r="CR106" s="40"/>
      <c r="CS106" s="40"/>
      <c r="CT106" s="40"/>
      <c r="CU106" s="40"/>
      <c r="CV106" s="11"/>
      <c r="CW106" s="11"/>
      <c r="CX106" s="11"/>
      <c r="CY106" s="11"/>
      <c r="C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 t="s">
        <v>800</v>
      </c>
      <c r="J107" s="11"/>
      <c r="K107" s="11">
        <v>10421.0</v>
      </c>
      <c r="L107" s="11">
        <v>4374.0</v>
      </c>
      <c r="M107" s="11"/>
      <c r="N107" s="11"/>
      <c r="O107" s="11"/>
      <c r="P107" s="11"/>
      <c r="Q107" s="11" t="s">
        <v>687</v>
      </c>
      <c r="R107" s="53">
        <v>2019.0</v>
      </c>
      <c r="S107" s="53">
        <v>2020.0</v>
      </c>
      <c r="T107" s="53">
        <v>2021.0</v>
      </c>
      <c r="U107" s="53">
        <v>2022.0</v>
      </c>
      <c r="V107" s="53">
        <v>2023.0</v>
      </c>
      <c r="W107" s="53">
        <v>2024.0</v>
      </c>
      <c r="X107" s="11"/>
      <c r="Y107" s="11"/>
      <c r="Z107" s="11"/>
      <c r="AA107" s="11"/>
      <c r="AB107" s="11"/>
      <c r="AC107" s="11"/>
      <c r="AD107" s="11"/>
      <c r="AE107" s="11"/>
      <c r="AF107" s="11"/>
      <c r="AG107" s="11" t="s">
        <v>351</v>
      </c>
      <c r="AH107" s="53">
        <v>2019.0</v>
      </c>
      <c r="AI107" s="53">
        <v>2020.0</v>
      </c>
      <c r="AJ107" s="53">
        <v>2021.0</v>
      </c>
      <c r="AK107" s="53">
        <v>2022.0</v>
      </c>
      <c r="AL107" s="53">
        <v>2023.0</v>
      </c>
      <c r="AM107" s="53">
        <v>2024.0</v>
      </c>
      <c r="AN107" s="11"/>
      <c r="AO107" s="11" t="s">
        <v>411</v>
      </c>
      <c r="AP107" s="11">
        <v>0.0</v>
      </c>
      <c r="AQ107" s="11">
        <v>0.0</v>
      </c>
      <c r="AR107" s="11">
        <v>0.0</v>
      </c>
      <c r="AS107" s="11"/>
      <c r="AT107" s="11" t="s">
        <v>857</v>
      </c>
      <c r="AU107" s="11">
        <v>0.0</v>
      </c>
      <c r="AV107" s="11">
        <v>1517.88104</v>
      </c>
      <c r="AW107" s="11">
        <v>0.0</v>
      </c>
      <c r="AX107" s="11"/>
      <c r="AY107" s="11" t="s">
        <v>411</v>
      </c>
      <c r="AZ107" s="11">
        <v>12003.912</v>
      </c>
      <c r="BA107" s="11">
        <v>16347.70812</v>
      </c>
      <c r="BB107" s="11">
        <v>18501.09217</v>
      </c>
      <c r="BC107" s="11">
        <v>20780.62865</v>
      </c>
      <c r="BD107" s="11"/>
      <c r="BE107" s="40" t="s">
        <v>824</v>
      </c>
      <c r="BF107" s="53">
        <v>0.0</v>
      </c>
      <c r="BG107" s="53">
        <v>0.0</v>
      </c>
      <c r="BH107" s="53">
        <v>0.0</v>
      </c>
      <c r="BI107" s="11"/>
      <c r="BJ107" s="11" t="s">
        <v>866</v>
      </c>
      <c r="BK107" s="11">
        <v>64.1</v>
      </c>
      <c r="BL107" s="11">
        <v>28.1</v>
      </c>
      <c r="BM107" s="11"/>
      <c r="BN107" s="11"/>
      <c r="BO107" s="11" t="s">
        <v>525</v>
      </c>
      <c r="BP107" s="11"/>
      <c r="BQ107" s="11"/>
      <c r="BR107" s="11"/>
      <c r="BS107" s="11"/>
      <c r="BT107" s="11"/>
      <c r="BU107" s="11"/>
      <c r="BV107" s="11" t="s">
        <v>867</v>
      </c>
      <c r="BW107" s="11">
        <v>40210.843</v>
      </c>
      <c r="BX107" s="11">
        <v>36165.652</v>
      </c>
      <c r="BY107" s="11">
        <v>33850.177</v>
      </c>
      <c r="BZ107" s="11">
        <v>33285.76277</v>
      </c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40" t="s">
        <v>525</v>
      </c>
      <c r="CM107" s="40"/>
      <c r="CN107" s="40"/>
      <c r="CO107" s="40"/>
      <c r="CP107" s="40" t="s">
        <v>411</v>
      </c>
      <c r="CQ107" s="43">
        <v>0.0</v>
      </c>
      <c r="CR107" s="43">
        <v>0.0</v>
      </c>
      <c r="CS107" s="43">
        <v>0.0</v>
      </c>
      <c r="CT107" s="43">
        <v>0.0</v>
      </c>
      <c r="CU107" s="43">
        <v>0.0</v>
      </c>
      <c r="CV107" s="11"/>
      <c r="CW107" s="11"/>
      <c r="CX107" s="11"/>
      <c r="CY107" s="11"/>
      <c r="C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 t="s">
        <v>868</v>
      </c>
      <c r="J108" s="11"/>
      <c r="K108" s="11">
        <v>-6166.0</v>
      </c>
      <c r="L108" s="11">
        <v>-992.0</v>
      </c>
      <c r="M108" s="11"/>
      <c r="N108" s="11"/>
      <c r="O108" s="11"/>
      <c r="P108" s="11"/>
      <c r="Q108" s="11" t="s">
        <v>687</v>
      </c>
      <c r="R108" s="11"/>
      <c r="S108" s="11"/>
      <c r="T108" s="11">
        <v>961.825</v>
      </c>
      <c r="U108" s="11">
        <v>2942.064</v>
      </c>
      <c r="V108" s="11">
        <v>724.746</v>
      </c>
      <c r="W108" s="11">
        <v>952.399</v>
      </c>
      <c r="X108" s="11"/>
      <c r="Y108" s="11" t="s">
        <v>687</v>
      </c>
      <c r="Z108" s="53">
        <v>2019.0</v>
      </c>
      <c r="AA108" s="53">
        <v>2020.0</v>
      </c>
      <c r="AB108" s="53">
        <v>2021.0</v>
      </c>
      <c r="AC108" s="53">
        <v>2022.0</v>
      </c>
      <c r="AD108" s="53">
        <v>2023.0</v>
      </c>
      <c r="AE108" s="53">
        <v>2024.0</v>
      </c>
      <c r="AF108" s="11"/>
      <c r="AG108" s="11" t="s">
        <v>351</v>
      </c>
      <c r="AH108" s="11"/>
      <c r="AI108" s="11"/>
      <c r="AJ108" s="11"/>
      <c r="AK108" s="11">
        <v>27621.723</v>
      </c>
      <c r="AL108" s="11">
        <v>36838.04</v>
      </c>
      <c r="AM108" s="11">
        <v>36914.725</v>
      </c>
      <c r="AN108" s="11"/>
      <c r="AO108" s="11"/>
      <c r="AP108" s="11"/>
      <c r="AQ108" s="11"/>
      <c r="AR108" s="11"/>
      <c r="AS108" s="11"/>
      <c r="AT108" s="11" t="s">
        <v>794</v>
      </c>
      <c r="AU108" s="53">
        <v>0.0</v>
      </c>
      <c r="AV108" s="53">
        <v>0.0</v>
      </c>
      <c r="AW108" s="53">
        <v>0.0</v>
      </c>
      <c r="AX108" s="11"/>
      <c r="AY108" s="11"/>
      <c r="AZ108" s="11"/>
      <c r="BA108" s="11"/>
      <c r="BB108" s="11"/>
      <c r="BC108" s="11"/>
      <c r="BD108" s="11"/>
      <c r="BE108" s="40" t="s">
        <v>822</v>
      </c>
      <c r="BF108" s="11">
        <v>76.878</v>
      </c>
      <c r="BG108" s="11">
        <v>128.908</v>
      </c>
      <c r="BH108" s="11">
        <v>157.086</v>
      </c>
      <c r="BI108" s="11"/>
      <c r="BJ108" s="11" t="s">
        <v>581</v>
      </c>
      <c r="BK108" s="11"/>
      <c r="BL108" s="11"/>
      <c r="BM108" s="11"/>
      <c r="BN108" s="11"/>
      <c r="BO108" s="11" t="s">
        <v>527</v>
      </c>
      <c r="BP108" s="11"/>
      <c r="BQ108" s="11"/>
      <c r="BR108" s="11"/>
      <c r="BS108" s="11"/>
      <c r="BT108" s="11"/>
      <c r="BU108" s="11"/>
      <c r="BV108" s="11" t="s">
        <v>869</v>
      </c>
      <c r="BW108" s="11">
        <v>20814.289</v>
      </c>
      <c r="BX108" s="11">
        <v>24810.25</v>
      </c>
      <c r="BY108" s="11">
        <v>25106.31</v>
      </c>
      <c r="BZ108" s="11"/>
      <c r="CA108" s="11"/>
      <c r="CB108" s="11" t="s">
        <v>397</v>
      </c>
      <c r="CC108" s="11"/>
      <c r="CD108" s="11"/>
      <c r="CE108" s="11"/>
      <c r="CF108" s="11"/>
      <c r="CG108" s="11" t="s">
        <v>275</v>
      </c>
      <c r="CH108" s="53">
        <v>0.0</v>
      </c>
      <c r="CI108" s="53">
        <v>0.0</v>
      </c>
      <c r="CJ108" s="53">
        <v>0.0</v>
      </c>
      <c r="CK108" s="11"/>
      <c r="CL108" s="40" t="s">
        <v>527</v>
      </c>
      <c r="CM108" s="40"/>
      <c r="CN108" s="40"/>
      <c r="CO108" s="40"/>
      <c r="CP108" s="40"/>
      <c r="CQ108" s="40"/>
      <c r="CR108" s="40"/>
      <c r="CS108" s="40"/>
      <c r="CT108" s="40"/>
      <c r="CU108" s="40"/>
      <c r="CV108" s="11"/>
      <c r="CW108" s="11"/>
      <c r="CX108" s="11"/>
      <c r="CY108" s="11"/>
      <c r="C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 t="s">
        <v>610</v>
      </c>
      <c r="J109" s="11"/>
      <c r="K109" s="11"/>
      <c r="L109" s="11"/>
      <c r="M109" s="11">
        <v>35284.999</v>
      </c>
      <c r="N109" s="11">
        <v>27734.63</v>
      </c>
      <c r="O109" s="11">
        <v>30522.469</v>
      </c>
      <c r="P109" s="11"/>
      <c r="Q109" s="11" t="s">
        <v>696</v>
      </c>
      <c r="R109" s="11">
        <v>19776.0</v>
      </c>
      <c r="S109" s="11">
        <v>7047.0</v>
      </c>
      <c r="T109" s="11">
        <v>961.825</v>
      </c>
      <c r="U109" s="11">
        <v>2942.064</v>
      </c>
      <c r="V109" s="11">
        <v>724.746</v>
      </c>
      <c r="W109" s="11">
        <v>952.399</v>
      </c>
      <c r="X109" s="11"/>
      <c r="Y109" s="11" t="s">
        <v>687</v>
      </c>
      <c r="Z109" s="11"/>
      <c r="AA109" s="11"/>
      <c r="AB109" s="11"/>
      <c r="AC109" s="11"/>
      <c r="AD109" s="11"/>
      <c r="AE109" s="11">
        <v>15583.591</v>
      </c>
      <c r="AF109" s="11"/>
      <c r="AG109" s="11"/>
      <c r="AH109" s="11"/>
      <c r="AI109" s="11"/>
      <c r="AJ109" s="11"/>
      <c r="AK109" s="11"/>
      <c r="AL109" s="11">
        <v>0.0</v>
      </c>
      <c r="AM109" s="11"/>
      <c r="AN109" s="11"/>
      <c r="AO109" s="11" t="s">
        <v>802</v>
      </c>
      <c r="AP109" s="11"/>
      <c r="AQ109" s="11"/>
      <c r="AR109" s="11"/>
      <c r="AS109" s="11"/>
      <c r="AT109" s="11" t="s">
        <v>857</v>
      </c>
      <c r="AU109" s="11">
        <v>0.0</v>
      </c>
      <c r="AV109" s="11">
        <v>0.0</v>
      </c>
      <c r="AW109" s="11">
        <v>0.0</v>
      </c>
      <c r="AX109" s="11"/>
      <c r="AY109" s="11" t="s">
        <v>275</v>
      </c>
      <c r="AZ109" s="53">
        <v>0.0</v>
      </c>
      <c r="BA109" s="53">
        <v>0.0</v>
      </c>
      <c r="BB109" s="53">
        <v>0.0</v>
      </c>
      <c r="BC109" s="53">
        <v>0.0</v>
      </c>
      <c r="BD109" s="11"/>
      <c r="BE109" s="40" t="s">
        <v>411</v>
      </c>
      <c r="BF109" s="11">
        <v>76.878</v>
      </c>
      <c r="BG109" s="11">
        <v>128.908</v>
      </c>
      <c r="BH109" s="11">
        <v>157.086</v>
      </c>
      <c r="BI109" s="11"/>
      <c r="BJ109" s="11" t="s">
        <v>870</v>
      </c>
      <c r="BK109" s="11">
        <v>2469.338</v>
      </c>
      <c r="BL109" s="11">
        <v>16890.226</v>
      </c>
      <c r="BM109" s="11">
        <v>28127.841</v>
      </c>
      <c r="BN109" s="11"/>
      <c r="BO109" s="11" t="s">
        <v>530</v>
      </c>
      <c r="BP109" s="11"/>
      <c r="BQ109" s="11"/>
      <c r="BR109" s="11"/>
      <c r="BS109" s="11"/>
      <c r="BT109" s="11"/>
      <c r="BU109" s="11"/>
      <c r="BV109" s="11" t="s">
        <v>871</v>
      </c>
      <c r="BW109" s="11">
        <v>21902.495</v>
      </c>
      <c r="BX109" s="11">
        <v>17402.953</v>
      </c>
      <c r="BY109" s="11">
        <v>19794.191</v>
      </c>
      <c r="BZ109" s="11"/>
      <c r="CA109" s="11"/>
      <c r="CB109" s="11" t="s">
        <v>281</v>
      </c>
      <c r="CC109" s="53">
        <v>0.0</v>
      </c>
      <c r="CD109" s="53">
        <v>0.0</v>
      </c>
      <c r="CE109" s="53">
        <v>0.0</v>
      </c>
      <c r="CF109" s="11"/>
      <c r="CG109" s="11" t="s">
        <v>411</v>
      </c>
      <c r="CH109" s="11">
        <v>0.0</v>
      </c>
      <c r="CI109" s="11">
        <v>0.0</v>
      </c>
      <c r="CJ109" s="11">
        <v>0.0</v>
      </c>
      <c r="CK109" s="11"/>
      <c r="CL109" s="40" t="s">
        <v>530</v>
      </c>
      <c r="CM109" s="40"/>
      <c r="CN109" s="40"/>
      <c r="CO109" s="40"/>
      <c r="CP109" s="40" t="s">
        <v>397</v>
      </c>
      <c r="CQ109" s="40"/>
      <c r="CR109" s="40"/>
      <c r="CS109" s="40"/>
      <c r="CT109" s="40"/>
      <c r="CU109" s="40"/>
      <c r="CV109" s="11"/>
      <c r="CW109" s="11"/>
      <c r="CX109" s="11"/>
      <c r="CY109" s="11"/>
      <c r="C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 t="s">
        <v>624</v>
      </c>
      <c r="J110" s="11">
        <v>0.0</v>
      </c>
      <c r="K110" s="11">
        <v>17283.0</v>
      </c>
      <c r="L110" s="11">
        <v>27993.0</v>
      </c>
      <c r="M110" s="11">
        <v>35284.999</v>
      </c>
      <c r="N110" s="11">
        <v>27734.63</v>
      </c>
      <c r="O110" s="11">
        <v>30522.469</v>
      </c>
      <c r="P110" s="11"/>
      <c r="Q110" s="11"/>
      <c r="R110" s="11"/>
      <c r="S110" s="11"/>
      <c r="T110" s="11"/>
      <c r="U110" s="11"/>
      <c r="V110" s="11"/>
      <c r="W110" s="11"/>
      <c r="X110" s="11"/>
      <c r="Y110" s="11" t="s">
        <v>696</v>
      </c>
      <c r="Z110" s="11">
        <v>0.0</v>
      </c>
      <c r="AA110" s="11">
        <v>0.0</v>
      </c>
      <c r="AB110" s="11">
        <v>0.0</v>
      </c>
      <c r="AC110" s="11">
        <v>0.0</v>
      </c>
      <c r="AD110" s="11">
        <v>0.0</v>
      </c>
      <c r="AE110" s="11">
        <v>15583.591</v>
      </c>
      <c r="AF110" s="11"/>
      <c r="AG110" s="11" t="s">
        <v>872</v>
      </c>
      <c r="AH110" s="53">
        <v>2019.0</v>
      </c>
      <c r="AI110" s="53">
        <v>2020.0</v>
      </c>
      <c r="AJ110" s="53">
        <v>2021.0</v>
      </c>
      <c r="AK110" s="53">
        <v>2022.0</v>
      </c>
      <c r="AL110" s="53">
        <v>2023.0</v>
      </c>
      <c r="AM110" s="53">
        <v>2024.0</v>
      </c>
      <c r="AN110" s="11"/>
      <c r="AO110" s="11" t="s">
        <v>397</v>
      </c>
      <c r="AP110" s="11"/>
      <c r="AQ110" s="11"/>
      <c r="AR110" s="11"/>
      <c r="AS110" s="11"/>
      <c r="AT110" s="11" t="s">
        <v>411</v>
      </c>
      <c r="AU110" s="11">
        <v>0.0</v>
      </c>
      <c r="AV110" s="11">
        <v>0.0</v>
      </c>
      <c r="AW110" s="11">
        <v>0.0</v>
      </c>
      <c r="AX110" s="11"/>
      <c r="AY110" s="11" t="s">
        <v>411</v>
      </c>
      <c r="AZ110" s="11">
        <v>0.0</v>
      </c>
      <c r="BA110" s="11">
        <v>0.0</v>
      </c>
      <c r="BB110" s="11">
        <v>0.0</v>
      </c>
      <c r="BC110" s="11">
        <v>0.0</v>
      </c>
      <c r="BD110" s="11"/>
      <c r="BE110" s="40"/>
      <c r="BF110" s="11"/>
      <c r="BG110" s="11"/>
      <c r="BH110" s="11"/>
      <c r="BI110" s="11"/>
      <c r="BJ110" s="11" t="s">
        <v>411</v>
      </c>
      <c r="BK110" s="11">
        <v>9850.826000000001</v>
      </c>
      <c r="BL110" s="11">
        <v>24904.835</v>
      </c>
      <c r="BM110" s="11">
        <v>32009.357</v>
      </c>
      <c r="BN110" s="11"/>
      <c r="BO110" s="11" t="s">
        <v>411</v>
      </c>
      <c r="BP110" s="11">
        <v>0.0</v>
      </c>
      <c r="BQ110" s="11">
        <v>0.0</v>
      </c>
      <c r="BR110" s="11">
        <v>0.0</v>
      </c>
      <c r="BS110" s="11">
        <v>0.0</v>
      </c>
      <c r="BT110" s="11">
        <v>0.0</v>
      </c>
      <c r="BU110" s="11"/>
      <c r="BV110" s="11" t="s">
        <v>873</v>
      </c>
      <c r="BW110" s="11">
        <v>7138.738</v>
      </c>
      <c r="BX110" s="11">
        <v>14307.158</v>
      </c>
      <c r="BY110" s="11">
        <v>19222.509</v>
      </c>
      <c r="BZ110" s="11"/>
      <c r="CA110" s="11"/>
      <c r="CB110" s="11" t="s">
        <v>861</v>
      </c>
      <c r="CC110" s="11"/>
      <c r="CD110" s="11">
        <v>30086.461</v>
      </c>
      <c r="CE110" s="11">
        <v>12114.224</v>
      </c>
      <c r="CF110" s="11"/>
      <c r="CG110" s="11"/>
      <c r="CH110" s="11"/>
      <c r="CI110" s="11"/>
      <c r="CJ110" s="11"/>
      <c r="CK110" s="53"/>
      <c r="CL110" s="40" t="s">
        <v>411</v>
      </c>
      <c r="CM110" s="43">
        <v>0.0</v>
      </c>
      <c r="CN110" s="43">
        <v>0.0</v>
      </c>
      <c r="CO110" s="40"/>
      <c r="CP110" s="40" t="s">
        <v>281</v>
      </c>
      <c r="CQ110" s="46" t="s">
        <v>17</v>
      </c>
      <c r="CR110" s="46" t="s">
        <v>18</v>
      </c>
      <c r="CS110" s="46" t="s">
        <v>19</v>
      </c>
      <c r="CT110" s="46" t="s">
        <v>20</v>
      </c>
      <c r="CU110" s="46" t="s">
        <v>21</v>
      </c>
      <c r="CV110" s="53"/>
      <c r="CW110" s="53"/>
      <c r="CX110" s="53"/>
      <c r="CY110" s="53"/>
      <c r="CZ110" s="53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 t="s">
        <v>329</v>
      </c>
      <c r="R111" s="53">
        <v>2019.0</v>
      </c>
      <c r="S111" s="53">
        <v>2020.0</v>
      </c>
      <c r="T111" s="53">
        <v>2021.0</v>
      </c>
      <c r="U111" s="53">
        <v>2022.0</v>
      </c>
      <c r="V111" s="53">
        <v>2023.0</v>
      </c>
      <c r="W111" s="53">
        <v>2024.0</v>
      </c>
      <c r="X111" s="11"/>
      <c r="Y111" s="11"/>
      <c r="Z111" s="11"/>
      <c r="AA111" s="11"/>
      <c r="AB111" s="11"/>
      <c r="AC111" s="11"/>
      <c r="AD111" s="11"/>
      <c r="AE111" s="11"/>
      <c r="AF111" s="11"/>
      <c r="AG111" s="11" t="s">
        <v>872</v>
      </c>
      <c r="AH111" s="11"/>
      <c r="AI111" s="11"/>
      <c r="AJ111" s="11"/>
      <c r="AK111" s="11">
        <v>2685.732</v>
      </c>
      <c r="AL111" s="11">
        <v>2686.578</v>
      </c>
      <c r="AM111" s="11">
        <v>2729.234</v>
      </c>
      <c r="AN111" s="11"/>
      <c r="AO111" s="11" t="s">
        <v>304</v>
      </c>
      <c r="AP111" s="53">
        <v>0.0</v>
      </c>
      <c r="AQ111" s="53">
        <v>0.0</v>
      </c>
      <c r="AR111" s="11" t="e">
        <v>#REF!</v>
      </c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40" t="s">
        <v>397</v>
      </c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 t="s">
        <v>874</v>
      </c>
      <c r="BW111" s="11">
        <v>31879.156</v>
      </c>
      <c r="BX111" s="11">
        <v>11616.767</v>
      </c>
      <c r="BY111" s="11">
        <v>13748.397</v>
      </c>
      <c r="BZ111" s="11"/>
      <c r="CA111" s="11"/>
      <c r="CB111" s="11" t="s">
        <v>281</v>
      </c>
      <c r="CC111" s="11">
        <v>6544.386</v>
      </c>
      <c r="CD111" s="11">
        <v>11997.857</v>
      </c>
      <c r="CE111" s="11">
        <v>10795.872</v>
      </c>
      <c r="CF111" s="11"/>
      <c r="CG111" s="11" t="s">
        <v>730</v>
      </c>
      <c r="CH111" s="11"/>
      <c r="CI111" s="11"/>
      <c r="CJ111" s="11"/>
      <c r="CK111" s="11"/>
      <c r="CL111" s="40"/>
      <c r="CM111" s="40"/>
      <c r="CN111" s="40"/>
      <c r="CO111" s="40"/>
      <c r="CP111" s="40" t="s">
        <v>875</v>
      </c>
      <c r="CQ111" s="43">
        <v>605.509</v>
      </c>
      <c r="CR111" s="43">
        <v>906.862</v>
      </c>
      <c r="CS111" s="40"/>
      <c r="CT111" s="40"/>
      <c r="CU111" s="40"/>
      <c r="CV111" s="11"/>
      <c r="CW111" s="11"/>
      <c r="CX111" s="11"/>
      <c r="CY111" s="11"/>
      <c r="C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 t="s">
        <v>281</v>
      </c>
      <c r="J112" s="53">
        <v>2019.0</v>
      </c>
      <c r="K112" s="53">
        <v>2020.0</v>
      </c>
      <c r="L112" s="53">
        <v>2021.0</v>
      </c>
      <c r="M112" s="53">
        <v>2022.0</v>
      </c>
      <c r="N112" s="53">
        <v>2023.0</v>
      </c>
      <c r="O112" s="53">
        <v>2024.0</v>
      </c>
      <c r="P112" s="11"/>
      <c r="Q112" s="11" t="s">
        <v>329</v>
      </c>
      <c r="R112" s="11"/>
      <c r="S112" s="11"/>
      <c r="T112" s="11">
        <v>13340.809</v>
      </c>
      <c r="U112" s="11">
        <v>10988.769</v>
      </c>
      <c r="V112" s="11">
        <v>10370.768</v>
      </c>
      <c r="W112" s="11">
        <v>11777.515</v>
      </c>
      <c r="X112" s="11"/>
      <c r="Y112" s="11" t="s">
        <v>329</v>
      </c>
      <c r="Z112" s="53">
        <v>2019.0</v>
      </c>
      <c r="AA112" s="53">
        <v>2020.0</v>
      </c>
      <c r="AB112" s="53">
        <v>2021.0</v>
      </c>
      <c r="AC112" s="53">
        <v>2022.0</v>
      </c>
      <c r="AD112" s="53">
        <v>2023.0</v>
      </c>
      <c r="AE112" s="53">
        <v>2024.0</v>
      </c>
      <c r="AF112" s="11"/>
      <c r="AG112" s="11" t="s">
        <v>876</v>
      </c>
      <c r="AH112" s="11">
        <v>0.0</v>
      </c>
      <c r="AI112" s="11">
        <v>0.0</v>
      </c>
      <c r="AJ112" s="11">
        <v>0.0</v>
      </c>
      <c r="AK112" s="11">
        <v>2685.732</v>
      </c>
      <c r="AL112" s="11">
        <v>2686.578</v>
      </c>
      <c r="AM112" s="11">
        <v>2729.234</v>
      </c>
      <c r="AN112" s="11"/>
      <c r="AO112" s="11" t="s">
        <v>411</v>
      </c>
      <c r="AP112" s="11">
        <v>0.0</v>
      </c>
      <c r="AQ112" s="11">
        <v>0.0</v>
      </c>
      <c r="AR112" s="11">
        <v>0.0</v>
      </c>
      <c r="AS112" s="11"/>
      <c r="AT112" s="11" t="s">
        <v>802</v>
      </c>
      <c r="AU112" s="11"/>
      <c r="AV112" s="11"/>
      <c r="AW112" s="11"/>
      <c r="AX112" s="11"/>
      <c r="AY112" s="11" t="s">
        <v>730</v>
      </c>
      <c r="AZ112" s="11"/>
      <c r="BA112" s="11"/>
      <c r="BB112" s="11"/>
      <c r="BC112" s="11"/>
      <c r="BD112" s="11"/>
      <c r="BE112" s="40" t="s">
        <v>835</v>
      </c>
      <c r="BF112" s="53">
        <v>0.0</v>
      </c>
      <c r="BG112" s="53">
        <v>0.0</v>
      </c>
      <c r="BH112" s="53">
        <v>0.0</v>
      </c>
      <c r="BI112" s="11"/>
      <c r="BJ112" s="11" t="s">
        <v>271</v>
      </c>
      <c r="BK112" s="11"/>
      <c r="BL112" s="11"/>
      <c r="BM112" s="11"/>
      <c r="BN112" s="11"/>
      <c r="BO112" s="11" t="s">
        <v>397</v>
      </c>
      <c r="BP112" s="11"/>
      <c r="BQ112" s="11"/>
      <c r="BR112" s="11"/>
      <c r="BS112" s="11"/>
      <c r="BT112" s="11"/>
      <c r="BU112" s="11"/>
      <c r="BV112" s="11" t="s">
        <v>877</v>
      </c>
      <c r="BW112" s="11">
        <v>5655.87</v>
      </c>
      <c r="BX112" s="11">
        <v>6188.715</v>
      </c>
      <c r="BY112" s="11">
        <v>6668.826</v>
      </c>
      <c r="BZ112" s="11">
        <v>7106.09346</v>
      </c>
      <c r="CA112" s="11"/>
      <c r="CB112" s="11" t="s">
        <v>878</v>
      </c>
      <c r="CC112" s="11"/>
      <c r="CD112" s="11">
        <v>7.925</v>
      </c>
      <c r="CE112" s="11">
        <v>1309.823</v>
      </c>
      <c r="CF112" s="11"/>
      <c r="CG112" s="11" t="s">
        <v>397</v>
      </c>
      <c r="CH112" s="11"/>
      <c r="CI112" s="11"/>
      <c r="CJ112" s="11"/>
      <c r="CK112" s="11"/>
      <c r="CL112" s="40" t="s">
        <v>397</v>
      </c>
      <c r="CM112" s="40"/>
      <c r="CN112" s="40"/>
      <c r="CO112" s="40"/>
      <c r="CP112" s="40" t="s">
        <v>879</v>
      </c>
      <c r="CQ112" s="43">
        <v>232.939</v>
      </c>
      <c r="CR112" s="43">
        <v>70.211</v>
      </c>
      <c r="CS112" s="43">
        <v>531.19167</v>
      </c>
      <c r="CT112" s="43">
        <v>120.08196</v>
      </c>
      <c r="CU112" s="43">
        <v>120.08196</v>
      </c>
      <c r="CV112" s="11"/>
      <c r="CW112" s="11"/>
      <c r="CX112" s="11"/>
      <c r="CY112" s="11"/>
      <c r="C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 t="s">
        <v>737</v>
      </c>
      <c r="J113" s="11"/>
      <c r="K113" s="11">
        <v>0.0</v>
      </c>
      <c r="L113" s="11">
        <v>12928.0</v>
      </c>
      <c r="M113" s="11"/>
      <c r="N113" s="11"/>
      <c r="O113" s="11"/>
      <c r="P113" s="11"/>
      <c r="Q113" s="11" t="s">
        <v>880</v>
      </c>
      <c r="R113" s="11">
        <v>0.0</v>
      </c>
      <c r="S113" s="11">
        <v>0.0</v>
      </c>
      <c r="T113" s="11">
        <v>13340.809</v>
      </c>
      <c r="U113" s="11">
        <v>10988.769</v>
      </c>
      <c r="V113" s="11">
        <v>10370.768</v>
      </c>
      <c r="W113" s="11">
        <v>11777.515</v>
      </c>
      <c r="X113" s="11"/>
      <c r="Y113" s="11" t="s">
        <v>880</v>
      </c>
      <c r="Z113" s="11">
        <v>0.0</v>
      </c>
      <c r="AA113" s="11">
        <v>0.0</v>
      </c>
      <c r="AB113" s="11">
        <v>0.0</v>
      </c>
      <c r="AC113" s="11">
        <v>0.0</v>
      </c>
      <c r="AD113" s="11">
        <v>0.0</v>
      </c>
      <c r="AE113" s="11">
        <v>0.0</v>
      </c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 t="s">
        <v>397</v>
      </c>
      <c r="AU113" s="11"/>
      <c r="AV113" s="11"/>
      <c r="AW113" s="11"/>
      <c r="AX113" s="11"/>
      <c r="AY113" s="11" t="s">
        <v>397</v>
      </c>
      <c r="AZ113" s="11"/>
      <c r="BA113" s="11"/>
      <c r="BB113" s="11"/>
      <c r="BC113" s="11"/>
      <c r="BD113" s="11"/>
      <c r="BE113" s="40" t="s">
        <v>835</v>
      </c>
      <c r="BF113" s="11">
        <v>172.436</v>
      </c>
      <c r="BG113" s="11">
        <v>152.251</v>
      </c>
      <c r="BH113" s="11">
        <v>332.598</v>
      </c>
      <c r="BI113" s="11"/>
      <c r="BJ113" s="11" t="s">
        <v>397</v>
      </c>
      <c r="BK113" s="11"/>
      <c r="BL113" s="11"/>
      <c r="BM113" s="11"/>
      <c r="BN113" s="11"/>
      <c r="BO113" s="11" t="s">
        <v>281</v>
      </c>
      <c r="BP113" s="53">
        <v>0.0</v>
      </c>
      <c r="BQ113" s="53">
        <v>0.0</v>
      </c>
      <c r="BR113" s="53">
        <v>0.0</v>
      </c>
      <c r="BS113" s="53">
        <v>0.0</v>
      </c>
      <c r="BT113" s="53">
        <v>0.0</v>
      </c>
      <c r="BU113" s="11"/>
      <c r="BV113" s="11" t="s">
        <v>881</v>
      </c>
      <c r="BW113" s="11">
        <v>6748.294</v>
      </c>
      <c r="BX113" s="11">
        <v>4562.712</v>
      </c>
      <c r="BY113" s="11">
        <v>5885.48</v>
      </c>
      <c r="BZ113" s="11">
        <v>4795.43345</v>
      </c>
      <c r="CA113" s="11"/>
      <c r="CB113" s="11" t="s">
        <v>882</v>
      </c>
      <c r="CC113" s="11"/>
      <c r="CD113" s="11"/>
      <c r="CE113" s="11">
        <v>55.821</v>
      </c>
      <c r="CF113" s="11"/>
      <c r="CG113" s="11" t="s">
        <v>67</v>
      </c>
      <c r="CH113" s="53">
        <v>0.0</v>
      </c>
      <c r="CI113" s="53">
        <v>0.0</v>
      </c>
      <c r="CJ113" s="53">
        <v>0.0</v>
      </c>
      <c r="CK113" s="11"/>
      <c r="CL113" s="40" t="s">
        <v>281</v>
      </c>
      <c r="CM113" s="46" t="s">
        <v>18</v>
      </c>
      <c r="CN113" s="46" t="s">
        <v>19</v>
      </c>
      <c r="CO113" s="40"/>
      <c r="CP113" s="40" t="s">
        <v>883</v>
      </c>
      <c r="CQ113" s="43">
        <v>768.328</v>
      </c>
      <c r="CR113" s="43">
        <v>1489.546</v>
      </c>
      <c r="CS113" s="43">
        <v>2038.52963</v>
      </c>
      <c r="CT113" s="43">
        <v>823.40018</v>
      </c>
      <c r="CU113" s="40"/>
      <c r="CV113" s="11"/>
      <c r="CW113" s="11"/>
      <c r="CX113" s="11"/>
      <c r="CY113" s="11"/>
      <c r="C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 t="s">
        <v>884</v>
      </c>
      <c r="J114" s="11"/>
      <c r="K114" s="11">
        <v>7804.0</v>
      </c>
      <c r="L114" s="11">
        <v>5176.0</v>
      </c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 t="s">
        <v>772</v>
      </c>
      <c r="AH114" s="53">
        <v>2019.0</v>
      </c>
      <c r="AI114" s="53">
        <v>2020.0</v>
      </c>
      <c r="AJ114" s="53">
        <v>2021.0</v>
      </c>
      <c r="AK114" s="53">
        <v>2022.0</v>
      </c>
      <c r="AL114" s="53">
        <v>2023.0</v>
      </c>
      <c r="AM114" s="53">
        <v>2024.0</v>
      </c>
      <c r="AN114" s="11"/>
      <c r="AO114" s="11" t="s">
        <v>331</v>
      </c>
      <c r="AP114" s="11"/>
      <c r="AQ114" s="11"/>
      <c r="AR114" s="11"/>
      <c r="AS114" s="11"/>
      <c r="AT114" s="11" t="s">
        <v>304</v>
      </c>
      <c r="AU114" s="53">
        <v>0.0</v>
      </c>
      <c r="AV114" s="53">
        <v>0.0</v>
      </c>
      <c r="AW114" s="11" t="e">
        <v>#REF!</v>
      </c>
      <c r="AX114" s="11"/>
      <c r="AY114" s="11" t="s">
        <v>67</v>
      </c>
      <c r="AZ114" s="53">
        <v>0.0</v>
      </c>
      <c r="BA114" s="53">
        <v>0.0</v>
      </c>
      <c r="BB114" s="53">
        <v>0.0</v>
      </c>
      <c r="BC114" s="53">
        <v>0.0</v>
      </c>
      <c r="BD114" s="11"/>
      <c r="BE114" s="40" t="s">
        <v>411</v>
      </c>
      <c r="BF114" s="11">
        <v>172.436</v>
      </c>
      <c r="BG114" s="11">
        <v>152.251</v>
      </c>
      <c r="BH114" s="11">
        <v>332.598</v>
      </c>
      <c r="BI114" s="11"/>
      <c r="BJ114" s="11" t="s">
        <v>885</v>
      </c>
      <c r="BK114" s="53">
        <v>0.0</v>
      </c>
      <c r="BL114" s="53">
        <v>0.0</v>
      </c>
      <c r="BM114" s="53">
        <v>0.0</v>
      </c>
      <c r="BN114" s="11"/>
      <c r="BO114" s="11" t="s">
        <v>886</v>
      </c>
      <c r="BP114" s="11"/>
      <c r="BQ114" s="11"/>
      <c r="BR114" s="11">
        <v>5.71517</v>
      </c>
      <c r="BS114" s="11"/>
      <c r="BT114" s="11"/>
      <c r="BU114" s="11"/>
      <c r="BV114" s="11" t="s">
        <v>887</v>
      </c>
      <c r="BW114" s="11">
        <v>4016.545</v>
      </c>
      <c r="BX114" s="11">
        <v>3992.543</v>
      </c>
      <c r="BY114" s="11">
        <v>3817.198</v>
      </c>
      <c r="BZ114" s="11">
        <v>3742.23987</v>
      </c>
      <c r="CA114" s="11"/>
      <c r="CB114" s="11" t="s">
        <v>888</v>
      </c>
      <c r="CC114" s="11">
        <v>3060.766</v>
      </c>
      <c r="CD114" s="11">
        <v>2840.696</v>
      </c>
      <c r="CE114" s="11">
        <v>2594.409</v>
      </c>
      <c r="CF114" s="11"/>
      <c r="CG114" s="11" t="s">
        <v>411</v>
      </c>
      <c r="CH114" s="11">
        <v>0.0</v>
      </c>
      <c r="CI114" s="11">
        <v>0.0</v>
      </c>
      <c r="CJ114" s="11">
        <v>0.0</v>
      </c>
      <c r="CK114" s="11"/>
      <c r="CL114" s="40" t="s">
        <v>875</v>
      </c>
      <c r="CM114" s="40"/>
      <c r="CN114" s="40"/>
      <c r="CO114" s="40"/>
      <c r="CP114" s="40" t="s">
        <v>889</v>
      </c>
      <c r="CQ114" s="40"/>
      <c r="CR114" s="40"/>
      <c r="CS114" s="40"/>
      <c r="CT114" s="43">
        <v>20.42171</v>
      </c>
      <c r="CU114" s="43">
        <v>8.46261</v>
      </c>
      <c r="CV114" s="11"/>
      <c r="CW114" s="11"/>
      <c r="CX114" s="11"/>
      <c r="CY114" s="11"/>
      <c r="C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 t="s">
        <v>741</v>
      </c>
      <c r="J115" s="11"/>
      <c r="K115" s="11">
        <v>2086.0</v>
      </c>
      <c r="L115" s="11">
        <v>4113.0</v>
      </c>
      <c r="M115" s="11"/>
      <c r="N115" s="11"/>
      <c r="O115" s="11"/>
      <c r="P115" s="11"/>
      <c r="Q115" s="11" t="s">
        <v>890</v>
      </c>
      <c r="R115" s="53">
        <v>2019.0</v>
      </c>
      <c r="S115" s="53">
        <v>2020.0</v>
      </c>
      <c r="T115" s="53">
        <v>2021.0</v>
      </c>
      <c r="U115" s="53">
        <v>2022.0</v>
      </c>
      <c r="V115" s="53">
        <v>2023.0</v>
      </c>
      <c r="W115" s="53">
        <v>2024.0</v>
      </c>
      <c r="X115" s="11"/>
      <c r="Y115" s="11" t="s">
        <v>824</v>
      </c>
      <c r="Z115" s="53">
        <v>2019.0</v>
      </c>
      <c r="AA115" s="53">
        <v>2020.0</v>
      </c>
      <c r="AB115" s="53">
        <v>2021.0</v>
      </c>
      <c r="AC115" s="53">
        <v>2022.0</v>
      </c>
      <c r="AD115" s="53">
        <v>2023.0</v>
      </c>
      <c r="AE115" s="53">
        <v>2024.0</v>
      </c>
      <c r="AF115" s="11"/>
      <c r="AG115" s="11" t="s">
        <v>772</v>
      </c>
      <c r="AH115" s="11"/>
      <c r="AI115" s="11"/>
      <c r="AJ115" s="11"/>
      <c r="AK115" s="11">
        <v>4964.617</v>
      </c>
      <c r="AL115" s="11">
        <v>6716.534</v>
      </c>
      <c r="AM115" s="11">
        <v>7394.33</v>
      </c>
      <c r="AN115" s="11"/>
      <c r="AO115" s="11" t="s">
        <v>397</v>
      </c>
      <c r="AP115" s="11"/>
      <c r="AQ115" s="11"/>
      <c r="AR115" s="11"/>
      <c r="AS115" s="11"/>
      <c r="AT115" s="11" t="s">
        <v>411</v>
      </c>
      <c r="AU115" s="11">
        <v>0.0</v>
      </c>
      <c r="AV115" s="11">
        <v>0.0</v>
      </c>
      <c r="AW115" s="11">
        <v>0.0</v>
      </c>
      <c r="AX115" s="11"/>
      <c r="AY115" s="11" t="s">
        <v>411</v>
      </c>
      <c r="AZ115" s="11">
        <v>0.0</v>
      </c>
      <c r="BA115" s="11">
        <v>0.0</v>
      </c>
      <c r="BB115" s="11">
        <v>0.0</v>
      </c>
      <c r="BC115" s="11">
        <v>0.0</v>
      </c>
      <c r="BD115" s="11"/>
      <c r="BE115" s="40"/>
      <c r="BF115" s="11"/>
      <c r="BG115" s="11"/>
      <c r="BH115" s="11"/>
      <c r="BI115" s="11"/>
      <c r="BJ115" s="11" t="s">
        <v>33</v>
      </c>
      <c r="BK115" s="11">
        <v>14960.26</v>
      </c>
      <c r="BL115" s="11">
        <v>29345.3</v>
      </c>
      <c r="BM115" s="11">
        <v>66146.824</v>
      </c>
      <c r="BN115" s="11"/>
      <c r="BO115" s="11" t="s">
        <v>411</v>
      </c>
      <c r="BP115" s="11">
        <v>0.0</v>
      </c>
      <c r="BQ115" s="11">
        <v>0.0</v>
      </c>
      <c r="BR115" s="11">
        <v>5.71517</v>
      </c>
      <c r="BS115" s="11">
        <v>0.0</v>
      </c>
      <c r="BT115" s="11">
        <v>0.0</v>
      </c>
      <c r="BU115" s="11"/>
      <c r="BV115" s="11" t="s">
        <v>891</v>
      </c>
      <c r="BW115" s="11">
        <v>2265.253</v>
      </c>
      <c r="BX115" s="11">
        <v>3850.609</v>
      </c>
      <c r="BY115" s="11">
        <v>3695.081</v>
      </c>
      <c r="BZ115" s="11"/>
      <c r="CA115" s="11"/>
      <c r="CB115" s="11" t="s">
        <v>892</v>
      </c>
      <c r="CC115" s="11">
        <v>1454.275</v>
      </c>
      <c r="CD115" s="11">
        <v>1134.506</v>
      </c>
      <c r="CE115" s="11">
        <v>914.703</v>
      </c>
      <c r="CF115" s="11"/>
      <c r="CG115" s="11"/>
      <c r="CH115" s="11"/>
      <c r="CI115" s="11"/>
      <c r="CJ115" s="11"/>
      <c r="CK115" s="53"/>
      <c r="CL115" s="40" t="s">
        <v>879</v>
      </c>
      <c r="CM115" s="40"/>
      <c r="CN115" s="43">
        <v>143.00362</v>
      </c>
      <c r="CO115" s="40"/>
      <c r="CP115" s="40" t="s">
        <v>893</v>
      </c>
      <c r="CQ115" s="40"/>
      <c r="CR115" s="40"/>
      <c r="CS115" s="40"/>
      <c r="CT115" s="43">
        <v>7.78506</v>
      </c>
      <c r="CU115" s="43">
        <v>22.18147</v>
      </c>
      <c r="CV115" s="53"/>
      <c r="CW115" s="53"/>
      <c r="CX115" s="53"/>
      <c r="CY115" s="53"/>
      <c r="CZ115" s="53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 t="s">
        <v>745</v>
      </c>
      <c r="J116" s="11"/>
      <c r="K116" s="11">
        <v>1908.0</v>
      </c>
      <c r="L116" s="11">
        <v>1267.0</v>
      </c>
      <c r="M116" s="11">
        <v>5736.331</v>
      </c>
      <c r="N116" s="11">
        <v>3231.082</v>
      </c>
      <c r="O116" s="11"/>
      <c r="P116" s="11"/>
      <c r="Q116" s="11" t="s">
        <v>890</v>
      </c>
      <c r="R116" s="11"/>
      <c r="S116" s="11"/>
      <c r="T116" s="11">
        <v>7242.997</v>
      </c>
      <c r="U116" s="11">
        <v>1151.796</v>
      </c>
      <c r="V116" s="11">
        <v>2794.944</v>
      </c>
      <c r="W116" s="11">
        <v>2096.878</v>
      </c>
      <c r="X116" s="11"/>
      <c r="Y116" s="11" t="s">
        <v>894</v>
      </c>
      <c r="Z116" s="11">
        <v>0.0</v>
      </c>
      <c r="AA116" s="11">
        <v>0.0</v>
      </c>
      <c r="AB116" s="11">
        <v>0.0</v>
      </c>
      <c r="AC116" s="11">
        <v>0.0</v>
      </c>
      <c r="AD116" s="11">
        <v>0.0</v>
      </c>
      <c r="AE116" s="11">
        <v>0.0</v>
      </c>
      <c r="AF116" s="11"/>
      <c r="AG116" s="11" t="s">
        <v>778</v>
      </c>
      <c r="AH116" s="11">
        <v>0.0</v>
      </c>
      <c r="AI116" s="11">
        <v>0.0</v>
      </c>
      <c r="AJ116" s="11">
        <v>0.0</v>
      </c>
      <c r="AK116" s="11">
        <v>4964.617</v>
      </c>
      <c r="AL116" s="11">
        <v>6716.534</v>
      </c>
      <c r="AM116" s="11">
        <v>7394.33</v>
      </c>
      <c r="AN116" s="11"/>
      <c r="AO116" s="11" t="s">
        <v>715</v>
      </c>
      <c r="AP116" s="53">
        <v>0.0</v>
      </c>
      <c r="AQ116" s="53">
        <v>0.0</v>
      </c>
      <c r="AR116" s="53">
        <v>0.0</v>
      </c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40" t="s">
        <v>845</v>
      </c>
      <c r="BF116" s="11"/>
      <c r="BG116" s="11"/>
      <c r="BH116" s="11"/>
      <c r="BI116" s="11"/>
      <c r="BJ116" s="11" t="s">
        <v>501</v>
      </c>
      <c r="BK116" s="11">
        <v>1893.71</v>
      </c>
      <c r="BL116" s="11">
        <v>9302.797</v>
      </c>
      <c r="BM116" s="11">
        <v>6283.535</v>
      </c>
      <c r="BN116" s="11"/>
      <c r="BO116" s="11"/>
      <c r="BP116" s="11"/>
      <c r="BQ116" s="11"/>
      <c r="BR116" s="11"/>
      <c r="BS116" s="11"/>
      <c r="BT116" s="11"/>
      <c r="BU116" s="11"/>
      <c r="BV116" s="11" t="s">
        <v>895</v>
      </c>
      <c r="BW116" s="11">
        <v>1812.977</v>
      </c>
      <c r="BX116" s="11">
        <v>3490.422</v>
      </c>
      <c r="BY116" s="11">
        <v>108.732</v>
      </c>
      <c r="BZ116" s="11"/>
      <c r="CA116" s="11"/>
      <c r="CB116" s="11" t="s">
        <v>875</v>
      </c>
      <c r="CC116" s="11"/>
      <c r="CD116" s="11"/>
      <c r="CE116" s="11"/>
      <c r="CF116" s="11"/>
      <c r="CG116" s="11" t="s">
        <v>267</v>
      </c>
      <c r="CH116" s="11"/>
      <c r="CI116" s="11"/>
      <c r="CJ116" s="11"/>
      <c r="CK116" s="11"/>
      <c r="CL116" s="40" t="s">
        <v>883</v>
      </c>
      <c r="CM116" s="40"/>
      <c r="CN116" s="40"/>
      <c r="CO116" s="40"/>
      <c r="CP116" s="40" t="s">
        <v>896</v>
      </c>
      <c r="CQ116" s="40"/>
      <c r="CR116" s="40"/>
      <c r="CS116" s="43">
        <v>21.76077</v>
      </c>
      <c r="CT116" s="43">
        <v>36.01964</v>
      </c>
      <c r="CU116" s="43">
        <v>36.01964</v>
      </c>
      <c r="CV116" s="11"/>
      <c r="CW116" s="11"/>
      <c r="CX116" s="11"/>
      <c r="CY116" s="11"/>
      <c r="C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 t="s">
        <v>897</v>
      </c>
      <c r="J117" s="11"/>
      <c r="K117" s="11">
        <v>344.0</v>
      </c>
      <c r="L117" s="11">
        <v>771.0</v>
      </c>
      <c r="M117" s="11"/>
      <c r="N117" s="11"/>
      <c r="O117" s="11"/>
      <c r="P117" s="11"/>
      <c r="Q117" s="11" t="s">
        <v>898</v>
      </c>
      <c r="R117" s="11">
        <v>0.0</v>
      </c>
      <c r="S117" s="11">
        <v>0.0</v>
      </c>
      <c r="T117" s="11">
        <v>7242.997</v>
      </c>
      <c r="U117" s="11">
        <v>1151.796</v>
      </c>
      <c r="V117" s="11">
        <v>2794.944</v>
      </c>
      <c r="W117" s="11">
        <v>2096.878</v>
      </c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 t="s">
        <v>332</v>
      </c>
      <c r="AP117" s="11">
        <v>2000.0</v>
      </c>
      <c r="AQ117" s="11">
        <v>2000.0</v>
      </c>
      <c r="AR117" s="11">
        <v>2000.0</v>
      </c>
      <c r="AS117" s="11"/>
      <c r="AT117" s="11" t="s">
        <v>331</v>
      </c>
      <c r="AU117" s="11"/>
      <c r="AV117" s="11"/>
      <c r="AW117" s="11"/>
      <c r="AX117" s="11"/>
      <c r="AY117" s="11" t="s">
        <v>267</v>
      </c>
      <c r="AZ117" s="11"/>
      <c r="BA117" s="11"/>
      <c r="BB117" s="11"/>
      <c r="BC117" s="11"/>
      <c r="BD117" s="11"/>
      <c r="BE117" s="40" t="s">
        <v>397</v>
      </c>
      <c r="BF117" s="11"/>
      <c r="BG117" s="11"/>
      <c r="BH117" s="11"/>
      <c r="BI117" s="11"/>
      <c r="BJ117" s="11" t="s">
        <v>517</v>
      </c>
      <c r="BK117" s="11"/>
      <c r="BL117" s="11"/>
      <c r="BM117" s="11">
        <v>1007.469</v>
      </c>
      <c r="BN117" s="11"/>
      <c r="BO117" s="11" t="s">
        <v>271</v>
      </c>
      <c r="BP117" s="11"/>
      <c r="BQ117" s="11"/>
      <c r="BR117" s="11"/>
      <c r="BS117" s="11"/>
      <c r="BT117" s="11"/>
      <c r="BU117" s="11"/>
      <c r="BV117" s="11" t="s">
        <v>899</v>
      </c>
      <c r="BW117" s="11">
        <v>2551.897</v>
      </c>
      <c r="BX117" s="11">
        <v>3460.826</v>
      </c>
      <c r="BY117" s="11">
        <v>3693.994</v>
      </c>
      <c r="BZ117" s="11">
        <v>2741.87091</v>
      </c>
      <c r="CA117" s="11"/>
      <c r="CB117" s="11" t="s">
        <v>900</v>
      </c>
      <c r="CC117" s="11">
        <v>15000.0</v>
      </c>
      <c r="CD117" s="11">
        <v>62700.0</v>
      </c>
      <c r="CE117" s="11">
        <v>74662.5</v>
      </c>
      <c r="CF117" s="11"/>
      <c r="CG117" s="11" t="s">
        <v>397</v>
      </c>
      <c r="CH117" s="11"/>
      <c r="CI117" s="11"/>
      <c r="CJ117" s="11"/>
      <c r="CK117" s="11"/>
      <c r="CL117" s="40" t="s">
        <v>901</v>
      </c>
      <c r="CM117" s="40"/>
      <c r="CN117" s="43">
        <v>3.67106</v>
      </c>
      <c r="CO117" s="40"/>
      <c r="CP117" s="40" t="s">
        <v>411</v>
      </c>
      <c r="CQ117" s="43">
        <v>1606.776</v>
      </c>
      <c r="CR117" s="43">
        <v>2466.619</v>
      </c>
      <c r="CS117" s="43">
        <v>2591.48207</v>
      </c>
      <c r="CT117" s="43">
        <v>1007.70855</v>
      </c>
      <c r="CU117" s="43">
        <v>186.74568</v>
      </c>
      <c r="CV117" s="11"/>
      <c r="CW117" s="11"/>
      <c r="CX117" s="11"/>
      <c r="CY117" s="11"/>
      <c r="C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 t="s">
        <v>902</v>
      </c>
      <c r="J118" s="11"/>
      <c r="K118" s="11">
        <v>0.0</v>
      </c>
      <c r="L118" s="11">
        <v>594.0</v>
      </c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 t="s">
        <v>852</v>
      </c>
      <c r="Z118" s="53">
        <v>2019.0</v>
      </c>
      <c r="AA118" s="53">
        <v>2020.0</v>
      </c>
      <c r="AB118" s="53">
        <v>2021.0</v>
      </c>
      <c r="AC118" s="53">
        <v>2022.0</v>
      </c>
      <c r="AD118" s="53">
        <v>2023.0</v>
      </c>
      <c r="AE118" s="53">
        <v>2024.0</v>
      </c>
      <c r="AF118" s="11"/>
      <c r="AG118" s="11" t="s">
        <v>796</v>
      </c>
      <c r="AH118" s="53">
        <v>2019.0</v>
      </c>
      <c r="AI118" s="53">
        <v>2020.0</v>
      </c>
      <c r="AJ118" s="53">
        <v>2021.0</v>
      </c>
      <c r="AK118" s="53">
        <v>2022.0</v>
      </c>
      <c r="AL118" s="53">
        <v>2023.0</v>
      </c>
      <c r="AM118" s="53">
        <v>2024.0</v>
      </c>
      <c r="AN118" s="11"/>
      <c r="AO118" s="11" t="s">
        <v>333</v>
      </c>
      <c r="AP118" s="11">
        <v>14879.18517</v>
      </c>
      <c r="AQ118" s="11">
        <v>14858.53718</v>
      </c>
      <c r="AR118" s="11">
        <v>14858.25661</v>
      </c>
      <c r="AS118" s="11"/>
      <c r="AT118" s="11" t="s">
        <v>397</v>
      </c>
      <c r="AU118" s="11"/>
      <c r="AV118" s="11"/>
      <c r="AW118" s="11"/>
      <c r="AX118" s="11"/>
      <c r="AY118" s="11" t="s">
        <v>397</v>
      </c>
      <c r="AZ118" s="11"/>
      <c r="BA118" s="11"/>
      <c r="BB118" s="11"/>
      <c r="BC118" s="11"/>
      <c r="BD118" s="11"/>
      <c r="BE118" s="40" t="s">
        <v>852</v>
      </c>
      <c r="BF118" s="53">
        <v>0.0</v>
      </c>
      <c r="BG118" s="53">
        <v>0.0</v>
      </c>
      <c r="BH118" s="53">
        <v>0.0</v>
      </c>
      <c r="BI118" s="11"/>
      <c r="BJ118" s="11" t="s">
        <v>557</v>
      </c>
      <c r="BK118" s="11">
        <v>266.651</v>
      </c>
      <c r="BL118" s="11">
        <v>266.652</v>
      </c>
      <c r="BM118" s="11">
        <v>266.651</v>
      </c>
      <c r="BN118" s="11"/>
      <c r="BO118" s="11" t="s">
        <v>397</v>
      </c>
      <c r="BP118" s="11"/>
      <c r="BQ118" s="11"/>
      <c r="BR118" s="11"/>
      <c r="BS118" s="11"/>
      <c r="BT118" s="11"/>
      <c r="BU118" s="11"/>
      <c r="BV118" s="11" t="s">
        <v>903</v>
      </c>
      <c r="BW118" s="11">
        <v>1933.897</v>
      </c>
      <c r="BX118" s="11">
        <v>2124.908</v>
      </c>
      <c r="BY118" s="11">
        <v>1876.597</v>
      </c>
      <c r="BZ118" s="11"/>
      <c r="CA118" s="11"/>
      <c r="CB118" s="11" t="s">
        <v>904</v>
      </c>
      <c r="CC118" s="11">
        <v>25000.0</v>
      </c>
      <c r="CD118" s="11">
        <v>25000.0</v>
      </c>
      <c r="CE118" s="11">
        <v>25000.0</v>
      </c>
      <c r="CF118" s="11"/>
      <c r="CG118" s="11" t="s">
        <v>284</v>
      </c>
      <c r="CH118" s="53">
        <v>0.0</v>
      </c>
      <c r="CI118" s="53">
        <v>0.0</v>
      </c>
      <c r="CJ118" s="53">
        <v>0.0</v>
      </c>
      <c r="CK118" s="11"/>
      <c r="CL118" s="40" t="s">
        <v>411</v>
      </c>
      <c r="CM118" s="43">
        <v>0.0</v>
      </c>
      <c r="CN118" s="43">
        <v>146.67468</v>
      </c>
      <c r="CO118" s="40"/>
      <c r="CP118" s="40"/>
      <c r="CQ118" s="40"/>
      <c r="CR118" s="40"/>
      <c r="CS118" s="40"/>
      <c r="CT118" s="40"/>
      <c r="CU118" s="40"/>
      <c r="CV118" s="11"/>
      <c r="CW118" s="11"/>
      <c r="CX118" s="11"/>
      <c r="CY118" s="11"/>
      <c r="C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 t="s">
        <v>750</v>
      </c>
      <c r="J119" s="11"/>
      <c r="K119" s="11">
        <v>63.0</v>
      </c>
      <c r="L119" s="11">
        <v>67.0</v>
      </c>
      <c r="M119" s="11"/>
      <c r="N119" s="11"/>
      <c r="O119" s="11"/>
      <c r="P119" s="11"/>
      <c r="Q119" s="11" t="s">
        <v>852</v>
      </c>
      <c r="R119" s="53">
        <v>2019.0</v>
      </c>
      <c r="S119" s="53">
        <v>2020.0</v>
      </c>
      <c r="T119" s="53">
        <v>2021.0</v>
      </c>
      <c r="U119" s="53">
        <v>2022.0</v>
      </c>
      <c r="V119" s="53">
        <v>2023.0</v>
      </c>
      <c r="W119" s="53">
        <v>2024.0</v>
      </c>
      <c r="X119" s="11"/>
      <c r="Y119" s="11" t="s">
        <v>905</v>
      </c>
      <c r="Z119" s="11">
        <v>0.0</v>
      </c>
      <c r="AA119" s="11">
        <v>0.0</v>
      </c>
      <c r="AB119" s="11">
        <v>0.0</v>
      </c>
      <c r="AC119" s="11">
        <v>0.0</v>
      </c>
      <c r="AD119" s="11">
        <v>0.0</v>
      </c>
      <c r="AE119" s="11">
        <v>0.0</v>
      </c>
      <c r="AF119" s="11"/>
      <c r="AG119" s="11" t="s">
        <v>366</v>
      </c>
      <c r="AH119" s="11"/>
      <c r="AI119" s="11"/>
      <c r="AJ119" s="11"/>
      <c r="AK119" s="11">
        <v>28.825</v>
      </c>
      <c r="AL119" s="11">
        <v>36.26</v>
      </c>
      <c r="AM119" s="11">
        <v>1510.771</v>
      </c>
      <c r="AN119" s="11"/>
      <c r="AO119" s="11" t="s">
        <v>334</v>
      </c>
      <c r="AP119" s="11">
        <v>44.22588</v>
      </c>
      <c r="AQ119" s="11">
        <v>44.22588</v>
      </c>
      <c r="AR119" s="11">
        <v>44.22588</v>
      </c>
      <c r="AS119" s="11"/>
      <c r="AT119" s="11" t="s">
        <v>715</v>
      </c>
      <c r="AU119" s="53">
        <v>0.0</v>
      </c>
      <c r="AV119" s="53">
        <v>0.0</v>
      </c>
      <c r="AW119" s="53">
        <v>0.0</v>
      </c>
      <c r="AX119" s="11"/>
      <c r="AY119" s="11" t="s">
        <v>284</v>
      </c>
      <c r="AZ119" s="53">
        <v>0.0</v>
      </c>
      <c r="BA119" s="53">
        <v>0.0</v>
      </c>
      <c r="BB119" s="53">
        <v>0.0</v>
      </c>
      <c r="BC119" s="53">
        <v>0.0</v>
      </c>
      <c r="BD119" s="11"/>
      <c r="BE119" s="40" t="s">
        <v>857</v>
      </c>
      <c r="BF119" s="11">
        <v>0.0</v>
      </c>
      <c r="BG119" s="11">
        <v>0.0</v>
      </c>
      <c r="BH119" s="11">
        <v>0.0</v>
      </c>
      <c r="BI119" s="11"/>
      <c r="BJ119" s="11" t="s">
        <v>411</v>
      </c>
      <c r="BK119" s="11">
        <v>17120.621</v>
      </c>
      <c r="BL119" s="11">
        <v>38914.749</v>
      </c>
      <c r="BM119" s="11">
        <v>73704.47899999999</v>
      </c>
      <c r="BN119" s="11"/>
      <c r="BO119" s="11" t="s">
        <v>906</v>
      </c>
      <c r="BP119" s="53">
        <v>0.0</v>
      </c>
      <c r="BQ119" s="53">
        <v>0.0</v>
      </c>
      <c r="BR119" s="53">
        <v>0.0</v>
      </c>
      <c r="BS119" s="53">
        <v>0.0</v>
      </c>
      <c r="BT119" s="11" t="e">
        <v>#REF!</v>
      </c>
      <c r="BU119" s="11"/>
      <c r="BV119" s="11" t="s">
        <v>907</v>
      </c>
      <c r="BW119" s="11">
        <v>1287.082</v>
      </c>
      <c r="BX119" s="11">
        <v>1944.62</v>
      </c>
      <c r="BY119" s="11">
        <v>1838.116</v>
      </c>
      <c r="BZ119" s="11">
        <v>1043.25764</v>
      </c>
      <c r="CA119" s="11"/>
      <c r="CB119" s="11" t="s">
        <v>908</v>
      </c>
      <c r="CC119" s="11">
        <v>12800.0</v>
      </c>
      <c r="CD119" s="11">
        <v>22600.0</v>
      </c>
      <c r="CE119" s="11">
        <v>23000.0</v>
      </c>
      <c r="CF119" s="11"/>
      <c r="CG119" s="11" t="s">
        <v>909</v>
      </c>
      <c r="CH119" s="11">
        <v>1.2</v>
      </c>
      <c r="CI119" s="11">
        <v>0.6</v>
      </c>
      <c r="CJ119" s="11">
        <v>3.00000065180939E-5</v>
      </c>
      <c r="CK119" s="11"/>
      <c r="CL119" s="40"/>
      <c r="CM119" s="40"/>
      <c r="CN119" s="40"/>
      <c r="CO119" s="40"/>
      <c r="CP119" s="40" t="s">
        <v>271</v>
      </c>
      <c r="CQ119" s="40"/>
      <c r="CR119" s="40"/>
      <c r="CS119" s="40"/>
      <c r="CT119" s="40"/>
      <c r="CU119" s="40"/>
      <c r="CV119" s="11"/>
      <c r="CW119" s="11"/>
      <c r="CX119" s="11"/>
      <c r="CY119" s="11"/>
      <c r="C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 t="s">
        <v>826</v>
      </c>
      <c r="J120" s="11"/>
      <c r="K120" s="11"/>
      <c r="L120" s="11"/>
      <c r="M120" s="11">
        <v>10077.239</v>
      </c>
      <c r="N120" s="11">
        <v>8649.703</v>
      </c>
      <c r="O120" s="11"/>
      <c r="P120" s="11"/>
      <c r="Q120" s="11" t="s">
        <v>910</v>
      </c>
      <c r="R120" s="11">
        <v>10784.0</v>
      </c>
      <c r="S120" s="11">
        <v>338.0</v>
      </c>
      <c r="T120" s="11">
        <v>7277.919</v>
      </c>
      <c r="U120" s="11">
        <v>6342.868</v>
      </c>
      <c r="V120" s="11">
        <v>16625.629</v>
      </c>
      <c r="W120" s="11">
        <v>25894.625</v>
      </c>
      <c r="X120" s="11"/>
      <c r="Y120" s="11" t="s">
        <v>790</v>
      </c>
      <c r="Z120" s="11">
        <v>0.0</v>
      </c>
      <c r="AA120" s="11">
        <v>0.0</v>
      </c>
      <c r="AB120" s="11">
        <v>0.0</v>
      </c>
      <c r="AC120" s="11">
        <v>0.0</v>
      </c>
      <c r="AD120" s="11">
        <v>0.0</v>
      </c>
      <c r="AE120" s="11">
        <v>0.0</v>
      </c>
      <c r="AF120" s="11"/>
      <c r="AG120" s="11" t="s">
        <v>362</v>
      </c>
      <c r="AH120" s="11"/>
      <c r="AI120" s="11"/>
      <c r="AJ120" s="11"/>
      <c r="AK120" s="11"/>
      <c r="AL120" s="11">
        <v>0.0</v>
      </c>
      <c r="AM120" s="11">
        <v>372.01</v>
      </c>
      <c r="AN120" s="11"/>
      <c r="AO120" s="11" t="s">
        <v>330</v>
      </c>
      <c r="AP120" s="11"/>
      <c r="AQ120" s="11"/>
      <c r="AR120" s="11"/>
      <c r="AS120" s="11"/>
      <c r="AT120" s="11" t="s">
        <v>332</v>
      </c>
      <c r="AU120" s="11">
        <v>5.0</v>
      </c>
      <c r="AV120" s="11">
        <v>490.0</v>
      </c>
      <c r="AW120" s="11"/>
      <c r="AX120" s="11"/>
      <c r="AY120" s="11" t="s">
        <v>411</v>
      </c>
      <c r="AZ120" s="11">
        <v>0.0</v>
      </c>
      <c r="BA120" s="11">
        <v>0.0</v>
      </c>
      <c r="BB120" s="11">
        <v>0.0</v>
      </c>
      <c r="BC120" s="11">
        <v>0.0</v>
      </c>
      <c r="BD120" s="11"/>
      <c r="BE120" s="40" t="s">
        <v>794</v>
      </c>
      <c r="BF120" s="53">
        <v>0.0</v>
      </c>
      <c r="BG120" s="53">
        <v>0.0</v>
      </c>
      <c r="BH120" s="53">
        <v>0.0</v>
      </c>
      <c r="BI120" s="11"/>
      <c r="BJ120" s="11"/>
      <c r="BK120" s="11"/>
      <c r="BL120" s="11"/>
      <c r="BM120" s="11"/>
      <c r="BN120" s="11"/>
      <c r="BO120" s="11" t="s">
        <v>411</v>
      </c>
      <c r="BP120" s="11">
        <v>0.0</v>
      </c>
      <c r="BQ120" s="11">
        <v>0.0</v>
      </c>
      <c r="BR120" s="11">
        <v>0.0</v>
      </c>
      <c r="BS120" s="11">
        <v>0.0</v>
      </c>
      <c r="BT120" s="11">
        <v>0.0</v>
      </c>
      <c r="BU120" s="11"/>
      <c r="BV120" s="11" t="s">
        <v>911</v>
      </c>
      <c r="BW120" s="11">
        <v>415.108</v>
      </c>
      <c r="BX120" s="11">
        <v>685.962</v>
      </c>
      <c r="BY120" s="11">
        <v>1135.359</v>
      </c>
      <c r="BZ120" s="11">
        <v>2297.32582</v>
      </c>
      <c r="CA120" s="11"/>
      <c r="CB120" s="11" t="s">
        <v>912</v>
      </c>
      <c r="CC120" s="11">
        <v>20000.0</v>
      </c>
      <c r="CD120" s="11">
        <v>20000.0</v>
      </c>
      <c r="CE120" s="11">
        <v>20000.0</v>
      </c>
      <c r="CF120" s="11"/>
      <c r="CG120" s="11" t="s">
        <v>913</v>
      </c>
      <c r="CH120" s="11"/>
      <c r="CI120" s="11"/>
      <c r="CJ120" s="11">
        <v>379.49497</v>
      </c>
      <c r="CK120" s="53"/>
      <c r="CL120" s="40" t="s">
        <v>271</v>
      </c>
      <c r="CM120" s="40"/>
      <c r="CN120" s="40"/>
      <c r="CO120" s="40"/>
      <c r="CP120" s="40" t="s">
        <v>397</v>
      </c>
      <c r="CQ120" s="40"/>
      <c r="CR120" s="40"/>
      <c r="CS120" s="40"/>
      <c r="CT120" s="40"/>
      <c r="CU120" s="40"/>
      <c r="CV120" s="53"/>
      <c r="CW120" s="53"/>
      <c r="CX120" s="53"/>
      <c r="CY120" s="53"/>
      <c r="CZ120" s="53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 t="s">
        <v>639</v>
      </c>
      <c r="J121" s="11"/>
      <c r="K121" s="11"/>
      <c r="L121" s="11"/>
      <c r="M121" s="11"/>
      <c r="N121" s="11"/>
      <c r="O121" s="11">
        <v>11734.641</v>
      </c>
      <c r="P121" s="11"/>
      <c r="Q121" s="11" t="s">
        <v>905</v>
      </c>
      <c r="R121" s="11">
        <v>10784.0</v>
      </c>
      <c r="S121" s="11">
        <v>338.0</v>
      </c>
      <c r="T121" s="11">
        <v>7277.919</v>
      </c>
      <c r="U121" s="11">
        <v>6342.868</v>
      </c>
      <c r="V121" s="11">
        <v>16625.629</v>
      </c>
      <c r="W121" s="11">
        <v>25894.625</v>
      </c>
      <c r="X121" s="11"/>
      <c r="Y121" s="11" t="s">
        <v>794</v>
      </c>
      <c r="Z121" s="53">
        <v>2019.0</v>
      </c>
      <c r="AA121" s="53">
        <v>2020.0</v>
      </c>
      <c r="AB121" s="53">
        <v>2021.0</v>
      </c>
      <c r="AC121" s="53">
        <v>2022.0</v>
      </c>
      <c r="AD121" s="53">
        <v>2023.0</v>
      </c>
      <c r="AE121" s="53">
        <v>2024.0</v>
      </c>
      <c r="AF121" s="11"/>
      <c r="AG121" s="11" t="s">
        <v>370</v>
      </c>
      <c r="AH121" s="11"/>
      <c r="AI121" s="11"/>
      <c r="AJ121" s="11"/>
      <c r="AK121" s="11">
        <v>2401.992</v>
      </c>
      <c r="AL121" s="11">
        <v>4478.469</v>
      </c>
      <c r="AM121" s="11">
        <v>5548.633</v>
      </c>
      <c r="AN121" s="11"/>
      <c r="AO121" s="11" t="s">
        <v>834</v>
      </c>
      <c r="AP121" s="11"/>
      <c r="AQ121" s="11"/>
      <c r="AR121" s="11"/>
      <c r="AS121" s="11"/>
      <c r="AT121" s="11" t="s">
        <v>333</v>
      </c>
      <c r="AU121" s="11"/>
      <c r="AV121" s="11">
        <v>3000.0</v>
      </c>
      <c r="AW121" s="11"/>
      <c r="AX121" s="11"/>
      <c r="AY121" s="11"/>
      <c r="AZ121" s="11"/>
      <c r="BA121" s="11"/>
      <c r="BB121" s="11"/>
      <c r="BC121" s="11"/>
      <c r="BD121" s="11"/>
      <c r="BE121" s="40" t="s">
        <v>914</v>
      </c>
      <c r="BF121" s="11">
        <v>381.538</v>
      </c>
      <c r="BG121" s="11"/>
      <c r="BH121" s="11"/>
      <c r="BI121" s="11"/>
      <c r="BJ121" s="11" t="s">
        <v>397</v>
      </c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 t="s">
        <v>670</v>
      </c>
      <c r="BW121" s="11">
        <v>639.66</v>
      </c>
      <c r="BX121" s="11">
        <v>343.723</v>
      </c>
      <c r="BY121" s="11">
        <v>152.837</v>
      </c>
      <c r="BZ121" s="11">
        <v>507.17539</v>
      </c>
      <c r="CA121" s="11"/>
      <c r="CB121" s="11" t="s">
        <v>915</v>
      </c>
      <c r="CC121" s="11"/>
      <c r="CD121" s="11">
        <v>16436.742</v>
      </c>
      <c r="CE121" s="11">
        <v>16183.125</v>
      </c>
      <c r="CF121" s="11"/>
      <c r="CG121" s="11" t="s">
        <v>916</v>
      </c>
      <c r="CH121" s="11"/>
      <c r="CI121" s="11">
        <v>8.55</v>
      </c>
      <c r="CJ121" s="11"/>
      <c r="CK121" s="11"/>
      <c r="CL121" s="40" t="s">
        <v>397</v>
      </c>
      <c r="CM121" s="40"/>
      <c r="CN121" s="40"/>
      <c r="CO121" s="40"/>
      <c r="CP121" s="40" t="s">
        <v>835</v>
      </c>
      <c r="CQ121" s="46" t="s">
        <v>17</v>
      </c>
      <c r="CR121" s="46" t="s">
        <v>18</v>
      </c>
      <c r="CS121" s="46" t="s">
        <v>19</v>
      </c>
      <c r="CT121" s="46" t="s">
        <v>20</v>
      </c>
      <c r="CU121" s="46" t="s">
        <v>21</v>
      </c>
      <c r="CV121" s="11"/>
      <c r="CW121" s="11"/>
      <c r="CX121" s="11"/>
      <c r="CY121" s="11"/>
      <c r="C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 t="s">
        <v>281</v>
      </c>
      <c r="J122" s="11"/>
      <c r="K122" s="11"/>
      <c r="L122" s="11"/>
      <c r="M122" s="11">
        <v>97462.798</v>
      </c>
      <c r="N122" s="11">
        <v>50590.621</v>
      </c>
      <c r="O122" s="11">
        <v>12268.349</v>
      </c>
      <c r="P122" s="11"/>
      <c r="Q122" s="11" t="s">
        <v>790</v>
      </c>
      <c r="R122" s="11">
        <v>6210.0</v>
      </c>
      <c r="S122" s="11">
        <v>2000.0</v>
      </c>
      <c r="T122" s="11">
        <v>0.0</v>
      </c>
      <c r="U122" s="11">
        <v>0.0</v>
      </c>
      <c r="V122" s="11">
        <v>0.0</v>
      </c>
      <c r="W122" s="11">
        <v>0.0</v>
      </c>
      <c r="X122" s="11"/>
      <c r="Y122" s="11" t="s">
        <v>807</v>
      </c>
      <c r="Z122" s="11">
        <v>0.0</v>
      </c>
      <c r="AA122" s="11">
        <v>0.0</v>
      </c>
      <c r="AB122" s="11">
        <v>0.0</v>
      </c>
      <c r="AC122" s="11">
        <v>0.0</v>
      </c>
      <c r="AD122" s="11">
        <v>0.0</v>
      </c>
      <c r="AE122" s="11">
        <v>0.0</v>
      </c>
      <c r="AF122" s="11"/>
      <c r="AG122" s="11" t="s">
        <v>917</v>
      </c>
      <c r="AH122" s="53">
        <v>2019.0</v>
      </c>
      <c r="AI122" s="53">
        <v>2020.0</v>
      </c>
      <c r="AJ122" s="53">
        <v>2021.0</v>
      </c>
      <c r="AK122" s="53">
        <v>2022.0</v>
      </c>
      <c r="AL122" s="53">
        <v>2023.0</v>
      </c>
      <c r="AM122" s="53">
        <v>2024.0</v>
      </c>
      <c r="AN122" s="11"/>
      <c r="AO122" s="11" t="s">
        <v>918</v>
      </c>
      <c r="AP122" s="11">
        <v>1166.902</v>
      </c>
      <c r="AQ122" s="11">
        <v>1166.622</v>
      </c>
      <c r="AR122" s="11">
        <v>1172.43386</v>
      </c>
      <c r="AS122" s="11"/>
      <c r="AT122" s="11" t="s">
        <v>334</v>
      </c>
      <c r="AU122" s="11"/>
      <c r="AV122" s="11"/>
      <c r="AW122" s="11"/>
      <c r="AX122" s="11"/>
      <c r="AY122" s="11" t="s">
        <v>397</v>
      </c>
      <c r="AZ122" s="11"/>
      <c r="BA122" s="11"/>
      <c r="BB122" s="11"/>
      <c r="BC122" s="11"/>
      <c r="BD122" s="11"/>
      <c r="BE122" s="40" t="s">
        <v>919</v>
      </c>
      <c r="BF122" s="11">
        <v>1643.542</v>
      </c>
      <c r="BG122" s="11">
        <v>1043.542</v>
      </c>
      <c r="BH122" s="11">
        <v>893.542</v>
      </c>
      <c r="BI122" s="11"/>
      <c r="BJ122" s="11" t="s">
        <v>835</v>
      </c>
      <c r="BK122" s="53">
        <v>0.0</v>
      </c>
      <c r="BL122" s="53">
        <v>0.0</v>
      </c>
      <c r="BM122" s="53">
        <v>0.0</v>
      </c>
      <c r="BN122" s="11"/>
      <c r="BO122" s="11" t="s">
        <v>397</v>
      </c>
      <c r="BP122" s="11"/>
      <c r="BQ122" s="11"/>
      <c r="BR122" s="11"/>
      <c r="BS122" s="11"/>
      <c r="BT122" s="11"/>
      <c r="BU122" s="11"/>
      <c r="BV122" s="11" t="s">
        <v>920</v>
      </c>
      <c r="BW122" s="11">
        <v>81.479</v>
      </c>
      <c r="BX122" s="11">
        <v>130.447</v>
      </c>
      <c r="BY122" s="11">
        <v>124.915</v>
      </c>
      <c r="BZ122" s="11"/>
      <c r="CA122" s="11"/>
      <c r="CB122" s="11" t="s">
        <v>921</v>
      </c>
      <c r="CC122" s="11"/>
      <c r="CD122" s="11"/>
      <c r="CE122" s="11">
        <v>15000.0</v>
      </c>
      <c r="CF122" s="11"/>
      <c r="CG122" s="11" t="s">
        <v>922</v>
      </c>
      <c r="CH122" s="11"/>
      <c r="CI122" s="11">
        <v>3.7368</v>
      </c>
      <c r="CJ122" s="11"/>
      <c r="CK122" s="11"/>
      <c r="CL122" s="40" t="s">
        <v>835</v>
      </c>
      <c r="CM122" s="46" t="s">
        <v>18</v>
      </c>
      <c r="CN122" s="46" t="s">
        <v>19</v>
      </c>
      <c r="CO122" s="40"/>
      <c r="CP122" s="40" t="s">
        <v>923</v>
      </c>
      <c r="CQ122" s="40"/>
      <c r="CR122" s="40"/>
      <c r="CS122" s="43">
        <v>35.42913</v>
      </c>
      <c r="CT122" s="40"/>
      <c r="CU122" s="40"/>
      <c r="CV122" s="11"/>
      <c r="CW122" s="11"/>
      <c r="CX122" s="11"/>
      <c r="CY122" s="11"/>
      <c r="C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 t="s">
        <v>651</v>
      </c>
      <c r="J123" s="11">
        <v>0.0</v>
      </c>
      <c r="K123" s="11">
        <v>12205.0</v>
      </c>
      <c r="L123" s="11">
        <v>24916.0</v>
      </c>
      <c r="M123" s="11">
        <v>113276.368</v>
      </c>
      <c r="N123" s="11">
        <v>62471.406</v>
      </c>
      <c r="O123" s="11">
        <v>24002.99</v>
      </c>
      <c r="P123" s="11"/>
      <c r="Q123" s="11" t="s">
        <v>794</v>
      </c>
      <c r="R123" s="53">
        <v>2019.0</v>
      </c>
      <c r="S123" s="53">
        <v>2020.0</v>
      </c>
      <c r="T123" s="53">
        <v>2021.0</v>
      </c>
      <c r="U123" s="53">
        <v>2022.0</v>
      </c>
      <c r="V123" s="53">
        <v>2023.0</v>
      </c>
      <c r="W123" s="53">
        <v>2024.0</v>
      </c>
      <c r="X123" s="11"/>
      <c r="Y123" s="11" t="s">
        <v>810</v>
      </c>
      <c r="Z123" s="11">
        <v>0.0</v>
      </c>
      <c r="AA123" s="11">
        <v>0.0</v>
      </c>
      <c r="AB123" s="11">
        <v>0.0</v>
      </c>
      <c r="AC123" s="11">
        <v>0.0</v>
      </c>
      <c r="AD123" s="11">
        <v>0.0</v>
      </c>
      <c r="AE123" s="11">
        <v>0.0</v>
      </c>
      <c r="AF123" s="11"/>
      <c r="AG123" s="11" t="s">
        <v>379</v>
      </c>
      <c r="AH123" s="11"/>
      <c r="AI123" s="11"/>
      <c r="AJ123" s="11"/>
      <c r="AK123" s="11">
        <v>476.188</v>
      </c>
      <c r="AL123" s="11">
        <v>527.059</v>
      </c>
      <c r="AM123" s="11"/>
      <c r="AN123" s="11"/>
      <c r="AO123" s="11" t="s">
        <v>728</v>
      </c>
      <c r="AP123" s="11">
        <v>-0.28</v>
      </c>
      <c r="AQ123" s="11">
        <v>5.53129</v>
      </c>
      <c r="AR123" s="11">
        <v>1.80184</v>
      </c>
      <c r="AS123" s="11"/>
      <c r="AT123" s="11" t="s">
        <v>330</v>
      </c>
      <c r="AU123" s="11"/>
      <c r="AV123" s="11"/>
      <c r="AW123" s="11"/>
      <c r="AX123" s="11"/>
      <c r="AY123" s="11" t="s">
        <v>775</v>
      </c>
      <c r="AZ123" s="53">
        <v>0.0</v>
      </c>
      <c r="BA123" s="53">
        <v>0.0</v>
      </c>
      <c r="BB123" s="53">
        <v>0.0</v>
      </c>
      <c r="BC123" s="53">
        <v>0.0</v>
      </c>
      <c r="BD123" s="11"/>
      <c r="BE123" s="40" t="s">
        <v>443</v>
      </c>
      <c r="BF123" s="11">
        <v>487.75</v>
      </c>
      <c r="BG123" s="11">
        <v>12522.489</v>
      </c>
      <c r="BH123" s="11">
        <v>12465.9</v>
      </c>
      <c r="BI123" s="11"/>
      <c r="BJ123" s="11" t="s">
        <v>224</v>
      </c>
      <c r="BK123" s="11">
        <v>5044.903</v>
      </c>
      <c r="BL123" s="11">
        <v>8688.128</v>
      </c>
      <c r="BM123" s="11">
        <v>12890.376</v>
      </c>
      <c r="BN123" s="11"/>
      <c r="BO123" s="11" t="s">
        <v>835</v>
      </c>
      <c r="BP123" s="53">
        <v>0.0</v>
      </c>
      <c r="BQ123" s="53">
        <v>0.0</v>
      </c>
      <c r="BR123" s="53">
        <v>0.0</v>
      </c>
      <c r="BS123" s="53">
        <v>0.0</v>
      </c>
      <c r="BT123" s="53">
        <v>0.0</v>
      </c>
      <c r="BU123" s="11"/>
      <c r="BV123" s="11" t="s">
        <v>924</v>
      </c>
      <c r="BW123" s="11">
        <v>35.354</v>
      </c>
      <c r="BX123" s="11">
        <v>51.077</v>
      </c>
      <c r="BY123" s="11">
        <v>67.742</v>
      </c>
      <c r="BZ123" s="11">
        <v>6145.427560000001</v>
      </c>
      <c r="CA123" s="11"/>
      <c r="CB123" s="11" t="s">
        <v>925</v>
      </c>
      <c r="CC123" s="11"/>
      <c r="CD123" s="11"/>
      <c r="CE123" s="11">
        <v>6550.313</v>
      </c>
      <c r="CF123" s="11"/>
      <c r="CG123" s="11" t="s">
        <v>926</v>
      </c>
      <c r="CH123" s="11"/>
      <c r="CI123" s="11">
        <v>602.77068</v>
      </c>
      <c r="CJ123" s="11">
        <v>448.54135</v>
      </c>
      <c r="CK123" s="11"/>
      <c r="CL123" s="40" t="s">
        <v>923</v>
      </c>
      <c r="CM123" s="40"/>
      <c r="CN123" s="40"/>
      <c r="CO123" s="40"/>
      <c r="CP123" s="40" t="s">
        <v>927</v>
      </c>
      <c r="CQ123" s="43">
        <v>24.833</v>
      </c>
      <c r="CR123" s="43">
        <v>12.936</v>
      </c>
      <c r="CS123" s="43">
        <v>24.11738</v>
      </c>
      <c r="CT123" s="40"/>
      <c r="CU123" s="40"/>
      <c r="CV123" s="11"/>
      <c r="CW123" s="11"/>
      <c r="CX123" s="11"/>
      <c r="CY123" s="11"/>
      <c r="C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 t="s">
        <v>928</v>
      </c>
      <c r="R124" s="11">
        <v>37890.0</v>
      </c>
      <c r="S124" s="11">
        <v>38890.0</v>
      </c>
      <c r="T124" s="11">
        <v>32930.86</v>
      </c>
      <c r="U124" s="11">
        <v>28453.76</v>
      </c>
      <c r="V124" s="11">
        <v>34553.019</v>
      </c>
      <c r="W124" s="11">
        <v>35000.0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 t="s">
        <v>411</v>
      </c>
      <c r="AP124" s="11">
        <v>18090.03305</v>
      </c>
      <c r="AQ124" s="11">
        <v>18074.91635</v>
      </c>
      <c r="AR124" s="11">
        <v>18076.71819</v>
      </c>
      <c r="AS124" s="11"/>
      <c r="AT124" s="11" t="s">
        <v>834</v>
      </c>
      <c r="AU124" s="11"/>
      <c r="AV124" s="11"/>
      <c r="AW124" s="11"/>
      <c r="AX124" s="11"/>
      <c r="AY124" s="11" t="s">
        <v>508</v>
      </c>
      <c r="AZ124" s="11"/>
      <c r="BA124" s="11"/>
      <c r="BB124" s="11"/>
      <c r="BC124" s="11"/>
      <c r="BD124" s="11"/>
      <c r="BE124" s="40" t="s">
        <v>929</v>
      </c>
      <c r="BF124" s="11">
        <v>547.9</v>
      </c>
      <c r="BG124" s="11">
        <v>381.181</v>
      </c>
      <c r="BH124" s="11">
        <v>411.51</v>
      </c>
      <c r="BI124" s="11"/>
      <c r="BJ124" s="11" t="s">
        <v>930</v>
      </c>
      <c r="BK124" s="11">
        <v>103.847</v>
      </c>
      <c r="BL124" s="11">
        <v>284.628</v>
      </c>
      <c r="BM124" s="11">
        <v>1377.03</v>
      </c>
      <c r="BN124" s="11"/>
      <c r="BO124" s="11" t="s">
        <v>931</v>
      </c>
      <c r="BP124" s="11">
        <v>3.82512</v>
      </c>
      <c r="BQ124" s="11"/>
      <c r="BR124" s="11"/>
      <c r="BS124" s="11"/>
      <c r="BT124" s="11"/>
      <c r="BU124" s="11"/>
      <c r="BV124" s="11" t="s">
        <v>561</v>
      </c>
      <c r="BW124" s="11"/>
      <c r="BX124" s="11"/>
      <c r="BY124" s="11"/>
      <c r="BZ124" s="11">
        <v>212677.83676</v>
      </c>
      <c r="CA124" s="11"/>
      <c r="CB124" s="11" t="s">
        <v>932</v>
      </c>
      <c r="CC124" s="11">
        <v>0.006</v>
      </c>
      <c r="CD124" s="11">
        <v>3913.51</v>
      </c>
      <c r="CE124" s="11">
        <v>3853.125</v>
      </c>
      <c r="CF124" s="11"/>
      <c r="CG124" s="11" t="s">
        <v>933</v>
      </c>
      <c r="CH124" s="11"/>
      <c r="CI124" s="11"/>
      <c r="CJ124" s="11">
        <v>145.375</v>
      </c>
      <c r="CK124" s="11"/>
      <c r="CL124" s="40" t="s">
        <v>927</v>
      </c>
      <c r="CM124" s="43">
        <v>5.35150000000005</v>
      </c>
      <c r="CN124" s="43">
        <v>8.442789999999999</v>
      </c>
      <c r="CO124" s="40"/>
      <c r="CP124" s="40" t="s">
        <v>934</v>
      </c>
      <c r="CQ124" s="43">
        <v>18.451</v>
      </c>
      <c r="CR124" s="43">
        <v>20.31</v>
      </c>
      <c r="CS124" s="40"/>
      <c r="CT124" s="43">
        <v>55.21474</v>
      </c>
      <c r="CU124" s="40"/>
      <c r="CV124" s="11"/>
      <c r="CW124" s="11"/>
      <c r="CX124" s="11"/>
      <c r="CY124" s="11"/>
      <c r="C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 t="s">
        <v>277</v>
      </c>
      <c r="J125" s="53">
        <v>2019.0</v>
      </c>
      <c r="K125" s="53">
        <v>2020.0</v>
      </c>
      <c r="L125" s="53">
        <v>2021.0</v>
      </c>
      <c r="M125" s="53">
        <v>2022.0</v>
      </c>
      <c r="N125" s="53">
        <v>2023.0</v>
      </c>
      <c r="O125" s="53">
        <v>2024.0</v>
      </c>
      <c r="P125" s="11"/>
      <c r="Q125" s="11" t="s">
        <v>807</v>
      </c>
      <c r="R125" s="11">
        <v>31680.0</v>
      </c>
      <c r="S125" s="11">
        <v>36890.0</v>
      </c>
      <c r="T125" s="11">
        <v>32930.86</v>
      </c>
      <c r="U125" s="11">
        <v>28453.76</v>
      </c>
      <c r="V125" s="11">
        <v>34553.019</v>
      </c>
      <c r="W125" s="11">
        <v>35000.0</v>
      </c>
      <c r="X125" s="11"/>
      <c r="Y125" s="11" t="s">
        <v>304</v>
      </c>
      <c r="Z125" s="53">
        <v>2019.0</v>
      </c>
      <c r="AA125" s="53">
        <v>2020.0</v>
      </c>
      <c r="AB125" s="53">
        <v>2021.0</v>
      </c>
      <c r="AC125" s="53">
        <v>2022.0</v>
      </c>
      <c r="AD125" s="53">
        <v>2023.0</v>
      </c>
      <c r="AE125" s="53">
        <v>2024.0</v>
      </c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 t="s">
        <v>918</v>
      </c>
      <c r="AU125" s="11"/>
      <c r="AV125" s="11"/>
      <c r="AW125" s="11"/>
      <c r="AX125" s="11"/>
      <c r="AY125" s="11" t="s">
        <v>514</v>
      </c>
      <c r="AZ125" s="11"/>
      <c r="BA125" s="11"/>
      <c r="BB125" s="11"/>
      <c r="BC125" s="11"/>
      <c r="BD125" s="11"/>
      <c r="BE125" s="40" t="s">
        <v>465</v>
      </c>
      <c r="BF125" s="11">
        <v>297.541</v>
      </c>
      <c r="BG125" s="11">
        <v>325.896</v>
      </c>
      <c r="BH125" s="11">
        <v>567.709</v>
      </c>
      <c r="BI125" s="11"/>
      <c r="BJ125" s="11" t="s">
        <v>935</v>
      </c>
      <c r="BK125" s="11">
        <v>163.991</v>
      </c>
      <c r="BL125" s="11">
        <v>219.432</v>
      </c>
      <c r="BM125" s="11">
        <v>332.863</v>
      </c>
      <c r="BN125" s="11"/>
      <c r="BO125" s="11" t="s">
        <v>936</v>
      </c>
      <c r="BP125" s="11">
        <v>1.83714</v>
      </c>
      <c r="BQ125" s="11">
        <v>1.83607</v>
      </c>
      <c r="BR125" s="11"/>
      <c r="BS125" s="11"/>
      <c r="BT125" s="11"/>
      <c r="BU125" s="11"/>
      <c r="BV125" s="11" t="s">
        <v>411</v>
      </c>
      <c r="BW125" s="11">
        <v>149388.937</v>
      </c>
      <c r="BX125" s="11">
        <v>135129.344</v>
      </c>
      <c r="BY125" s="11">
        <v>140786.461</v>
      </c>
      <c r="BZ125" s="11">
        <v>274342.42363</v>
      </c>
      <c r="CA125" s="11"/>
      <c r="CB125" s="11" t="s">
        <v>937</v>
      </c>
      <c r="CC125" s="11">
        <v>2355.66</v>
      </c>
      <c r="CD125" s="11">
        <v>2348.106</v>
      </c>
      <c r="CE125" s="11">
        <v>2774.25</v>
      </c>
      <c r="CF125" s="11"/>
      <c r="CG125" s="11" t="s">
        <v>938</v>
      </c>
      <c r="CH125" s="11"/>
      <c r="CI125" s="11"/>
      <c r="CJ125" s="11">
        <v>33.14212</v>
      </c>
      <c r="CK125" s="11"/>
      <c r="CL125" s="40" t="s">
        <v>934</v>
      </c>
      <c r="CM125" s="40"/>
      <c r="CN125" s="43">
        <v>7.10731</v>
      </c>
      <c r="CO125" s="40"/>
      <c r="CP125" s="40" t="s">
        <v>939</v>
      </c>
      <c r="CQ125" s="40"/>
      <c r="CR125" s="40"/>
      <c r="CS125" s="40"/>
      <c r="CT125" s="40"/>
      <c r="CU125" s="43">
        <v>8.63475</v>
      </c>
      <c r="CV125" s="11"/>
      <c r="CW125" s="11"/>
      <c r="CX125" s="11"/>
      <c r="CY125" s="11"/>
      <c r="C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 t="s">
        <v>769</v>
      </c>
      <c r="J126" s="11"/>
      <c r="K126" s="11">
        <v>5775.0</v>
      </c>
      <c r="L126" s="11">
        <v>1008.0</v>
      </c>
      <c r="M126" s="11">
        <v>6424.899</v>
      </c>
      <c r="N126" s="11">
        <v>3068.276</v>
      </c>
      <c r="O126" s="11"/>
      <c r="P126" s="11"/>
      <c r="Q126" s="11" t="s">
        <v>810</v>
      </c>
      <c r="R126" s="11">
        <v>48674.0</v>
      </c>
      <c r="S126" s="11">
        <v>39228.0</v>
      </c>
      <c r="T126" s="11">
        <v>40208.779</v>
      </c>
      <c r="U126" s="11">
        <v>34796.628</v>
      </c>
      <c r="V126" s="11">
        <v>51178.648</v>
      </c>
      <c r="W126" s="11">
        <v>60894.625</v>
      </c>
      <c r="X126" s="11"/>
      <c r="Y126" s="11" t="s">
        <v>823</v>
      </c>
      <c r="Z126" s="11">
        <v>0.0</v>
      </c>
      <c r="AA126" s="11">
        <v>0.0</v>
      </c>
      <c r="AB126" s="11">
        <v>0.0</v>
      </c>
      <c r="AC126" s="11">
        <v>0.0</v>
      </c>
      <c r="AD126" s="11">
        <v>0.0</v>
      </c>
      <c r="AE126" s="11">
        <v>0.0</v>
      </c>
      <c r="AF126" s="11"/>
      <c r="AG126" s="11"/>
      <c r="AH126" s="11"/>
      <c r="AI126" s="11"/>
      <c r="AJ126" s="11"/>
      <c r="AK126" s="11"/>
      <c r="AL126" s="11"/>
      <c r="AM126" s="11"/>
      <c r="AN126" s="11"/>
      <c r="AO126" s="11" t="s">
        <v>394</v>
      </c>
      <c r="AP126" s="11"/>
      <c r="AQ126" s="11"/>
      <c r="AR126" s="11"/>
      <c r="AS126" s="11"/>
      <c r="AT126" s="11" t="s">
        <v>728</v>
      </c>
      <c r="AU126" s="11"/>
      <c r="AV126" s="11">
        <v>341.9356</v>
      </c>
      <c r="AW126" s="11"/>
      <c r="AX126" s="11"/>
      <c r="AY126" s="11" t="s">
        <v>521</v>
      </c>
      <c r="AZ126" s="11"/>
      <c r="BA126" s="11"/>
      <c r="BB126" s="11"/>
      <c r="BC126" s="11"/>
      <c r="BD126" s="11"/>
      <c r="BE126" s="40" t="s">
        <v>940</v>
      </c>
      <c r="BF126" s="11">
        <v>3140.888</v>
      </c>
      <c r="BG126" s="11">
        <v>3021.23</v>
      </c>
      <c r="BH126" s="11">
        <v>2864.689</v>
      </c>
      <c r="BI126" s="11"/>
      <c r="BJ126" s="11" t="s">
        <v>941</v>
      </c>
      <c r="BK126" s="11"/>
      <c r="BL126" s="11"/>
      <c r="BM126" s="11">
        <v>186.402</v>
      </c>
      <c r="BN126" s="11"/>
      <c r="BO126" s="11" t="s">
        <v>411</v>
      </c>
      <c r="BP126" s="11">
        <v>5.66226</v>
      </c>
      <c r="BQ126" s="11">
        <v>1.83607</v>
      </c>
      <c r="BR126" s="11">
        <v>0.0</v>
      </c>
      <c r="BS126" s="11">
        <v>0.0</v>
      </c>
      <c r="BT126" s="11">
        <v>0.0</v>
      </c>
      <c r="BU126" s="11"/>
      <c r="BV126" s="11"/>
      <c r="BW126" s="11"/>
      <c r="BX126" s="11"/>
      <c r="BY126" s="11"/>
      <c r="BZ126" s="11"/>
      <c r="CA126" s="11"/>
      <c r="CB126" s="11" t="s">
        <v>411</v>
      </c>
      <c r="CC126" s="11">
        <v>86215.093</v>
      </c>
      <c r="CD126" s="11">
        <v>199065.803</v>
      </c>
      <c r="CE126" s="11">
        <v>214808.165</v>
      </c>
      <c r="CF126" s="11"/>
      <c r="CG126" s="11" t="s">
        <v>942</v>
      </c>
      <c r="CH126" s="11"/>
      <c r="CI126" s="11"/>
      <c r="CJ126" s="11">
        <v>39.825</v>
      </c>
      <c r="CK126" s="11"/>
      <c r="CL126" s="40" t="s">
        <v>943</v>
      </c>
      <c r="CM126" s="43">
        <v>0.17857</v>
      </c>
      <c r="CN126" s="43">
        <v>0.05748</v>
      </c>
      <c r="CO126" s="40"/>
      <c r="CP126" s="40" t="s">
        <v>943</v>
      </c>
      <c r="CQ126" s="43">
        <v>72.321</v>
      </c>
      <c r="CR126" s="43">
        <v>20.499</v>
      </c>
      <c r="CS126" s="40"/>
      <c r="CT126" s="40"/>
      <c r="CU126" s="40"/>
      <c r="CV126" s="11"/>
      <c r="CW126" s="11"/>
      <c r="CX126" s="11"/>
      <c r="CY126" s="11"/>
      <c r="C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 t="s">
        <v>773</v>
      </c>
      <c r="J127" s="11">
        <v>0.0</v>
      </c>
      <c r="K127" s="11">
        <v>5775.0</v>
      </c>
      <c r="L127" s="11">
        <v>1008.0</v>
      </c>
      <c r="M127" s="11">
        <v>6424.899</v>
      </c>
      <c r="N127" s="11">
        <v>3068.276</v>
      </c>
      <c r="O127" s="11">
        <v>0.0</v>
      </c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 t="s">
        <v>397</v>
      </c>
      <c r="AP127" s="11"/>
      <c r="AQ127" s="11"/>
      <c r="AR127" s="11"/>
      <c r="AS127" s="11"/>
      <c r="AT127" s="11" t="s">
        <v>411</v>
      </c>
      <c r="AU127" s="11">
        <v>5.0</v>
      </c>
      <c r="AV127" s="11">
        <v>3831.9356</v>
      </c>
      <c r="AW127" s="11">
        <v>0.0</v>
      </c>
      <c r="AX127" s="11"/>
      <c r="AY127" s="11" t="s">
        <v>525</v>
      </c>
      <c r="AZ127" s="11"/>
      <c r="BA127" s="11"/>
      <c r="BB127" s="11"/>
      <c r="BC127" s="11"/>
      <c r="BD127" s="11"/>
      <c r="BE127" s="40" t="s">
        <v>465</v>
      </c>
      <c r="BF127" s="11">
        <v>7852.22</v>
      </c>
      <c r="BG127" s="11">
        <v>15654.04</v>
      </c>
      <c r="BH127" s="11">
        <v>15573.508</v>
      </c>
      <c r="BI127" s="11"/>
      <c r="BJ127" s="11" t="s">
        <v>944</v>
      </c>
      <c r="BK127" s="11">
        <v>8.975</v>
      </c>
      <c r="BL127" s="11">
        <v>3.912</v>
      </c>
      <c r="BM127" s="11">
        <v>117.784</v>
      </c>
      <c r="BN127" s="11"/>
      <c r="BO127" s="11"/>
      <c r="BP127" s="11"/>
      <c r="BQ127" s="11"/>
      <c r="BR127" s="11"/>
      <c r="BS127" s="11"/>
      <c r="BT127" s="11"/>
      <c r="BU127" s="11"/>
      <c r="BV127" s="11" t="s">
        <v>238</v>
      </c>
      <c r="BW127" s="53">
        <v>0.0</v>
      </c>
      <c r="BX127" s="53">
        <v>0.0</v>
      </c>
      <c r="BY127" s="53">
        <v>0.0</v>
      </c>
      <c r="BZ127" s="53">
        <v>0.0</v>
      </c>
      <c r="CA127" s="11"/>
      <c r="CB127" s="11"/>
      <c r="CC127" s="11"/>
      <c r="CD127" s="11"/>
      <c r="CE127" s="11"/>
      <c r="CF127" s="11"/>
      <c r="CG127" s="11" t="s">
        <v>945</v>
      </c>
      <c r="CH127" s="11"/>
      <c r="CI127" s="11">
        <v>9.07984</v>
      </c>
      <c r="CJ127" s="11"/>
      <c r="CK127" s="11"/>
      <c r="CL127" s="40" t="s">
        <v>946</v>
      </c>
      <c r="CM127" s="40"/>
      <c r="CN127" s="40"/>
      <c r="CO127" s="40"/>
      <c r="CP127" s="40" t="s">
        <v>946</v>
      </c>
      <c r="CQ127" s="43">
        <v>49.078</v>
      </c>
      <c r="CR127" s="40"/>
      <c r="CS127" s="40"/>
      <c r="CT127" s="43">
        <v>692.20331</v>
      </c>
      <c r="CU127" s="40"/>
      <c r="CV127" s="11"/>
      <c r="CW127" s="11"/>
      <c r="CX127" s="11"/>
      <c r="CY127" s="11"/>
      <c r="C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 t="s">
        <v>947</v>
      </c>
      <c r="R128" s="53">
        <v>2019.0</v>
      </c>
      <c r="S128" s="53">
        <v>2020.0</v>
      </c>
      <c r="T128" s="53">
        <v>2021.0</v>
      </c>
      <c r="U128" s="53">
        <v>2022.0</v>
      </c>
      <c r="V128" s="53">
        <v>2023.0</v>
      </c>
      <c r="W128" s="53">
        <v>2024.0</v>
      </c>
      <c r="X128" s="11"/>
      <c r="Y128" s="11" t="s">
        <v>947</v>
      </c>
      <c r="Z128" s="53">
        <v>2019.0</v>
      </c>
      <c r="AA128" s="53">
        <v>2020.0</v>
      </c>
      <c r="AB128" s="53">
        <v>2021.0</v>
      </c>
      <c r="AC128" s="53">
        <v>2022.0</v>
      </c>
      <c r="AD128" s="53">
        <v>2023.0</v>
      </c>
      <c r="AE128" s="53">
        <v>2024.0</v>
      </c>
      <c r="AF128" s="11"/>
      <c r="AG128" s="11"/>
      <c r="AH128" s="11"/>
      <c r="AI128" s="11"/>
      <c r="AJ128" s="11"/>
      <c r="AK128" s="11"/>
      <c r="AL128" s="11"/>
      <c r="AM128" s="11"/>
      <c r="AN128" s="11"/>
      <c r="AO128" s="11" t="s">
        <v>347</v>
      </c>
      <c r="AP128" s="53">
        <v>0.0</v>
      </c>
      <c r="AQ128" s="53">
        <v>0.0</v>
      </c>
      <c r="AR128" s="53">
        <v>0.0</v>
      </c>
      <c r="AS128" s="11"/>
      <c r="AT128" s="11"/>
      <c r="AU128" s="11"/>
      <c r="AV128" s="11"/>
      <c r="AW128" s="11"/>
      <c r="AX128" s="11"/>
      <c r="AY128" s="11" t="s">
        <v>527</v>
      </c>
      <c r="AZ128" s="11"/>
      <c r="BA128" s="11"/>
      <c r="BB128" s="11"/>
      <c r="BC128" s="11"/>
      <c r="BD128" s="11"/>
      <c r="BE128" s="40" t="s">
        <v>929</v>
      </c>
      <c r="BF128" s="11">
        <v>7852.22</v>
      </c>
      <c r="BG128" s="11">
        <v>7827.02</v>
      </c>
      <c r="BH128" s="11">
        <v>7791.65</v>
      </c>
      <c r="BI128" s="11"/>
      <c r="BJ128" s="11" t="s">
        <v>948</v>
      </c>
      <c r="BK128" s="11">
        <v>7871.136</v>
      </c>
      <c r="BL128" s="11">
        <v>7786.056</v>
      </c>
      <c r="BM128" s="11">
        <v>8010.814</v>
      </c>
      <c r="BN128" s="11"/>
      <c r="BO128" s="11" t="s">
        <v>845</v>
      </c>
      <c r="BP128" s="11"/>
      <c r="BQ128" s="11"/>
      <c r="BR128" s="11"/>
      <c r="BS128" s="11"/>
      <c r="BT128" s="11"/>
      <c r="BU128" s="11"/>
      <c r="BV128" s="11" t="s">
        <v>949</v>
      </c>
      <c r="BW128" s="11">
        <v>152416.802</v>
      </c>
      <c r="BX128" s="11">
        <v>166259.584</v>
      </c>
      <c r="BY128" s="11">
        <v>198951.18</v>
      </c>
      <c r="BZ128" s="11">
        <v>228310.44157</v>
      </c>
      <c r="CA128" s="11"/>
      <c r="CB128" s="11" t="s">
        <v>271</v>
      </c>
      <c r="CC128" s="11"/>
      <c r="CD128" s="11"/>
      <c r="CE128" s="11"/>
      <c r="CF128" s="11"/>
      <c r="CG128" s="11" t="s">
        <v>950</v>
      </c>
      <c r="CH128" s="11">
        <v>10.0</v>
      </c>
      <c r="CI128" s="11">
        <v>-0.10859999999775</v>
      </c>
      <c r="CJ128" s="11"/>
      <c r="CK128" s="11"/>
      <c r="CL128" s="40" t="s">
        <v>951</v>
      </c>
      <c r="CM128" s="40"/>
      <c r="CN128" s="40"/>
      <c r="CO128" s="40"/>
      <c r="CP128" s="40" t="s">
        <v>951</v>
      </c>
      <c r="CQ128" s="40"/>
      <c r="CR128" s="40"/>
      <c r="CS128" s="40"/>
      <c r="CT128" s="40"/>
      <c r="CU128" s="40"/>
      <c r="CV128" s="11"/>
      <c r="CW128" s="11"/>
      <c r="CX128" s="11"/>
      <c r="CY128" s="11"/>
      <c r="C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 t="s">
        <v>322</v>
      </c>
      <c r="J129" s="53">
        <v>2019.0</v>
      </c>
      <c r="K129" s="53">
        <v>2020.0</v>
      </c>
      <c r="L129" s="53">
        <v>2021.0</v>
      </c>
      <c r="M129" s="53">
        <v>2022.0</v>
      </c>
      <c r="N129" s="53">
        <v>2023.0</v>
      </c>
      <c r="O129" s="53">
        <v>2024.0</v>
      </c>
      <c r="P129" s="11"/>
      <c r="Q129" s="11" t="s">
        <v>947</v>
      </c>
      <c r="R129" s="11"/>
      <c r="S129" s="11"/>
      <c r="T129" s="11"/>
      <c r="U129" s="11"/>
      <c r="V129" s="11"/>
      <c r="W129" s="11">
        <v>23052.958</v>
      </c>
      <c r="X129" s="11"/>
      <c r="Y129" s="11" t="s">
        <v>952</v>
      </c>
      <c r="Z129" s="11">
        <v>0.0</v>
      </c>
      <c r="AA129" s="11">
        <v>0.0</v>
      </c>
      <c r="AB129" s="11">
        <v>0.0</v>
      </c>
      <c r="AC129" s="11">
        <v>0.0</v>
      </c>
      <c r="AD129" s="11">
        <v>0.0</v>
      </c>
      <c r="AE129" s="11">
        <v>0.0</v>
      </c>
      <c r="AF129" s="11"/>
      <c r="AG129" s="11"/>
      <c r="AH129" s="11"/>
      <c r="AI129" s="11"/>
      <c r="AJ129" s="11"/>
      <c r="AK129" s="11"/>
      <c r="AL129" s="11"/>
      <c r="AM129" s="11"/>
      <c r="AN129" s="11"/>
      <c r="AO129" s="11" t="s">
        <v>953</v>
      </c>
      <c r="AP129" s="11">
        <v>0.0</v>
      </c>
      <c r="AQ129" s="11">
        <v>84.33</v>
      </c>
      <c r="AR129" s="11">
        <v>41.09</v>
      </c>
      <c r="AS129" s="11"/>
      <c r="AT129" s="11" t="s">
        <v>394</v>
      </c>
      <c r="AU129" s="11"/>
      <c r="AV129" s="11"/>
      <c r="AW129" s="11"/>
      <c r="AX129" s="11"/>
      <c r="AY129" s="11" t="s">
        <v>530</v>
      </c>
      <c r="AZ129" s="11"/>
      <c r="BA129" s="11"/>
      <c r="BB129" s="11"/>
      <c r="BC129" s="11"/>
      <c r="BD129" s="11"/>
      <c r="BE129" s="40" t="s">
        <v>954</v>
      </c>
      <c r="BF129" s="11">
        <v>2041.577</v>
      </c>
      <c r="BG129" s="11">
        <v>3130.808</v>
      </c>
      <c r="BH129" s="11">
        <v>3116.66</v>
      </c>
      <c r="BI129" s="11"/>
      <c r="BJ129" s="11" t="s">
        <v>411</v>
      </c>
      <c r="BK129" s="11">
        <v>13192.852</v>
      </c>
      <c r="BL129" s="11">
        <v>16982.156</v>
      </c>
      <c r="BM129" s="11">
        <v>22915.269</v>
      </c>
      <c r="BN129" s="11"/>
      <c r="BO129" s="11" t="s">
        <v>397</v>
      </c>
      <c r="BP129" s="11"/>
      <c r="BQ129" s="11"/>
      <c r="BR129" s="11"/>
      <c r="BS129" s="11"/>
      <c r="BT129" s="11"/>
      <c r="BU129" s="11"/>
      <c r="BV129" s="11" t="s">
        <v>411</v>
      </c>
      <c r="BW129" s="11">
        <v>152416.802</v>
      </c>
      <c r="BX129" s="11">
        <v>166259.584</v>
      </c>
      <c r="BY129" s="11">
        <v>198951.18</v>
      </c>
      <c r="BZ129" s="11">
        <v>228310.44157</v>
      </c>
      <c r="CA129" s="11"/>
      <c r="CB129" s="11" t="s">
        <v>397</v>
      </c>
      <c r="CC129" s="11"/>
      <c r="CD129" s="11"/>
      <c r="CE129" s="11"/>
      <c r="CF129" s="11"/>
      <c r="CG129" s="11" t="s">
        <v>955</v>
      </c>
      <c r="CH129" s="11">
        <v>33.47525</v>
      </c>
      <c r="CI129" s="11"/>
      <c r="CJ129" s="11"/>
      <c r="CK129" s="11"/>
      <c r="CL129" s="40" t="s">
        <v>956</v>
      </c>
      <c r="CM129" s="40"/>
      <c r="CN129" s="43">
        <v>0.9375</v>
      </c>
      <c r="CO129" s="40"/>
      <c r="CP129" s="40" t="s">
        <v>224</v>
      </c>
      <c r="CQ129" s="43">
        <v>130.039</v>
      </c>
      <c r="CR129" s="40"/>
      <c r="CS129" s="40"/>
      <c r="CT129" s="40"/>
      <c r="CU129" s="40"/>
      <c r="CV129" s="11"/>
      <c r="CW129" s="11"/>
      <c r="CX129" s="11"/>
      <c r="CY129" s="11"/>
      <c r="C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 t="s">
        <v>322</v>
      </c>
      <c r="J130" s="11"/>
      <c r="K130" s="11"/>
      <c r="L130" s="11"/>
      <c r="M130" s="11">
        <v>8929.365</v>
      </c>
      <c r="N130" s="11">
        <v>17493.707</v>
      </c>
      <c r="O130" s="11"/>
      <c r="P130" s="11"/>
      <c r="Q130" s="11" t="s">
        <v>952</v>
      </c>
      <c r="R130" s="11">
        <v>0.0</v>
      </c>
      <c r="S130" s="11">
        <v>0.0</v>
      </c>
      <c r="T130" s="11">
        <v>0.0</v>
      </c>
      <c r="U130" s="11">
        <v>0.0</v>
      </c>
      <c r="V130" s="11">
        <v>0.0</v>
      </c>
      <c r="W130" s="11">
        <v>23052.958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 t="s">
        <v>411</v>
      </c>
      <c r="AP130" s="11">
        <v>0.0</v>
      </c>
      <c r="AQ130" s="11">
        <v>84.33</v>
      </c>
      <c r="AR130" s="11">
        <v>41.09</v>
      </c>
      <c r="AS130" s="11"/>
      <c r="AT130" s="11" t="s">
        <v>397</v>
      </c>
      <c r="AU130" s="11"/>
      <c r="AV130" s="11"/>
      <c r="AW130" s="11"/>
      <c r="AX130" s="11"/>
      <c r="AY130" s="11" t="s">
        <v>411</v>
      </c>
      <c r="AZ130" s="11">
        <v>0.0</v>
      </c>
      <c r="BA130" s="11">
        <v>0.0</v>
      </c>
      <c r="BB130" s="11">
        <v>0.0</v>
      </c>
      <c r="BC130" s="11">
        <v>0.0</v>
      </c>
      <c r="BD130" s="11"/>
      <c r="BE130" s="40" t="s">
        <v>957</v>
      </c>
      <c r="BF130" s="11">
        <v>1000.0</v>
      </c>
      <c r="BG130" s="11"/>
      <c r="BH130" s="11"/>
      <c r="BI130" s="11"/>
      <c r="BJ130" s="11"/>
      <c r="BK130" s="11"/>
      <c r="BL130" s="11"/>
      <c r="BM130" s="11"/>
      <c r="BN130" s="11"/>
      <c r="BO130" s="11" t="s">
        <v>852</v>
      </c>
      <c r="BP130" s="53">
        <v>0.0</v>
      </c>
      <c r="BQ130" s="53">
        <v>0.0</v>
      </c>
      <c r="BR130" s="53">
        <v>0.0</v>
      </c>
      <c r="BS130" s="53">
        <v>0.0</v>
      </c>
      <c r="BT130" s="53">
        <v>0.0</v>
      </c>
      <c r="BU130" s="11"/>
      <c r="BV130" s="11"/>
      <c r="BW130" s="11"/>
      <c r="BX130" s="11"/>
      <c r="BY130" s="11"/>
      <c r="BZ130" s="11"/>
      <c r="CA130" s="11"/>
      <c r="CB130" s="11" t="s">
        <v>958</v>
      </c>
      <c r="CC130" s="53">
        <v>0.0</v>
      </c>
      <c r="CD130" s="53">
        <v>0.0</v>
      </c>
      <c r="CE130" s="53">
        <v>0.0</v>
      </c>
      <c r="CF130" s="11"/>
      <c r="CG130" s="11" t="s">
        <v>959</v>
      </c>
      <c r="CH130" s="11">
        <v>10.0</v>
      </c>
      <c r="CI130" s="11"/>
      <c r="CJ130" s="11"/>
      <c r="CK130" s="11"/>
      <c r="CL130" s="40" t="s">
        <v>960</v>
      </c>
      <c r="CM130" s="40"/>
      <c r="CN130" s="40"/>
      <c r="CO130" s="40"/>
      <c r="CP130" s="40" t="s">
        <v>960</v>
      </c>
      <c r="CQ130" s="40"/>
      <c r="CR130" s="40"/>
      <c r="CS130" s="40"/>
      <c r="CT130" s="40"/>
      <c r="CU130" s="40"/>
      <c r="CV130" s="11"/>
      <c r="CW130" s="11"/>
      <c r="CX130" s="11"/>
      <c r="CY130" s="11"/>
      <c r="C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 t="s">
        <v>849</v>
      </c>
      <c r="J131" s="11">
        <v>0.0</v>
      </c>
      <c r="K131" s="11">
        <v>0.0</v>
      </c>
      <c r="L131" s="11">
        <v>0.0</v>
      </c>
      <c r="M131" s="11">
        <v>8929.365</v>
      </c>
      <c r="N131" s="11">
        <v>17493.707</v>
      </c>
      <c r="O131" s="11">
        <v>0.0</v>
      </c>
      <c r="P131" s="11"/>
      <c r="Q131" s="11"/>
      <c r="R131" s="11"/>
      <c r="S131" s="11"/>
      <c r="T131" s="11"/>
      <c r="U131" s="11"/>
      <c r="V131" s="11"/>
      <c r="W131" s="11"/>
      <c r="X131" s="11"/>
      <c r="Y131" s="11" t="s">
        <v>715</v>
      </c>
      <c r="Z131" s="53">
        <v>2019.0</v>
      </c>
      <c r="AA131" s="53">
        <v>2020.0</v>
      </c>
      <c r="AB131" s="53">
        <v>2021.0</v>
      </c>
      <c r="AC131" s="53">
        <v>2022.0</v>
      </c>
      <c r="AD131" s="53">
        <v>2023.0</v>
      </c>
      <c r="AE131" s="53">
        <v>2024.0</v>
      </c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 t="s">
        <v>347</v>
      </c>
      <c r="AU131" s="53">
        <v>0.0</v>
      </c>
      <c r="AV131" s="53">
        <v>0.0</v>
      </c>
      <c r="AW131" s="53">
        <v>0.0</v>
      </c>
      <c r="AX131" s="11"/>
      <c r="AY131" s="11"/>
      <c r="AZ131" s="11"/>
      <c r="BA131" s="11"/>
      <c r="BB131" s="11"/>
      <c r="BC131" s="11"/>
      <c r="BD131" s="11"/>
      <c r="BE131" s="40" t="s">
        <v>857</v>
      </c>
      <c r="BF131" s="11">
        <v>25245.176</v>
      </c>
      <c r="BG131" s="11">
        <v>43906.206</v>
      </c>
      <c r="BH131" s="11">
        <v>43685.16800000001</v>
      </c>
      <c r="BI131" s="11"/>
      <c r="BJ131" s="11" t="s">
        <v>845</v>
      </c>
      <c r="BK131" s="11"/>
      <c r="BL131" s="11"/>
      <c r="BM131" s="11"/>
      <c r="BN131" s="11"/>
      <c r="BO131" s="11" t="s">
        <v>298</v>
      </c>
      <c r="BP131" s="11"/>
      <c r="BQ131" s="11"/>
      <c r="BR131" s="11">
        <v>18601.9709</v>
      </c>
      <c r="BS131" s="11">
        <v>22123.91735</v>
      </c>
      <c r="BT131" s="11"/>
      <c r="BU131" s="11"/>
      <c r="BV131" s="11" t="s">
        <v>397</v>
      </c>
      <c r="BW131" s="11"/>
      <c r="BX131" s="11"/>
      <c r="BY131" s="11"/>
      <c r="BZ131" s="11"/>
      <c r="CA131" s="11"/>
      <c r="CB131" s="11" t="s">
        <v>557</v>
      </c>
      <c r="CC131" s="11">
        <v>321.476</v>
      </c>
      <c r="CD131" s="11">
        <v>321.476</v>
      </c>
      <c r="CE131" s="11">
        <v>321.476</v>
      </c>
      <c r="CF131" s="11"/>
      <c r="CG131" s="11" t="s">
        <v>961</v>
      </c>
      <c r="CH131" s="11">
        <v>5.7</v>
      </c>
      <c r="CI131" s="11"/>
      <c r="CJ131" s="11"/>
      <c r="CK131" s="11"/>
      <c r="CL131" s="40" t="s">
        <v>962</v>
      </c>
      <c r="CM131" s="40"/>
      <c r="CN131" s="40"/>
      <c r="CO131" s="40"/>
      <c r="CP131" s="40" t="s">
        <v>962</v>
      </c>
      <c r="CQ131" s="40"/>
      <c r="CR131" s="40"/>
      <c r="CS131" s="40"/>
      <c r="CT131" s="40"/>
      <c r="CU131" s="40"/>
      <c r="CV131" s="11"/>
      <c r="CW131" s="11"/>
      <c r="CX131" s="11"/>
      <c r="CY131" s="11"/>
      <c r="C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 t="s">
        <v>715</v>
      </c>
      <c r="R132" s="53">
        <v>2019.0</v>
      </c>
      <c r="S132" s="53">
        <v>2020.0</v>
      </c>
      <c r="T132" s="53">
        <v>2021.0</v>
      </c>
      <c r="U132" s="53">
        <v>2022.0</v>
      </c>
      <c r="V132" s="53">
        <v>2023.0</v>
      </c>
      <c r="W132" s="53">
        <v>2024.0</v>
      </c>
      <c r="X132" s="11"/>
      <c r="Y132" s="11" t="s">
        <v>332</v>
      </c>
      <c r="Z132" s="11"/>
      <c r="AA132" s="11"/>
      <c r="AB132" s="11">
        <v>21388.0</v>
      </c>
      <c r="AC132" s="11">
        <v>21388.0</v>
      </c>
      <c r="AD132" s="11">
        <v>21388.0</v>
      </c>
      <c r="AE132" s="11">
        <v>21388.0</v>
      </c>
      <c r="AF132" s="11"/>
      <c r="AG132" s="11"/>
      <c r="AH132" s="11"/>
      <c r="AI132" s="11"/>
      <c r="AJ132" s="11"/>
      <c r="AK132" s="11"/>
      <c r="AL132" s="11"/>
      <c r="AM132" s="11"/>
      <c r="AN132" s="11"/>
      <c r="AO132" s="11" t="s">
        <v>397</v>
      </c>
      <c r="AP132" s="11"/>
      <c r="AQ132" s="11"/>
      <c r="AR132" s="11"/>
      <c r="AS132" s="11"/>
      <c r="AT132" s="11" t="s">
        <v>963</v>
      </c>
      <c r="AU132" s="11">
        <v>0.0</v>
      </c>
      <c r="AV132" s="11">
        <v>7801.08524</v>
      </c>
      <c r="AW132" s="11"/>
      <c r="AX132" s="11"/>
      <c r="AY132" s="11" t="s">
        <v>397</v>
      </c>
      <c r="AZ132" s="11"/>
      <c r="BA132" s="11"/>
      <c r="BB132" s="11"/>
      <c r="BC132" s="11"/>
      <c r="BD132" s="11"/>
      <c r="BE132" s="40" t="s">
        <v>411</v>
      </c>
      <c r="BF132" s="11">
        <v>25245.176</v>
      </c>
      <c r="BG132" s="11">
        <v>43906.206</v>
      </c>
      <c r="BH132" s="11">
        <v>43685.16800000001</v>
      </c>
      <c r="BI132" s="11"/>
      <c r="BJ132" s="11" t="s">
        <v>397</v>
      </c>
      <c r="BK132" s="11"/>
      <c r="BL132" s="11"/>
      <c r="BM132" s="11"/>
      <c r="BN132" s="11"/>
      <c r="BO132" s="11" t="s">
        <v>857</v>
      </c>
      <c r="BP132" s="11">
        <v>0.0</v>
      </c>
      <c r="BQ132" s="11">
        <v>0.0</v>
      </c>
      <c r="BR132" s="11">
        <v>18601.9709</v>
      </c>
      <c r="BS132" s="11">
        <v>22123.91735</v>
      </c>
      <c r="BT132" s="11">
        <v>0.0</v>
      </c>
      <c r="BU132" s="11"/>
      <c r="BV132" s="11" t="s">
        <v>964</v>
      </c>
      <c r="BW132" s="53">
        <v>0.0</v>
      </c>
      <c r="BX132" s="53">
        <v>0.0</v>
      </c>
      <c r="BY132" s="53">
        <v>0.0</v>
      </c>
      <c r="BZ132" s="53">
        <v>0.0</v>
      </c>
      <c r="CA132" s="11"/>
      <c r="CB132" s="11" t="s">
        <v>517</v>
      </c>
      <c r="CC132" s="11">
        <v>3221.285</v>
      </c>
      <c r="CD132" s="11"/>
      <c r="CE132" s="11"/>
      <c r="CF132" s="11"/>
      <c r="CG132" s="11" t="s">
        <v>965</v>
      </c>
      <c r="CH132" s="11">
        <v>25.68</v>
      </c>
      <c r="CI132" s="11">
        <v>21.68</v>
      </c>
      <c r="CJ132" s="11">
        <v>9.978</v>
      </c>
      <c r="CK132" s="11"/>
      <c r="CL132" s="40" t="s">
        <v>966</v>
      </c>
      <c r="CM132" s="40"/>
      <c r="CN132" s="40"/>
      <c r="CO132" s="40"/>
      <c r="CP132" s="40" t="s">
        <v>967</v>
      </c>
      <c r="CQ132" s="40"/>
      <c r="CR132" s="40"/>
      <c r="CS132" s="43">
        <v>1.07866</v>
      </c>
      <c r="CT132" s="43">
        <v>1.24291</v>
      </c>
      <c r="CU132" s="43">
        <v>3.25408</v>
      </c>
      <c r="CV132" s="11"/>
      <c r="CW132" s="11"/>
      <c r="CX132" s="11"/>
      <c r="CY132" s="11"/>
      <c r="C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 t="s">
        <v>663</v>
      </c>
      <c r="J133" s="53">
        <v>2019.0</v>
      </c>
      <c r="K133" s="53">
        <v>2020.0</v>
      </c>
      <c r="L133" s="53">
        <v>2021.0</v>
      </c>
      <c r="M133" s="53">
        <v>2022.0</v>
      </c>
      <c r="N133" s="53">
        <v>2023.0</v>
      </c>
      <c r="O133" s="53">
        <v>2024.0</v>
      </c>
      <c r="P133" s="11"/>
      <c r="Q133" s="11" t="s">
        <v>332</v>
      </c>
      <c r="R133" s="11">
        <v>2125.0</v>
      </c>
      <c r="S133" s="11">
        <v>128348.0</v>
      </c>
      <c r="T133" s="11">
        <v>128370.973</v>
      </c>
      <c r="U133" s="11">
        <v>128397.925</v>
      </c>
      <c r="V133" s="11">
        <v>128397.925</v>
      </c>
      <c r="W133" s="11">
        <v>128414.005</v>
      </c>
      <c r="X133" s="11"/>
      <c r="Y133" s="11" t="s">
        <v>334</v>
      </c>
      <c r="Z133" s="11"/>
      <c r="AA133" s="11"/>
      <c r="AB133" s="11">
        <v>71.441</v>
      </c>
      <c r="AC133" s="11">
        <v>71.441</v>
      </c>
      <c r="AD133" s="11">
        <v>119.549</v>
      </c>
      <c r="AE133" s="11">
        <v>119.549</v>
      </c>
      <c r="AF133" s="11"/>
      <c r="AG133" s="11"/>
      <c r="AH133" s="11"/>
      <c r="AI133" s="11"/>
      <c r="AJ133" s="11"/>
      <c r="AK133" s="11"/>
      <c r="AL133" s="11"/>
      <c r="AM133" s="11"/>
      <c r="AN133" s="11"/>
      <c r="AO133" s="11" t="s">
        <v>354</v>
      </c>
      <c r="AP133" s="53">
        <v>0.0</v>
      </c>
      <c r="AQ133" s="53">
        <v>0.0</v>
      </c>
      <c r="AR133" s="53">
        <v>0.0</v>
      </c>
      <c r="AS133" s="11"/>
      <c r="AT133" s="11" t="s">
        <v>411</v>
      </c>
      <c r="AU133" s="11">
        <v>0.0</v>
      </c>
      <c r="AV133" s="11">
        <v>7801.08524</v>
      </c>
      <c r="AW133" s="11">
        <v>0.0</v>
      </c>
      <c r="AX133" s="11"/>
      <c r="AY133" s="11" t="s">
        <v>968</v>
      </c>
      <c r="AZ133" s="53">
        <v>0.0</v>
      </c>
      <c r="BA133" s="53">
        <v>0.0</v>
      </c>
      <c r="BB133" s="53">
        <v>0.0</v>
      </c>
      <c r="BC133" s="53">
        <v>0.0</v>
      </c>
      <c r="BD133" s="11"/>
      <c r="BE133" s="40"/>
      <c r="BF133" s="11"/>
      <c r="BG133" s="11"/>
      <c r="BH133" s="11"/>
      <c r="BI133" s="11"/>
      <c r="BJ133" s="11" t="s">
        <v>852</v>
      </c>
      <c r="BK133" s="53">
        <v>0.0</v>
      </c>
      <c r="BL133" s="53">
        <v>0.0</v>
      </c>
      <c r="BM133" s="53">
        <v>0.0</v>
      </c>
      <c r="BN133" s="11"/>
      <c r="BO133" s="11" t="s">
        <v>794</v>
      </c>
      <c r="BP133" s="53">
        <v>0.0</v>
      </c>
      <c r="BQ133" s="53">
        <v>0.0</v>
      </c>
      <c r="BR133" s="53">
        <v>0.0</v>
      </c>
      <c r="BS133" s="53">
        <v>0.0</v>
      </c>
      <c r="BT133" s="53">
        <v>0.0</v>
      </c>
      <c r="BU133" s="11"/>
      <c r="BV133" s="11" t="s">
        <v>969</v>
      </c>
      <c r="BW133" s="11">
        <v>211503.848</v>
      </c>
      <c r="BX133" s="11">
        <v>247016.035</v>
      </c>
      <c r="BY133" s="11">
        <v>274742.233</v>
      </c>
      <c r="BZ133" s="11">
        <v>327820.12298</v>
      </c>
      <c r="CA133" s="11"/>
      <c r="CB133" s="11" t="s">
        <v>411</v>
      </c>
      <c r="CC133" s="11">
        <v>3542.761</v>
      </c>
      <c r="CD133" s="11">
        <v>321.476</v>
      </c>
      <c r="CE133" s="11">
        <v>321.476</v>
      </c>
      <c r="CF133" s="11"/>
      <c r="CG133" s="11" t="s">
        <v>970</v>
      </c>
      <c r="CH133" s="11"/>
      <c r="CI133" s="11">
        <v>1.5</v>
      </c>
      <c r="CJ133" s="11">
        <v>2.0</v>
      </c>
      <c r="CK133" s="11"/>
      <c r="CL133" s="40" t="s">
        <v>971</v>
      </c>
      <c r="CM133" s="40"/>
      <c r="CN133" s="43">
        <v>159.94742</v>
      </c>
      <c r="CO133" s="40"/>
      <c r="CP133" s="40" t="s">
        <v>972</v>
      </c>
      <c r="CQ133" s="40"/>
      <c r="CR133" s="40"/>
      <c r="CS133" s="43">
        <v>106.00081</v>
      </c>
      <c r="CT133" s="43">
        <v>23.63315</v>
      </c>
      <c r="CU133" s="43">
        <v>11.37303</v>
      </c>
      <c r="CV133" s="11"/>
      <c r="CW133" s="11"/>
      <c r="CX133" s="11"/>
      <c r="CY133" s="11"/>
      <c r="C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 t="s">
        <v>856</v>
      </c>
      <c r="J134" s="11"/>
      <c r="K134" s="11">
        <v>2698.0</v>
      </c>
      <c r="L134" s="11">
        <v>2006.0</v>
      </c>
      <c r="M134" s="11">
        <v>17662.693</v>
      </c>
      <c r="N134" s="11">
        <v>18017.129</v>
      </c>
      <c r="O134" s="11">
        <v>5366.486</v>
      </c>
      <c r="P134" s="11"/>
      <c r="Q134" s="11" t="s">
        <v>333</v>
      </c>
      <c r="R134" s="11">
        <v>17.0</v>
      </c>
      <c r="S134" s="11">
        <v>17.0</v>
      </c>
      <c r="T134" s="11">
        <v>17.0</v>
      </c>
      <c r="U134" s="11">
        <v>17.0</v>
      </c>
      <c r="V134" s="11">
        <v>17.0</v>
      </c>
      <c r="W134" s="11"/>
      <c r="X134" s="11"/>
      <c r="Y134" s="11" t="s">
        <v>337</v>
      </c>
      <c r="Z134" s="11"/>
      <c r="AA134" s="11"/>
      <c r="AB134" s="11">
        <v>88.465</v>
      </c>
      <c r="AC134" s="11">
        <v>-2619.893</v>
      </c>
      <c r="AD134" s="11">
        <v>-1956.339</v>
      </c>
      <c r="AE134" s="11">
        <v>-1956.339</v>
      </c>
      <c r="AF134" s="11"/>
      <c r="AG134" s="11"/>
      <c r="AH134" s="11"/>
      <c r="AI134" s="11"/>
      <c r="AJ134" s="11"/>
      <c r="AK134" s="11"/>
      <c r="AL134" s="11"/>
      <c r="AM134" s="11"/>
      <c r="AN134" s="11"/>
      <c r="AO134" s="11" t="s">
        <v>354</v>
      </c>
      <c r="AP134" s="11"/>
      <c r="AQ134" s="11"/>
      <c r="AR134" s="11"/>
      <c r="AS134" s="11"/>
      <c r="AT134" s="11"/>
      <c r="AU134" s="11"/>
      <c r="AV134" s="11"/>
      <c r="AW134" s="11"/>
      <c r="AX134" s="11"/>
      <c r="AY134" s="11" t="s">
        <v>973</v>
      </c>
      <c r="AZ134" s="11">
        <v>12068.202</v>
      </c>
      <c r="BA134" s="11">
        <v>7742.71855</v>
      </c>
      <c r="BB134" s="11">
        <v>4908.51428</v>
      </c>
      <c r="BC134" s="11">
        <v>4697.95634</v>
      </c>
      <c r="BD134" s="11"/>
      <c r="BE134" s="40" t="s">
        <v>802</v>
      </c>
      <c r="BF134" s="11"/>
      <c r="BG134" s="11"/>
      <c r="BH134" s="11"/>
      <c r="BI134" s="11"/>
      <c r="BJ134" s="11" t="s">
        <v>857</v>
      </c>
      <c r="BK134" s="11">
        <v>0.0</v>
      </c>
      <c r="BL134" s="11">
        <v>0.0</v>
      </c>
      <c r="BM134" s="11">
        <v>0.0</v>
      </c>
      <c r="BN134" s="11"/>
      <c r="BO134" s="11" t="s">
        <v>974</v>
      </c>
      <c r="BP134" s="11">
        <v>800.0</v>
      </c>
      <c r="BQ134" s="11"/>
      <c r="BR134" s="11">
        <v>1525.0</v>
      </c>
      <c r="BS134" s="11">
        <v>1600.0</v>
      </c>
      <c r="BT134" s="11"/>
      <c r="BU134" s="11"/>
      <c r="BV134" s="11" t="s">
        <v>411</v>
      </c>
      <c r="BW134" s="11">
        <v>211503.848</v>
      </c>
      <c r="BX134" s="11">
        <v>247016.035</v>
      </c>
      <c r="BY134" s="11">
        <v>274742.233</v>
      </c>
      <c r="BZ134" s="11">
        <v>327820.12298</v>
      </c>
      <c r="CA134" s="11"/>
      <c r="CB134" s="11"/>
      <c r="CC134" s="11"/>
      <c r="CD134" s="11"/>
      <c r="CE134" s="11"/>
      <c r="CF134" s="11"/>
      <c r="CG134" s="11" t="s">
        <v>975</v>
      </c>
      <c r="CH134" s="11"/>
      <c r="CI134" s="11">
        <v>4.0</v>
      </c>
      <c r="CJ134" s="11"/>
      <c r="CK134" s="11"/>
      <c r="CL134" s="40" t="s">
        <v>411</v>
      </c>
      <c r="CM134" s="43">
        <v>5.53007000000005</v>
      </c>
      <c r="CN134" s="43">
        <v>176.4925</v>
      </c>
      <c r="CO134" s="40"/>
      <c r="CP134" s="40" t="s">
        <v>966</v>
      </c>
      <c r="CQ134" s="40"/>
      <c r="CR134" s="40"/>
      <c r="CS134" s="43">
        <v>2.82859</v>
      </c>
      <c r="CT134" s="43">
        <v>1.32437</v>
      </c>
      <c r="CU134" s="43">
        <v>3.339755</v>
      </c>
      <c r="CV134" s="11"/>
      <c r="CW134" s="11"/>
      <c r="CX134" s="11"/>
      <c r="CY134" s="11"/>
      <c r="C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 t="s">
        <v>677</v>
      </c>
      <c r="J135" s="11">
        <v>0.0</v>
      </c>
      <c r="K135" s="11">
        <v>2698.0</v>
      </c>
      <c r="L135" s="11">
        <v>2006.0</v>
      </c>
      <c r="M135" s="11">
        <v>17662.693</v>
      </c>
      <c r="N135" s="11">
        <v>18017.129</v>
      </c>
      <c r="O135" s="11">
        <v>5366.486</v>
      </c>
      <c r="P135" s="11"/>
      <c r="Q135" s="11" t="s">
        <v>334</v>
      </c>
      <c r="R135" s="11">
        <v>3431.0</v>
      </c>
      <c r="S135" s="11">
        <v>3668.0</v>
      </c>
      <c r="T135" s="11">
        <v>3835.227</v>
      </c>
      <c r="U135" s="11">
        <v>4086.595</v>
      </c>
      <c r="V135" s="11">
        <v>4175.852</v>
      </c>
      <c r="W135" s="11">
        <v>4541.229</v>
      </c>
      <c r="X135" s="11"/>
      <c r="Y135" s="11" t="s">
        <v>728</v>
      </c>
      <c r="Z135" s="11"/>
      <c r="AA135" s="11"/>
      <c r="AB135" s="11"/>
      <c r="AC135" s="11"/>
      <c r="AD135" s="11"/>
      <c r="AE135" s="11">
        <v>1111.626</v>
      </c>
      <c r="AF135" s="11"/>
      <c r="AG135" s="11"/>
      <c r="AH135" s="11"/>
      <c r="AI135" s="11"/>
      <c r="AJ135" s="11"/>
      <c r="AK135" s="11"/>
      <c r="AL135" s="11"/>
      <c r="AM135" s="11"/>
      <c r="AN135" s="11"/>
      <c r="AO135" s="11" t="s">
        <v>411</v>
      </c>
      <c r="AP135" s="11">
        <v>0.0</v>
      </c>
      <c r="AQ135" s="11">
        <v>0.0</v>
      </c>
      <c r="AR135" s="11">
        <v>0.0</v>
      </c>
      <c r="AS135" s="11"/>
      <c r="AT135" s="11" t="s">
        <v>354</v>
      </c>
      <c r="AU135" s="53">
        <v>0.0</v>
      </c>
      <c r="AV135" s="53">
        <v>0.0</v>
      </c>
      <c r="AW135" s="53">
        <v>0.0</v>
      </c>
      <c r="AX135" s="11"/>
      <c r="AY135" s="11" t="s">
        <v>411</v>
      </c>
      <c r="AZ135" s="11">
        <v>12068.202</v>
      </c>
      <c r="BA135" s="11">
        <v>7742.71855</v>
      </c>
      <c r="BB135" s="11">
        <v>4908.51428</v>
      </c>
      <c r="BC135" s="11">
        <v>4697.95634</v>
      </c>
      <c r="BD135" s="11"/>
      <c r="BE135" s="40" t="s">
        <v>397</v>
      </c>
      <c r="BF135" s="11"/>
      <c r="BG135" s="11"/>
      <c r="BH135" s="11"/>
      <c r="BI135" s="11"/>
      <c r="BJ135" s="11" t="s">
        <v>794</v>
      </c>
      <c r="BK135" s="53">
        <v>0.0</v>
      </c>
      <c r="BL135" s="53">
        <v>0.0</v>
      </c>
      <c r="BM135" s="53">
        <v>0.0</v>
      </c>
      <c r="BN135" s="11"/>
      <c r="BO135" s="11" t="s">
        <v>976</v>
      </c>
      <c r="BP135" s="11">
        <v>7750.0</v>
      </c>
      <c r="BQ135" s="11">
        <v>20069.71197</v>
      </c>
      <c r="BR135" s="11">
        <v>20415.772</v>
      </c>
      <c r="BS135" s="11">
        <v>20350.252</v>
      </c>
      <c r="BT135" s="11"/>
      <c r="BU135" s="11"/>
      <c r="BV135" s="11"/>
      <c r="BW135" s="11"/>
      <c r="BX135" s="11"/>
      <c r="BY135" s="11"/>
      <c r="BZ135" s="11"/>
      <c r="CA135" s="11"/>
      <c r="CB135" s="11" t="s">
        <v>397</v>
      </c>
      <c r="CC135" s="11"/>
      <c r="CD135" s="11"/>
      <c r="CE135" s="11"/>
      <c r="CF135" s="11"/>
      <c r="CG135" s="11" t="s">
        <v>977</v>
      </c>
      <c r="CH135" s="11">
        <v>51.9951</v>
      </c>
      <c r="CI135" s="11"/>
      <c r="CJ135" s="11"/>
      <c r="CK135" s="11"/>
      <c r="CL135" s="40"/>
      <c r="CM135" s="40"/>
      <c r="CN135" s="40"/>
      <c r="CO135" s="40"/>
      <c r="CP135" s="40" t="s">
        <v>411</v>
      </c>
      <c r="CQ135" s="43">
        <v>294.722</v>
      </c>
      <c r="CR135" s="43">
        <v>53.74499999999999</v>
      </c>
      <c r="CS135" s="43">
        <v>169.45457</v>
      </c>
      <c r="CT135" s="43">
        <v>773.6184800000001</v>
      </c>
      <c r="CU135" s="43">
        <v>26.601615</v>
      </c>
      <c r="CV135" s="11"/>
      <c r="CW135" s="11"/>
      <c r="CX135" s="11"/>
      <c r="CY135" s="11"/>
      <c r="C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 t="s">
        <v>335</v>
      </c>
      <c r="R136" s="11">
        <v>5872.0</v>
      </c>
      <c r="S136" s="11">
        <v>5917.0</v>
      </c>
      <c r="T136" s="11">
        <v>6351.685</v>
      </c>
      <c r="U136" s="11"/>
      <c r="V136" s="11"/>
      <c r="W136" s="11"/>
      <c r="X136" s="11"/>
      <c r="Y136" s="11" t="s">
        <v>733</v>
      </c>
      <c r="Z136" s="11">
        <v>0.0</v>
      </c>
      <c r="AA136" s="11">
        <v>0.0</v>
      </c>
      <c r="AB136" s="11">
        <v>21547.906</v>
      </c>
      <c r="AC136" s="11">
        <v>18839.548</v>
      </c>
      <c r="AD136" s="11">
        <v>19551.21</v>
      </c>
      <c r="AE136" s="11">
        <v>20662.836</v>
      </c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 t="s">
        <v>354</v>
      </c>
      <c r="AU136" s="11">
        <v>0.0</v>
      </c>
      <c r="AV136" s="11">
        <v>5584.59541</v>
      </c>
      <c r="AW136" s="11"/>
      <c r="AX136" s="11"/>
      <c r="AY136" s="11"/>
      <c r="AZ136" s="11"/>
      <c r="BA136" s="11"/>
      <c r="BB136" s="11"/>
      <c r="BC136" s="11"/>
      <c r="BD136" s="11"/>
      <c r="BE136" s="40" t="s">
        <v>304</v>
      </c>
      <c r="BF136" s="53">
        <v>0.0</v>
      </c>
      <c r="BG136" s="53">
        <v>0.0</v>
      </c>
      <c r="BH136" s="11" t="e">
        <v>#REF!</v>
      </c>
      <c r="BI136" s="11"/>
      <c r="BJ136" s="11" t="s">
        <v>978</v>
      </c>
      <c r="BK136" s="11">
        <v>363500.0</v>
      </c>
      <c r="BL136" s="11">
        <v>323120.0</v>
      </c>
      <c r="BM136" s="11">
        <v>274664.0</v>
      </c>
      <c r="BN136" s="11"/>
      <c r="BO136" s="11" t="s">
        <v>979</v>
      </c>
      <c r="BP136" s="11"/>
      <c r="BQ136" s="11">
        <v>750.0</v>
      </c>
      <c r="BR136" s="11">
        <v>531.25</v>
      </c>
      <c r="BS136" s="11">
        <v>156.25</v>
      </c>
      <c r="BT136" s="11"/>
      <c r="BU136" s="11"/>
      <c r="BV136" s="11" t="s">
        <v>693</v>
      </c>
      <c r="BW136" s="11"/>
      <c r="BX136" s="11"/>
      <c r="BY136" s="11"/>
      <c r="BZ136" s="11"/>
      <c r="CA136" s="11"/>
      <c r="CB136" s="11" t="s">
        <v>835</v>
      </c>
      <c r="CC136" s="53">
        <v>0.0</v>
      </c>
      <c r="CD136" s="53">
        <v>0.0</v>
      </c>
      <c r="CE136" s="53">
        <v>0.0</v>
      </c>
      <c r="CF136" s="11"/>
      <c r="CG136" s="11" t="s">
        <v>980</v>
      </c>
      <c r="CH136" s="11">
        <v>303.93835</v>
      </c>
      <c r="CI136" s="11">
        <v>62.67073</v>
      </c>
      <c r="CJ136" s="11"/>
      <c r="CK136" s="11"/>
      <c r="CL136" s="40" t="s">
        <v>845</v>
      </c>
      <c r="CM136" s="40"/>
      <c r="CN136" s="40"/>
      <c r="CO136" s="40"/>
      <c r="CP136" s="40"/>
      <c r="CQ136" s="40"/>
      <c r="CR136" s="40"/>
      <c r="CS136" s="40"/>
      <c r="CT136" s="40"/>
      <c r="CU136" s="40"/>
      <c r="CV136" s="11"/>
      <c r="CW136" s="11"/>
      <c r="CX136" s="11"/>
      <c r="CY136" s="11"/>
      <c r="C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 t="s">
        <v>687</v>
      </c>
      <c r="J137" s="53">
        <v>2019.0</v>
      </c>
      <c r="K137" s="53">
        <v>2020.0</v>
      </c>
      <c r="L137" s="53">
        <v>2021.0</v>
      </c>
      <c r="M137" s="53">
        <v>2022.0</v>
      </c>
      <c r="N137" s="53">
        <v>2023.0</v>
      </c>
      <c r="O137" s="53">
        <v>2024.0</v>
      </c>
      <c r="P137" s="11"/>
      <c r="Q137" s="11" t="s">
        <v>981</v>
      </c>
      <c r="R137" s="11"/>
      <c r="S137" s="11"/>
      <c r="T137" s="11"/>
      <c r="U137" s="11">
        <v>5242.18</v>
      </c>
      <c r="V137" s="11">
        <v>5636.34</v>
      </c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 t="s">
        <v>982</v>
      </c>
      <c r="AP137" s="53">
        <v>0.0</v>
      </c>
      <c r="AQ137" s="53">
        <v>0.0</v>
      </c>
      <c r="AR137" s="53">
        <v>0.0</v>
      </c>
      <c r="AS137" s="11"/>
      <c r="AT137" s="11" t="s">
        <v>411</v>
      </c>
      <c r="AU137" s="11">
        <v>0.0</v>
      </c>
      <c r="AV137" s="11">
        <v>5584.59541</v>
      </c>
      <c r="AW137" s="11">
        <v>0.0</v>
      </c>
      <c r="AX137" s="11"/>
      <c r="AY137" s="11" t="s">
        <v>271</v>
      </c>
      <c r="AZ137" s="11"/>
      <c r="BA137" s="11"/>
      <c r="BB137" s="11"/>
      <c r="BC137" s="11"/>
      <c r="BD137" s="11"/>
      <c r="BE137" s="40" t="s">
        <v>411</v>
      </c>
      <c r="BF137" s="11">
        <v>0.0</v>
      </c>
      <c r="BG137" s="11">
        <v>0.0</v>
      </c>
      <c r="BH137" s="11">
        <v>0.0</v>
      </c>
      <c r="BI137" s="11"/>
      <c r="BJ137" s="11" t="s">
        <v>857</v>
      </c>
      <c r="BK137" s="11">
        <v>363500.0</v>
      </c>
      <c r="BL137" s="11">
        <v>323120.0</v>
      </c>
      <c r="BM137" s="11">
        <v>274664.0</v>
      </c>
      <c r="BN137" s="11"/>
      <c r="BO137" s="11" t="s">
        <v>857</v>
      </c>
      <c r="BP137" s="11">
        <v>8550.0</v>
      </c>
      <c r="BQ137" s="11">
        <v>20819.71197</v>
      </c>
      <c r="BR137" s="11">
        <v>22472.022</v>
      </c>
      <c r="BS137" s="11">
        <v>22106.502</v>
      </c>
      <c r="BT137" s="11">
        <v>0.0</v>
      </c>
      <c r="BU137" s="11"/>
      <c r="BV137" s="11" t="s">
        <v>397</v>
      </c>
      <c r="BW137" s="11"/>
      <c r="BX137" s="11"/>
      <c r="BY137" s="11"/>
      <c r="BZ137" s="11"/>
      <c r="CA137" s="11"/>
      <c r="CB137" s="11" t="s">
        <v>835</v>
      </c>
      <c r="CC137" s="11">
        <v>650.957</v>
      </c>
      <c r="CD137" s="11">
        <v>883.061</v>
      </c>
      <c r="CE137" s="11">
        <v>513.774</v>
      </c>
      <c r="CF137" s="11"/>
      <c r="CG137" s="11" t="s">
        <v>983</v>
      </c>
      <c r="CH137" s="11">
        <v>32.81332</v>
      </c>
      <c r="CI137" s="11">
        <v>32.81332</v>
      </c>
      <c r="CJ137" s="11"/>
      <c r="CK137" s="11"/>
      <c r="CL137" s="40" t="s">
        <v>397</v>
      </c>
      <c r="CM137" s="40"/>
      <c r="CN137" s="40"/>
      <c r="CO137" s="40"/>
      <c r="CP137" s="40" t="s">
        <v>845</v>
      </c>
      <c r="CQ137" s="40"/>
      <c r="CR137" s="40"/>
      <c r="CS137" s="40"/>
      <c r="CT137" s="40"/>
      <c r="CU137" s="40"/>
      <c r="CV137" s="11"/>
      <c r="CW137" s="11"/>
      <c r="CX137" s="11"/>
      <c r="CY137" s="11"/>
      <c r="C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 t="s">
        <v>984</v>
      </c>
      <c r="J138" s="11"/>
      <c r="K138" s="11">
        <v>6166.0</v>
      </c>
      <c r="L138" s="11">
        <v>992.0</v>
      </c>
      <c r="M138" s="11"/>
      <c r="N138" s="11"/>
      <c r="O138" s="11"/>
      <c r="P138" s="11"/>
      <c r="Q138" s="11" t="s">
        <v>336</v>
      </c>
      <c r="R138" s="11">
        <v>1893.0</v>
      </c>
      <c r="S138" s="11">
        <v>1050.0</v>
      </c>
      <c r="T138" s="11">
        <v>1146.926</v>
      </c>
      <c r="U138" s="11">
        <v>1237.59</v>
      </c>
      <c r="V138" s="11">
        <v>932.485</v>
      </c>
      <c r="W138" s="11"/>
      <c r="X138" s="11"/>
      <c r="Y138" s="11" t="s">
        <v>347</v>
      </c>
      <c r="Z138" s="53">
        <v>2019.0</v>
      </c>
      <c r="AA138" s="53">
        <v>2020.0</v>
      </c>
      <c r="AB138" s="53">
        <v>2021.0</v>
      </c>
      <c r="AC138" s="53">
        <v>2022.0</v>
      </c>
      <c r="AD138" s="53">
        <v>2023.0</v>
      </c>
      <c r="AE138" s="53">
        <v>2024.0</v>
      </c>
      <c r="AF138" s="11"/>
      <c r="AG138" s="11"/>
      <c r="AH138" s="11"/>
      <c r="AI138" s="11"/>
      <c r="AJ138" s="11"/>
      <c r="AK138" s="11"/>
      <c r="AL138" s="11"/>
      <c r="AM138" s="11"/>
      <c r="AN138" s="11"/>
      <c r="AO138" s="11" t="s">
        <v>985</v>
      </c>
      <c r="AP138" s="11">
        <v>0.0</v>
      </c>
      <c r="AQ138" s="11">
        <v>78.43871</v>
      </c>
      <c r="AR138" s="11">
        <v>39.23816</v>
      </c>
      <c r="AS138" s="11"/>
      <c r="AT138" s="11"/>
      <c r="AU138" s="11"/>
      <c r="AV138" s="11"/>
      <c r="AW138" s="11"/>
      <c r="AX138" s="11"/>
      <c r="AY138" s="11" t="s">
        <v>397</v>
      </c>
      <c r="AZ138" s="11"/>
      <c r="BA138" s="11"/>
      <c r="BB138" s="11"/>
      <c r="BC138" s="11"/>
      <c r="BD138" s="11"/>
      <c r="BE138" s="40"/>
      <c r="BF138" s="11"/>
      <c r="BG138" s="11"/>
      <c r="BH138" s="11"/>
      <c r="BI138" s="11"/>
      <c r="BJ138" s="11" t="s">
        <v>411</v>
      </c>
      <c r="BK138" s="11">
        <v>359996.109</v>
      </c>
      <c r="BL138" s="11">
        <v>320778.114</v>
      </c>
      <c r="BM138" s="11">
        <v>274664.0</v>
      </c>
      <c r="BN138" s="11"/>
      <c r="BO138" s="11" t="s">
        <v>411</v>
      </c>
      <c r="BP138" s="11">
        <v>8550.0</v>
      </c>
      <c r="BQ138" s="11">
        <v>20819.71197</v>
      </c>
      <c r="BR138" s="11">
        <v>41073.9929</v>
      </c>
      <c r="BS138" s="11">
        <v>44230.41935</v>
      </c>
      <c r="BT138" s="11">
        <v>-1457.0</v>
      </c>
      <c r="BU138" s="11"/>
      <c r="BV138" s="11" t="s">
        <v>625</v>
      </c>
      <c r="BW138" s="53">
        <v>0.0</v>
      </c>
      <c r="BX138" s="53">
        <v>0.0</v>
      </c>
      <c r="BY138" s="53">
        <v>0.0</v>
      </c>
      <c r="BZ138" s="53">
        <v>0.0</v>
      </c>
      <c r="CA138" s="11"/>
      <c r="CB138" s="11" t="s">
        <v>224</v>
      </c>
      <c r="CC138" s="11">
        <v>1495.557</v>
      </c>
      <c r="CD138" s="11">
        <v>2073.659</v>
      </c>
      <c r="CE138" s="11">
        <v>1697.807</v>
      </c>
      <c r="CF138" s="11"/>
      <c r="CG138" s="11" t="s">
        <v>986</v>
      </c>
      <c r="CH138" s="11">
        <v>31.108</v>
      </c>
      <c r="CI138" s="11">
        <v>6.66207</v>
      </c>
      <c r="CJ138" s="11"/>
      <c r="CK138" s="11"/>
      <c r="CL138" s="40" t="s">
        <v>852</v>
      </c>
      <c r="CM138" s="46" t="s">
        <v>18</v>
      </c>
      <c r="CN138" s="46" t="s">
        <v>19</v>
      </c>
      <c r="CO138" s="40"/>
      <c r="CP138" s="40" t="s">
        <v>397</v>
      </c>
      <c r="CQ138" s="40"/>
      <c r="CR138" s="40"/>
      <c r="CS138" s="40"/>
      <c r="CT138" s="40"/>
      <c r="CU138" s="40"/>
      <c r="CV138" s="11"/>
      <c r="CW138" s="11"/>
      <c r="CX138" s="11"/>
      <c r="CY138" s="11"/>
      <c r="C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 t="s">
        <v>687</v>
      </c>
      <c r="J139" s="11"/>
      <c r="K139" s="11"/>
      <c r="L139" s="11"/>
      <c r="M139" s="11">
        <v>1006.26</v>
      </c>
      <c r="N139" s="11">
        <v>23346.268</v>
      </c>
      <c r="O139" s="11">
        <v>35461.92</v>
      </c>
      <c r="P139" s="11"/>
      <c r="Q139" s="11" t="s">
        <v>337</v>
      </c>
      <c r="R139" s="11">
        <v>25151.0</v>
      </c>
      <c r="S139" s="11">
        <v>-2843.0</v>
      </c>
      <c r="T139" s="11">
        <v>-1836.117</v>
      </c>
      <c r="U139" s="11">
        <v>360.338</v>
      </c>
      <c r="V139" s="11">
        <v>8745.705</v>
      </c>
      <c r="W139" s="11">
        <v>-4538.771</v>
      </c>
      <c r="X139" s="11"/>
      <c r="Y139" s="11" t="s">
        <v>347</v>
      </c>
      <c r="Z139" s="11"/>
      <c r="AA139" s="11"/>
      <c r="AB139" s="11">
        <v>20425.762</v>
      </c>
      <c r="AC139" s="11">
        <v>33740.045</v>
      </c>
      <c r="AD139" s="11">
        <v>42955.437</v>
      </c>
      <c r="AE139" s="11">
        <v>33868.198</v>
      </c>
      <c r="AF139" s="11"/>
      <c r="AG139" s="11"/>
      <c r="AH139" s="11"/>
      <c r="AI139" s="11"/>
      <c r="AJ139" s="11"/>
      <c r="AK139" s="11"/>
      <c r="AL139" s="11"/>
      <c r="AM139" s="11"/>
      <c r="AN139" s="11"/>
      <c r="AO139" s="11" t="s">
        <v>411</v>
      </c>
      <c r="AP139" s="11">
        <v>0.0</v>
      </c>
      <c r="AQ139" s="11">
        <v>78.43871</v>
      </c>
      <c r="AR139" s="11">
        <v>39.23816</v>
      </c>
      <c r="AS139" s="11"/>
      <c r="AT139" s="11" t="s">
        <v>982</v>
      </c>
      <c r="AU139" s="53">
        <v>0.0</v>
      </c>
      <c r="AV139" s="53">
        <v>0.0</v>
      </c>
      <c r="AW139" s="53">
        <v>0.0</v>
      </c>
      <c r="AX139" s="11"/>
      <c r="AY139" s="11" t="s">
        <v>824</v>
      </c>
      <c r="AZ139" s="53">
        <v>0.0</v>
      </c>
      <c r="BA139" s="53">
        <v>0.0</v>
      </c>
      <c r="BB139" s="53">
        <v>0.0</v>
      </c>
      <c r="BC139" s="53">
        <v>0.0</v>
      </c>
      <c r="BD139" s="11"/>
      <c r="BE139" s="40" t="s">
        <v>331</v>
      </c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 t="s">
        <v>987</v>
      </c>
      <c r="BW139" s="11"/>
      <c r="BX139" s="11">
        <v>405529.232</v>
      </c>
      <c r="BY139" s="11">
        <v>412164.028</v>
      </c>
      <c r="BZ139" s="11">
        <v>454824.4548</v>
      </c>
      <c r="CA139" s="11"/>
      <c r="CB139" s="11" t="s">
        <v>411</v>
      </c>
      <c r="CC139" s="11">
        <v>2146.514</v>
      </c>
      <c r="CD139" s="11">
        <v>2956.72</v>
      </c>
      <c r="CE139" s="11">
        <v>2211.581</v>
      </c>
      <c r="CF139" s="11"/>
      <c r="CG139" s="11" t="s">
        <v>988</v>
      </c>
      <c r="CH139" s="11">
        <v>6.2525</v>
      </c>
      <c r="CI139" s="11"/>
      <c r="CJ139" s="11"/>
      <c r="CK139" s="11"/>
      <c r="CL139" s="40" t="s">
        <v>857</v>
      </c>
      <c r="CM139" s="43">
        <v>0.0</v>
      </c>
      <c r="CN139" s="43">
        <v>0.0</v>
      </c>
      <c r="CO139" s="40"/>
      <c r="CP139" s="40" t="s">
        <v>852</v>
      </c>
      <c r="CQ139" s="46" t="s">
        <v>17</v>
      </c>
      <c r="CR139" s="46" t="s">
        <v>18</v>
      </c>
      <c r="CS139" s="46" t="s">
        <v>19</v>
      </c>
      <c r="CT139" s="46" t="s">
        <v>20</v>
      </c>
      <c r="CU139" s="46" t="s">
        <v>21</v>
      </c>
      <c r="CV139" s="11"/>
      <c r="CW139" s="11"/>
      <c r="CX139" s="11"/>
      <c r="CY139" s="11"/>
      <c r="C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 t="s">
        <v>696</v>
      </c>
      <c r="J140" s="11">
        <v>0.0</v>
      </c>
      <c r="K140" s="11">
        <v>6166.0</v>
      </c>
      <c r="L140" s="11">
        <v>992.0</v>
      </c>
      <c r="M140" s="11">
        <v>1006.26</v>
      </c>
      <c r="N140" s="11">
        <v>23346.268</v>
      </c>
      <c r="O140" s="11">
        <v>35461.92</v>
      </c>
      <c r="P140" s="11"/>
      <c r="Q140" s="11" t="s">
        <v>338</v>
      </c>
      <c r="R140" s="11"/>
      <c r="S140" s="11"/>
      <c r="T140" s="11"/>
      <c r="U140" s="11"/>
      <c r="V140" s="11"/>
      <c r="W140" s="11">
        <v>13986.382</v>
      </c>
      <c r="X140" s="11"/>
      <c r="Y140" s="11" t="s">
        <v>753</v>
      </c>
      <c r="Z140" s="11">
        <v>0.0</v>
      </c>
      <c r="AA140" s="11">
        <v>0.0</v>
      </c>
      <c r="AB140" s="11">
        <v>20425.762</v>
      </c>
      <c r="AC140" s="11">
        <v>33740.045</v>
      </c>
      <c r="AD140" s="11">
        <v>42955.437</v>
      </c>
      <c r="AE140" s="11">
        <v>33868.198</v>
      </c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 t="s">
        <v>985</v>
      </c>
      <c r="AU140" s="11"/>
      <c r="AV140" s="11">
        <v>202.87899</v>
      </c>
      <c r="AW140" s="11"/>
      <c r="AX140" s="11"/>
      <c r="AY140" s="11" t="s">
        <v>989</v>
      </c>
      <c r="AZ140" s="11"/>
      <c r="BA140" s="11">
        <v>10.87392</v>
      </c>
      <c r="BB140" s="11">
        <v>10.31516</v>
      </c>
      <c r="BC140" s="11"/>
      <c r="BD140" s="11"/>
      <c r="BE140" s="40" t="s">
        <v>397</v>
      </c>
      <c r="BF140" s="11"/>
      <c r="BG140" s="11"/>
      <c r="BH140" s="11"/>
      <c r="BI140" s="11"/>
      <c r="BJ140" s="11" t="s">
        <v>802</v>
      </c>
      <c r="BK140" s="11">
        <v>3503.891</v>
      </c>
      <c r="BL140" s="11">
        <v>2341.886</v>
      </c>
      <c r="BM140" s="11"/>
      <c r="BN140" s="11"/>
      <c r="BO140" s="11" t="s">
        <v>802</v>
      </c>
      <c r="BP140" s="11"/>
      <c r="BQ140" s="11"/>
      <c r="BR140" s="11"/>
      <c r="BS140" s="11"/>
      <c r="BT140" s="11">
        <v>1457.0</v>
      </c>
      <c r="BU140" s="11"/>
      <c r="BV140" s="11" t="s">
        <v>990</v>
      </c>
      <c r="BW140" s="11"/>
      <c r="BX140" s="11">
        <v>528957.66</v>
      </c>
      <c r="BY140" s="11">
        <v>528957.66</v>
      </c>
      <c r="BZ140" s="11">
        <v>528957.66038</v>
      </c>
      <c r="CA140" s="11"/>
      <c r="CB140" s="11"/>
      <c r="CC140" s="11"/>
      <c r="CD140" s="11"/>
      <c r="CE140" s="11"/>
      <c r="CF140" s="11"/>
      <c r="CG140" s="11" t="s">
        <v>945</v>
      </c>
      <c r="CH140" s="11">
        <v>112.76837</v>
      </c>
      <c r="CI140" s="11"/>
      <c r="CJ140" s="11"/>
      <c r="CK140" s="11"/>
      <c r="CL140" s="40" t="s">
        <v>794</v>
      </c>
      <c r="CM140" s="46" t="s">
        <v>18</v>
      </c>
      <c r="CN140" s="46" t="s">
        <v>19</v>
      </c>
      <c r="CO140" s="40"/>
      <c r="CP140" s="40" t="s">
        <v>857</v>
      </c>
      <c r="CQ140" s="43">
        <v>0.0</v>
      </c>
      <c r="CR140" s="43">
        <v>0.0</v>
      </c>
      <c r="CS140" s="43">
        <v>0.0</v>
      </c>
      <c r="CT140" s="43">
        <v>0.0</v>
      </c>
      <c r="CU140" s="43">
        <v>0.0</v>
      </c>
      <c r="CV140" s="11"/>
      <c r="CW140" s="11"/>
      <c r="CX140" s="11"/>
      <c r="CY140" s="11"/>
      <c r="C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 t="s">
        <v>339</v>
      </c>
      <c r="R141" s="11"/>
      <c r="S141" s="11"/>
      <c r="T141" s="11"/>
      <c r="U141" s="11"/>
      <c r="V141" s="11"/>
      <c r="W141" s="11">
        <v>3094.496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 t="s">
        <v>991</v>
      </c>
      <c r="AP141" s="53">
        <v>0.0</v>
      </c>
      <c r="AQ141" s="53">
        <v>0.0</v>
      </c>
      <c r="AR141" s="53">
        <v>0.0</v>
      </c>
      <c r="AS141" s="11"/>
      <c r="AT141" s="11" t="s">
        <v>992</v>
      </c>
      <c r="AU141" s="11"/>
      <c r="AV141" s="11">
        <v>736.62974</v>
      </c>
      <c r="AW141" s="11"/>
      <c r="AX141" s="11"/>
      <c r="AY141" s="11" t="s">
        <v>993</v>
      </c>
      <c r="AZ141" s="11"/>
      <c r="BA141" s="11">
        <v>27.5399</v>
      </c>
      <c r="BB141" s="11">
        <v>27.05858</v>
      </c>
      <c r="BC141" s="11"/>
      <c r="BD141" s="11"/>
      <c r="BE141" s="40" t="s">
        <v>715</v>
      </c>
      <c r="BF141" s="53">
        <v>0.0</v>
      </c>
      <c r="BG141" s="53">
        <v>0.0</v>
      </c>
      <c r="BH141" s="53">
        <v>0.0</v>
      </c>
      <c r="BI141" s="11"/>
      <c r="BJ141" s="11" t="s">
        <v>397</v>
      </c>
      <c r="BK141" s="11"/>
      <c r="BL141" s="11"/>
      <c r="BM141" s="11"/>
      <c r="BN141" s="11"/>
      <c r="BO141" s="11" t="s">
        <v>397</v>
      </c>
      <c r="BP141" s="11"/>
      <c r="BQ141" s="11"/>
      <c r="BR141" s="11"/>
      <c r="BS141" s="11"/>
      <c r="BT141" s="11"/>
      <c r="BU141" s="11"/>
      <c r="BV141" s="11" t="s">
        <v>994</v>
      </c>
      <c r="BW141" s="11"/>
      <c r="BX141" s="11">
        <v>275234.775</v>
      </c>
      <c r="BY141" s="11">
        <v>293584.137</v>
      </c>
      <c r="BZ141" s="11">
        <v>330045.2611</v>
      </c>
      <c r="CA141" s="11"/>
      <c r="CB141" s="11" t="s">
        <v>845</v>
      </c>
      <c r="CC141" s="11"/>
      <c r="CD141" s="11"/>
      <c r="CE141" s="11"/>
      <c r="CF141" s="11"/>
      <c r="CG141" s="11" t="s">
        <v>995</v>
      </c>
      <c r="CH141" s="11">
        <v>15.0</v>
      </c>
      <c r="CI141" s="11"/>
      <c r="CJ141" s="11"/>
      <c r="CK141" s="11"/>
      <c r="CL141" s="40" t="s">
        <v>996</v>
      </c>
      <c r="CM141" s="40"/>
      <c r="CN141" s="43">
        <v>1761.42825</v>
      </c>
      <c r="CO141" s="40"/>
      <c r="CP141" s="40" t="s">
        <v>794</v>
      </c>
      <c r="CQ141" s="46" t="s">
        <v>17</v>
      </c>
      <c r="CR141" s="46" t="s">
        <v>18</v>
      </c>
      <c r="CS141" s="46" t="s">
        <v>19</v>
      </c>
      <c r="CT141" s="46" t="s">
        <v>20</v>
      </c>
      <c r="CU141" s="46" t="s">
        <v>21</v>
      </c>
      <c r="CV141" s="11"/>
      <c r="CW141" s="11"/>
      <c r="CX141" s="11"/>
      <c r="CY141" s="11"/>
      <c r="C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 t="s">
        <v>329</v>
      </c>
      <c r="J142" s="53">
        <v>2019.0</v>
      </c>
      <c r="K142" s="53">
        <v>2020.0</v>
      </c>
      <c r="L142" s="53">
        <v>2021.0</v>
      </c>
      <c r="M142" s="53">
        <v>2022.0</v>
      </c>
      <c r="N142" s="53">
        <v>2023.0</v>
      </c>
      <c r="O142" s="53">
        <v>2024.0</v>
      </c>
      <c r="P142" s="11"/>
      <c r="Q142" s="11" t="s">
        <v>733</v>
      </c>
      <c r="R142" s="11">
        <v>38489.0</v>
      </c>
      <c r="S142" s="11">
        <v>136157.0</v>
      </c>
      <c r="T142" s="11">
        <v>137885.694</v>
      </c>
      <c r="U142" s="11">
        <v>139341.628</v>
      </c>
      <c r="V142" s="11">
        <v>147905.307</v>
      </c>
      <c r="W142" s="11">
        <v>145497.341</v>
      </c>
      <c r="X142" s="11"/>
      <c r="Y142" s="11" t="s">
        <v>351</v>
      </c>
      <c r="Z142" s="53">
        <v>2019.0</v>
      </c>
      <c r="AA142" s="53">
        <v>2020.0</v>
      </c>
      <c r="AB142" s="53">
        <v>2021.0</v>
      </c>
      <c r="AC142" s="53">
        <v>2022.0</v>
      </c>
      <c r="AD142" s="53">
        <v>2023.0</v>
      </c>
      <c r="AE142" s="53">
        <v>2024.0</v>
      </c>
      <c r="AF142" s="11"/>
      <c r="AG142" s="11"/>
      <c r="AH142" s="11"/>
      <c r="AI142" s="11"/>
      <c r="AJ142" s="11"/>
      <c r="AK142" s="11"/>
      <c r="AL142" s="11"/>
      <c r="AM142" s="11"/>
      <c r="AN142" s="11"/>
      <c r="AO142" s="11" t="s">
        <v>411</v>
      </c>
      <c r="AP142" s="11">
        <v>0.0</v>
      </c>
      <c r="AQ142" s="11">
        <v>0.0</v>
      </c>
      <c r="AR142" s="11">
        <v>0.0</v>
      </c>
      <c r="AS142" s="11"/>
      <c r="AT142" s="11" t="s">
        <v>997</v>
      </c>
      <c r="AU142" s="11"/>
      <c r="AV142" s="11">
        <v>123.64161</v>
      </c>
      <c r="AW142" s="11"/>
      <c r="AX142" s="11"/>
      <c r="AY142" s="11" t="s">
        <v>998</v>
      </c>
      <c r="AZ142" s="11"/>
      <c r="BA142" s="11">
        <v>344.7521</v>
      </c>
      <c r="BB142" s="11"/>
      <c r="BC142" s="11"/>
      <c r="BD142" s="11"/>
      <c r="BE142" s="40" t="s">
        <v>332</v>
      </c>
      <c r="BF142" s="11">
        <v>5005.0</v>
      </c>
      <c r="BG142" s="11">
        <v>5005.0</v>
      </c>
      <c r="BH142" s="11">
        <v>5005.0</v>
      </c>
      <c r="BI142" s="11"/>
      <c r="BJ142" s="11" t="s">
        <v>304</v>
      </c>
      <c r="BK142" s="53">
        <v>0.0</v>
      </c>
      <c r="BL142" s="53">
        <v>0.0</v>
      </c>
      <c r="BM142" s="11" t="e">
        <v>#REF!</v>
      </c>
      <c r="BN142" s="11"/>
      <c r="BO142" s="11" t="s">
        <v>304</v>
      </c>
      <c r="BP142" s="53">
        <v>0.0</v>
      </c>
      <c r="BQ142" s="53">
        <v>0.0</v>
      </c>
      <c r="BR142" s="53">
        <v>0.0</v>
      </c>
      <c r="BS142" s="11" t="e">
        <v>#REF!</v>
      </c>
      <c r="BT142" s="11" t="e">
        <v>#REF!</v>
      </c>
      <c r="BU142" s="11"/>
      <c r="BV142" s="11" t="s">
        <v>999</v>
      </c>
      <c r="BW142" s="11"/>
      <c r="BX142" s="11">
        <v>65606.065</v>
      </c>
      <c r="BY142" s="11">
        <v>65999.806</v>
      </c>
      <c r="BZ142" s="11">
        <v>66009.71651</v>
      </c>
      <c r="CA142" s="11"/>
      <c r="CB142" s="11" t="s">
        <v>397</v>
      </c>
      <c r="CC142" s="11"/>
      <c r="CD142" s="11"/>
      <c r="CE142" s="11"/>
      <c r="CF142" s="11"/>
      <c r="CG142" s="11" t="s">
        <v>1000</v>
      </c>
      <c r="CH142" s="11">
        <v>36.215</v>
      </c>
      <c r="CI142" s="11"/>
      <c r="CJ142" s="11"/>
      <c r="CK142" s="11"/>
      <c r="CL142" s="40" t="s">
        <v>857</v>
      </c>
      <c r="CM142" s="43">
        <v>0.0</v>
      </c>
      <c r="CN142" s="43">
        <v>1761.42825</v>
      </c>
      <c r="CO142" s="40"/>
      <c r="CP142" s="40" t="s">
        <v>996</v>
      </c>
      <c r="CQ142" s="43">
        <v>12.206</v>
      </c>
      <c r="CR142" s="40"/>
      <c r="CS142" s="43">
        <v>97.46402</v>
      </c>
      <c r="CT142" s="40"/>
      <c r="CU142" s="40"/>
      <c r="CV142" s="11"/>
      <c r="CW142" s="11"/>
      <c r="CX142" s="11"/>
      <c r="CY142" s="11"/>
      <c r="C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 t="s">
        <v>329</v>
      </c>
      <c r="J143" s="11"/>
      <c r="K143" s="11"/>
      <c r="L143" s="11"/>
      <c r="M143" s="11">
        <v>82034.735</v>
      </c>
      <c r="N143" s="11">
        <v>78759.92</v>
      </c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 t="s">
        <v>351</v>
      </c>
      <c r="Z143" s="11"/>
      <c r="AA143" s="11"/>
      <c r="AB143" s="11">
        <v>18340.468</v>
      </c>
      <c r="AC143" s="11">
        <v>32279.762</v>
      </c>
      <c r="AD143" s="11">
        <v>33968.029</v>
      </c>
      <c r="AE143" s="11">
        <v>25079.993</v>
      </c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 t="s">
        <v>411</v>
      </c>
      <c r="AU143" s="11">
        <v>0.0</v>
      </c>
      <c r="AV143" s="11">
        <v>939.50873</v>
      </c>
      <c r="AW143" s="11">
        <v>0.0</v>
      </c>
      <c r="AX143" s="11"/>
      <c r="AY143" s="11" t="s">
        <v>1001</v>
      </c>
      <c r="AZ143" s="11">
        <v>19.673</v>
      </c>
      <c r="BA143" s="11">
        <v>21.94512</v>
      </c>
      <c r="BB143" s="11">
        <v>374.90587</v>
      </c>
      <c r="BC143" s="11">
        <v>717.06405</v>
      </c>
      <c r="BD143" s="11"/>
      <c r="BE143" s="40" t="s">
        <v>333</v>
      </c>
      <c r="BF143" s="11">
        <v>9995.0</v>
      </c>
      <c r="BG143" s="11">
        <v>9995.0</v>
      </c>
      <c r="BH143" s="11">
        <v>9995.0</v>
      </c>
      <c r="BI143" s="11"/>
      <c r="BJ143" s="11" t="s">
        <v>411</v>
      </c>
      <c r="BK143" s="11">
        <v>0.0</v>
      </c>
      <c r="BL143" s="11">
        <v>0.0</v>
      </c>
      <c r="BM143" s="11">
        <v>0.0</v>
      </c>
      <c r="BN143" s="11"/>
      <c r="BO143" s="11" t="s">
        <v>411</v>
      </c>
      <c r="BP143" s="11">
        <v>0.0</v>
      </c>
      <c r="BQ143" s="11">
        <v>0.0</v>
      </c>
      <c r="BR143" s="11">
        <v>0.0</v>
      </c>
      <c r="BS143" s="11">
        <v>0.0</v>
      </c>
      <c r="BT143" s="11">
        <v>0.0</v>
      </c>
      <c r="BU143" s="11"/>
      <c r="BV143" s="11" t="s">
        <v>839</v>
      </c>
      <c r="BW143" s="11"/>
      <c r="BX143" s="11">
        <v>69950.308</v>
      </c>
      <c r="BY143" s="11">
        <v>75555.917</v>
      </c>
      <c r="BZ143" s="11">
        <v>85517.59909</v>
      </c>
      <c r="CA143" s="11"/>
      <c r="CB143" s="11" t="s">
        <v>852</v>
      </c>
      <c r="CC143" s="53">
        <v>0.0</v>
      </c>
      <c r="CD143" s="53">
        <v>0.0</v>
      </c>
      <c r="CE143" s="53">
        <v>0.0</v>
      </c>
      <c r="CF143" s="11"/>
      <c r="CG143" s="11" t="s">
        <v>1002</v>
      </c>
      <c r="CH143" s="11">
        <v>88.95261</v>
      </c>
      <c r="CI143" s="11">
        <v>3.76624</v>
      </c>
      <c r="CJ143" s="11">
        <v>68.05725</v>
      </c>
      <c r="CK143" s="11"/>
      <c r="CL143" s="40" t="s">
        <v>411</v>
      </c>
      <c r="CM143" s="43">
        <v>0.0</v>
      </c>
      <c r="CN143" s="43">
        <v>1761.42825</v>
      </c>
      <c r="CO143" s="40"/>
      <c r="CP143" s="40" t="s">
        <v>461</v>
      </c>
      <c r="CQ143" s="40"/>
      <c r="CR143" s="40"/>
      <c r="CS143" s="40"/>
      <c r="CT143" s="43">
        <v>2531.5469</v>
      </c>
      <c r="CU143" s="43">
        <v>555.82783</v>
      </c>
      <c r="CV143" s="11"/>
      <c r="CW143" s="11"/>
      <c r="CX143" s="11"/>
      <c r="CY143" s="11"/>
      <c r="C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 t="s">
        <v>880</v>
      </c>
      <c r="J144" s="11">
        <v>0.0</v>
      </c>
      <c r="K144" s="11">
        <v>0.0</v>
      </c>
      <c r="L144" s="11">
        <v>0.0</v>
      </c>
      <c r="M144" s="11">
        <v>82034.735</v>
      </c>
      <c r="N144" s="11">
        <v>78759.92</v>
      </c>
      <c r="O144" s="11">
        <v>0.0</v>
      </c>
      <c r="P144" s="11"/>
      <c r="Q144" s="11" t="s">
        <v>347</v>
      </c>
      <c r="R144" s="53">
        <v>2019.0</v>
      </c>
      <c r="S144" s="53">
        <v>2020.0</v>
      </c>
      <c r="T144" s="53">
        <v>2021.0</v>
      </c>
      <c r="U144" s="53">
        <v>2022.0</v>
      </c>
      <c r="V144" s="53">
        <v>2023.0</v>
      </c>
      <c r="W144" s="53">
        <v>2024.0</v>
      </c>
      <c r="X144" s="11"/>
      <c r="Y144" s="11" t="s">
        <v>872</v>
      </c>
      <c r="Z144" s="53">
        <v>2019.0</v>
      </c>
      <c r="AA144" s="53">
        <v>2020.0</v>
      </c>
      <c r="AB144" s="53">
        <v>2021.0</v>
      </c>
      <c r="AC144" s="53">
        <v>2022.0</v>
      </c>
      <c r="AD144" s="53">
        <v>2023.0</v>
      </c>
      <c r="AE144" s="53">
        <v>2024.0</v>
      </c>
      <c r="AF144" s="11"/>
      <c r="AG144" s="11"/>
      <c r="AH144" s="11"/>
      <c r="AI144" s="11"/>
      <c r="AJ144" s="11"/>
      <c r="AK144" s="11"/>
      <c r="AL144" s="11"/>
      <c r="AM144" s="11"/>
      <c r="AN144" s="11"/>
      <c r="AO144" s="11" t="s">
        <v>1003</v>
      </c>
      <c r="AP144" s="53">
        <v>0.0</v>
      </c>
      <c r="AQ144" s="53">
        <v>0.0</v>
      </c>
      <c r="AR144" s="53">
        <v>0.0</v>
      </c>
      <c r="AS144" s="11"/>
      <c r="AT144" s="11"/>
      <c r="AU144" s="11"/>
      <c r="AV144" s="11"/>
      <c r="AW144" s="11"/>
      <c r="AX144" s="11"/>
      <c r="AY144" s="11" t="s">
        <v>411</v>
      </c>
      <c r="AZ144" s="11">
        <v>19.673</v>
      </c>
      <c r="BA144" s="11">
        <v>405.0751199999906</v>
      </c>
      <c r="BB144" s="11">
        <v>412.27961</v>
      </c>
      <c r="BC144" s="11">
        <v>717.06405</v>
      </c>
      <c r="BD144" s="11"/>
      <c r="BE144" s="40" t="s">
        <v>334</v>
      </c>
      <c r="BF144" s="11">
        <v>1186.153</v>
      </c>
      <c r="BG144" s="11">
        <v>1404.133</v>
      </c>
      <c r="BH144" s="11">
        <v>1404.133</v>
      </c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 t="s">
        <v>1004</v>
      </c>
      <c r="BW144" s="11"/>
      <c r="BX144" s="11">
        <v>21161.152</v>
      </c>
      <c r="BY144" s="11">
        <v>21161.152</v>
      </c>
      <c r="BZ144" s="11">
        <v>21161.15232</v>
      </c>
      <c r="CA144" s="11"/>
      <c r="CB144" s="11" t="s">
        <v>857</v>
      </c>
      <c r="CC144" s="11">
        <v>0.0</v>
      </c>
      <c r="CD144" s="11">
        <v>0.0</v>
      </c>
      <c r="CE144" s="11" t="e">
        <v>#REF!</v>
      </c>
      <c r="CF144" s="11"/>
      <c r="CG144" s="11" t="s">
        <v>411</v>
      </c>
      <c r="CH144" s="11">
        <v>765.0985000000001</v>
      </c>
      <c r="CI144" s="11">
        <v>757.7210800000022</v>
      </c>
      <c r="CJ144" s="11">
        <v>1126.413720000007</v>
      </c>
      <c r="CK144" s="11"/>
      <c r="CL144" s="40"/>
      <c r="CM144" s="40"/>
      <c r="CN144" s="40"/>
      <c r="CO144" s="40"/>
      <c r="CP144" s="40" t="s">
        <v>465</v>
      </c>
      <c r="CQ144" s="40"/>
      <c r="CR144" s="40"/>
      <c r="CS144" s="40"/>
      <c r="CT144" s="43">
        <v>3000.0</v>
      </c>
      <c r="CU144" s="43">
        <v>4129.85744</v>
      </c>
      <c r="CV144" s="11"/>
      <c r="CW144" s="11"/>
      <c r="CX144" s="11"/>
      <c r="CY144" s="11"/>
      <c r="C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 t="s">
        <v>347</v>
      </c>
      <c r="R145" s="11">
        <v>62385.0</v>
      </c>
      <c r="S145" s="11">
        <v>4317.0</v>
      </c>
      <c r="T145" s="11">
        <v>76787.882</v>
      </c>
      <c r="U145" s="11">
        <v>96131.073</v>
      </c>
      <c r="V145" s="11">
        <v>108286.571</v>
      </c>
      <c r="W145" s="11">
        <v>71857.293</v>
      </c>
      <c r="X145" s="11"/>
      <c r="Y145" s="11" t="s">
        <v>876</v>
      </c>
      <c r="Z145" s="11">
        <v>0.0</v>
      </c>
      <c r="AA145" s="11">
        <v>0.0</v>
      </c>
      <c r="AB145" s="11">
        <v>0.0</v>
      </c>
      <c r="AC145" s="11">
        <v>0.0</v>
      </c>
      <c r="AD145" s="11">
        <v>0.0</v>
      </c>
      <c r="AE145" s="11">
        <v>0.0</v>
      </c>
      <c r="AF145" s="11"/>
      <c r="AG145" s="11"/>
      <c r="AH145" s="11"/>
      <c r="AI145" s="11"/>
      <c r="AJ145" s="11"/>
      <c r="AK145" s="11"/>
      <c r="AL145" s="11"/>
      <c r="AM145" s="11"/>
      <c r="AN145" s="11"/>
      <c r="AO145" s="11" t="s">
        <v>411</v>
      </c>
      <c r="AP145" s="11">
        <v>0.0</v>
      </c>
      <c r="AQ145" s="11">
        <v>0.0</v>
      </c>
      <c r="AR145" s="11">
        <v>0.0</v>
      </c>
      <c r="AS145" s="11"/>
      <c r="AT145" s="11" t="s">
        <v>991</v>
      </c>
      <c r="AU145" s="53">
        <v>0.0</v>
      </c>
      <c r="AV145" s="53">
        <v>0.0</v>
      </c>
      <c r="AW145" s="53">
        <v>0.0</v>
      </c>
      <c r="AX145" s="11"/>
      <c r="AY145" s="11"/>
      <c r="AZ145" s="11"/>
      <c r="BA145" s="11"/>
      <c r="BB145" s="11"/>
      <c r="BC145" s="11"/>
      <c r="BD145" s="11"/>
      <c r="BE145" s="40" t="s">
        <v>330</v>
      </c>
      <c r="BF145" s="11"/>
      <c r="BG145" s="11"/>
      <c r="BH145" s="11"/>
      <c r="BI145" s="11"/>
      <c r="BJ145" s="11" t="s">
        <v>331</v>
      </c>
      <c r="BK145" s="11"/>
      <c r="BL145" s="11"/>
      <c r="BM145" s="11"/>
      <c r="BN145" s="11"/>
      <c r="BO145" s="11" t="s">
        <v>331</v>
      </c>
      <c r="BP145" s="11"/>
      <c r="BQ145" s="11"/>
      <c r="BR145" s="11"/>
      <c r="BS145" s="11"/>
      <c r="BT145" s="11"/>
      <c r="BU145" s="11"/>
      <c r="BV145" s="11" t="s">
        <v>843</v>
      </c>
      <c r="BW145" s="11"/>
      <c r="BX145" s="11">
        <v>12203.466</v>
      </c>
      <c r="BY145" s="11">
        <v>12805.699</v>
      </c>
      <c r="BZ145" s="11">
        <v>12902.93972</v>
      </c>
      <c r="CA145" s="11"/>
      <c r="CB145" s="11" t="s">
        <v>794</v>
      </c>
      <c r="CC145" s="53">
        <v>0.0</v>
      </c>
      <c r="CD145" s="53">
        <v>0.0</v>
      </c>
      <c r="CE145" s="53">
        <v>0.0</v>
      </c>
      <c r="CF145" s="11"/>
      <c r="CG145" s="11"/>
      <c r="CH145" s="11"/>
      <c r="CI145" s="11"/>
      <c r="CJ145" s="11"/>
      <c r="CK145" s="11"/>
      <c r="CL145" s="40" t="s">
        <v>802</v>
      </c>
      <c r="CM145" s="40"/>
      <c r="CN145" s="40"/>
      <c r="CO145" s="40"/>
      <c r="CP145" s="40" t="s">
        <v>1005</v>
      </c>
      <c r="CQ145" s="40"/>
      <c r="CR145" s="40"/>
      <c r="CS145" s="40"/>
      <c r="CT145" s="43">
        <v>20.95986</v>
      </c>
      <c r="CU145" s="40"/>
      <c r="CV145" s="11"/>
      <c r="CW145" s="11"/>
      <c r="CX145" s="11"/>
      <c r="CY145" s="11"/>
      <c r="C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 t="s">
        <v>852</v>
      </c>
      <c r="J146" s="53">
        <v>2019.0</v>
      </c>
      <c r="K146" s="53">
        <v>2020.0</v>
      </c>
      <c r="L146" s="53">
        <v>2021.0</v>
      </c>
      <c r="M146" s="53">
        <v>2022.0</v>
      </c>
      <c r="N146" s="53">
        <v>2023.0</v>
      </c>
      <c r="O146" s="53">
        <v>2024.0</v>
      </c>
      <c r="P146" s="11"/>
      <c r="Q146" s="11" t="s">
        <v>1006</v>
      </c>
      <c r="R146" s="11"/>
      <c r="S146" s="11"/>
      <c r="T146" s="11"/>
      <c r="U146" s="11">
        <v>7691.121</v>
      </c>
      <c r="V146" s="11">
        <v>1299.313</v>
      </c>
      <c r="W146" s="11">
        <v>1219.997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 t="s">
        <v>1007</v>
      </c>
      <c r="AU146" s="11"/>
      <c r="AV146" s="11">
        <v>292.26795</v>
      </c>
      <c r="AW146" s="11"/>
      <c r="AX146" s="11"/>
      <c r="AY146" s="11" t="s">
        <v>397</v>
      </c>
      <c r="AZ146" s="11"/>
      <c r="BA146" s="11"/>
      <c r="BB146" s="11"/>
      <c r="BC146" s="11"/>
      <c r="BD146" s="11"/>
      <c r="BE146" s="40" t="s">
        <v>834</v>
      </c>
      <c r="BF146" s="11"/>
      <c r="BG146" s="11"/>
      <c r="BH146" s="11"/>
      <c r="BI146" s="11"/>
      <c r="BJ146" s="11" t="s">
        <v>397</v>
      </c>
      <c r="BK146" s="11"/>
      <c r="BL146" s="11"/>
      <c r="BM146" s="11"/>
      <c r="BN146" s="11"/>
      <c r="BO146" s="11" t="s">
        <v>397</v>
      </c>
      <c r="BP146" s="11"/>
      <c r="BQ146" s="11"/>
      <c r="BR146" s="11"/>
      <c r="BS146" s="11"/>
      <c r="BT146" s="11"/>
      <c r="BU146" s="11"/>
      <c r="BV146" s="11" t="s">
        <v>1008</v>
      </c>
      <c r="BW146" s="11"/>
      <c r="BX146" s="11">
        <v>7960.308</v>
      </c>
      <c r="BY146" s="11">
        <v>8170.415</v>
      </c>
      <c r="BZ146" s="11">
        <v>8355.94616</v>
      </c>
      <c r="CA146" s="11"/>
      <c r="CB146" s="11" t="s">
        <v>857</v>
      </c>
      <c r="CC146" s="11">
        <v>0.0</v>
      </c>
      <c r="CD146" s="11">
        <v>0.0</v>
      </c>
      <c r="CE146" s="11">
        <v>0.0</v>
      </c>
      <c r="CF146" s="11"/>
      <c r="CG146" s="11" t="s">
        <v>397</v>
      </c>
      <c r="CH146" s="11"/>
      <c r="CI146" s="11"/>
      <c r="CJ146" s="11"/>
      <c r="CK146" s="11"/>
      <c r="CL146" s="40" t="s">
        <v>397</v>
      </c>
      <c r="CM146" s="40"/>
      <c r="CN146" s="40"/>
      <c r="CO146" s="40"/>
      <c r="CP146" s="40" t="s">
        <v>1009</v>
      </c>
      <c r="CQ146" s="40"/>
      <c r="CR146" s="40"/>
      <c r="CS146" s="40"/>
      <c r="CT146" s="43">
        <v>60.99171</v>
      </c>
      <c r="CU146" s="40"/>
      <c r="CV146" s="11"/>
      <c r="CW146" s="11"/>
      <c r="CX146" s="11"/>
      <c r="CY146" s="11"/>
      <c r="C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 t="s">
        <v>1010</v>
      </c>
      <c r="J147" s="11"/>
      <c r="K147" s="11">
        <v>2640.0</v>
      </c>
      <c r="L147" s="11">
        <v>38448.0</v>
      </c>
      <c r="M147" s="11">
        <v>31408.88</v>
      </c>
      <c r="N147" s="11">
        <v>126630.604</v>
      </c>
      <c r="O147" s="11">
        <v>201022.874</v>
      </c>
      <c r="P147" s="11"/>
      <c r="Q147" s="11" t="s">
        <v>1011</v>
      </c>
      <c r="R147" s="11"/>
      <c r="S147" s="11"/>
      <c r="T147" s="11"/>
      <c r="U147" s="11"/>
      <c r="V147" s="11"/>
      <c r="W147" s="11">
        <v>2716.686</v>
      </c>
      <c r="X147" s="11"/>
      <c r="Y147" s="11" t="s">
        <v>772</v>
      </c>
      <c r="Z147" s="53">
        <v>2019.0</v>
      </c>
      <c r="AA147" s="53">
        <v>2020.0</v>
      </c>
      <c r="AB147" s="53">
        <v>2021.0</v>
      </c>
      <c r="AC147" s="53">
        <v>2022.0</v>
      </c>
      <c r="AD147" s="53">
        <v>2023.0</v>
      </c>
      <c r="AE147" s="53">
        <v>2024.0</v>
      </c>
      <c r="AF147" s="11"/>
      <c r="AG147" s="11"/>
      <c r="AH147" s="11"/>
      <c r="AI147" s="11"/>
      <c r="AJ147" s="11"/>
      <c r="AK147" s="11"/>
      <c r="AL147" s="11"/>
      <c r="AM147" s="11"/>
      <c r="AN147" s="11"/>
      <c r="AO147" s="11" t="s">
        <v>1012</v>
      </c>
      <c r="AP147" s="53">
        <v>0.0</v>
      </c>
      <c r="AQ147" s="53">
        <v>0.0</v>
      </c>
      <c r="AR147" s="53">
        <v>0.0</v>
      </c>
      <c r="AS147" s="11"/>
      <c r="AT147" s="11" t="s">
        <v>411</v>
      </c>
      <c r="AU147" s="11">
        <v>0.0</v>
      </c>
      <c r="AV147" s="11">
        <v>292.26795</v>
      </c>
      <c r="AW147" s="11">
        <v>0.0</v>
      </c>
      <c r="AX147" s="11"/>
      <c r="AY147" s="11" t="s">
        <v>835</v>
      </c>
      <c r="AZ147" s="53">
        <v>0.0</v>
      </c>
      <c r="BA147" s="53">
        <v>0.0</v>
      </c>
      <c r="BB147" s="53">
        <v>0.0</v>
      </c>
      <c r="BC147" s="53">
        <v>0.0</v>
      </c>
      <c r="BD147" s="11"/>
      <c r="BE147" s="40" t="s">
        <v>918</v>
      </c>
      <c r="BF147" s="11">
        <v>12539.861</v>
      </c>
      <c r="BG147" s="11">
        <v>14181.481</v>
      </c>
      <c r="BH147" s="11">
        <v>15517.182</v>
      </c>
      <c r="BI147" s="11"/>
      <c r="BJ147" s="11" t="s">
        <v>715</v>
      </c>
      <c r="BK147" s="53">
        <v>0.0</v>
      </c>
      <c r="BL147" s="53">
        <v>0.0</v>
      </c>
      <c r="BM147" s="53">
        <v>0.0</v>
      </c>
      <c r="BN147" s="11"/>
      <c r="BO147" s="11" t="s">
        <v>715</v>
      </c>
      <c r="BP147" s="53">
        <v>0.0</v>
      </c>
      <c r="BQ147" s="53">
        <v>0.0</v>
      </c>
      <c r="BR147" s="53">
        <v>0.0</v>
      </c>
      <c r="BS147" s="53">
        <v>0.0</v>
      </c>
      <c r="BT147" s="53">
        <v>0.0</v>
      </c>
      <c r="BU147" s="11"/>
      <c r="BV147" s="11" t="s">
        <v>1013</v>
      </c>
      <c r="BW147" s="11"/>
      <c r="BX147" s="11">
        <v>3954.165</v>
      </c>
      <c r="BY147" s="11">
        <v>10305.323</v>
      </c>
      <c r="BZ147" s="11">
        <v>122267.72691</v>
      </c>
      <c r="CA147" s="11"/>
      <c r="CB147" s="11" t="s">
        <v>411</v>
      </c>
      <c r="CC147" s="11">
        <v>0.0</v>
      </c>
      <c r="CD147" s="11">
        <v>0.0</v>
      </c>
      <c r="CE147" s="11" t="e">
        <v>#REF!</v>
      </c>
      <c r="CF147" s="11"/>
      <c r="CG147" s="11" t="s">
        <v>775</v>
      </c>
      <c r="CH147" s="53">
        <v>0.0</v>
      </c>
      <c r="CI147" s="53">
        <v>0.0</v>
      </c>
      <c r="CJ147" s="53">
        <v>0.0</v>
      </c>
      <c r="CK147" s="11"/>
      <c r="CL147" s="40" t="s">
        <v>268</v>
      </c>
      <c r="CM147" s="46" t="s">
        <v>1014</v>
      </c>
      <c r="CN147" s="46" t="s">
        <v>17</v>
      </c>
      <c r="CO147" s="40"/>
      <c r="CP147" s="40" t="s">
        <v>1015</v>
      </c>
      <c r="CQ147" s="40"/>
      <c r="CR147" s="40"/>
      <c r="CS147" s="40"/>
      <c r="CT147" s="43">
        <v>2855.46574</v>
      </c>
      <c r="CU147" s="43">
        <v>2509.67804</v>
      </c>
      <c r="CV147" s="11"/>
      <c r="CW147" s="11"/>
      <c r="CX147" s="11"/>
      <c r="CY147" s="11"/>
      <c r="C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 t="s">
        <v>905</v>
      </c>
      <c r="J148" s="11">
        <v>0.0</v>
      </c>
      <c r="K148" s="11">
        <v>2640.0</v>
      </c>
      <c r="L148" s="11">
        <v>38448.0</v>
      </c>
      <c r="M148" s="11">
        <v>31408.88</v>
      </c>
      <c r="N148" s="11">
        <v>126630.604</v>
      </c>
      <c r="O148" s="11">
        <v>201022.874</v>
      </c>
      <c r="P148" s="11"/>
      <c r="Q148" s="11" t="s">
        <v>1016</v>
      </c>
      <c r="R148" s="11"/>
      <c r="S148" s="11"/>
      <c r="T148" s="11">
        <v>-6346.713</v>
      </c>
      <c r="U148" s="11"/>
      <c r="V148" s="11"/>
      <c r="W148" s="11"/>
      <c r="X148" s="11"/>
      <c r="Y148" s="11" t="s">
        <v>778</v>
      </c>
      <c r="Z148" s="11">
        <v>0.0</v>
      </c>
      <c r="AA148" s="11">
        <v>0.0</v>
      </c>
      <c r="AB148" s="11">
        <v>0.0</v>
      </c>
      <c r="AC148" s="11">
        <v>0.0</v>
      </c>
      <c r="AD148" s="11">
        <v>0.0</v>
      </c>
      <c r="AE148" s="11">
        <v>0.0</v>
      </c>
      <c r="AF148" s="11"/>
      <c r="AG148" s="11"/>
      <c r="AH148" s="11"/>
      <c r="AI148" s="11"/>
      <c r="AJ148" s="11"/>
      <c r="AK148" s="11"/>
      <c r="AL148" s="11"/>
      <c r="AM148" s="11"/>
      <c r="AN148" s="11"/>
      <c r="AO148" s="11" t="s">
        <v>411</v>
      </c>
      <c r="AP148" s="11">
        <v>0.0</v>
      </c>
      <c r="AQ148" s="11">
        <v>0.0</v>
      </c>
      <c r="AR148" s="11">
        <v>0.0</v>
      </c>
      <c r="AS148" s="11"/>
      <c r="AT148" s="11"/>
      <c r="AU148" s="11"/>
      <c r="AV148" s="11"/>
      <c r="AW148" s="11"/>
      <c r="AX148" s="11"/>
      <c r="AY148" s="11" t="s">
        <v>1017</v>
      </c>
      <c r="AZ148" s="11"/>
      <c r="BA148" s="11">
        <v>75.43024</v>
      </c>
      <c r="BB148" s="11">
        <v>54.50227</v>
      </c>
      <c r="BC148" s="11">
        <v>59.0948300000046</v>
      </c>
      <c r="BD148" s="11"/>
      <c r="BE148" s="40" t="s">
        <v>728</v>
      </c>
      <c r="BF148" s="11"/>
      <c r="BG148" s="11"/>
      <c r="BH148" s="11"/>
      <c r="BI148" s="11"/>
      <c r="BJ148" s="11" t="s">
        <v>332</v>
      </c>
      <c r="BK148" s="11">
        <v>111574.8</v>
      </c>
      <c r="BL148" s="11">
        <v>111574.8</v>
      </c>
      <c r="BM148" s="11">
        <v>111574.8</v>
      </c>
      <c r="BN148" s="11"/>
      <c r="BO148" s="11" t="s">
        <v>332</v>
      </c>
      <c r="BP148" s="11">
        <v>7572.2</v>
      </c>
      <c r="BQ148" s="11">
        <v>7572.2</v>
      </c>
      <c r="BR148" s="11">
        <v>7572.2</v>
      </c>
      <c r="BS148" s="11">
        <v>16105.6</v>
      </c>
      <c r="BT148" s="11">
        <v>16105.6</v>
      </c>
      <c r="BU148" s="11"/>
      <c r="BV148" s="11" t="s">
        <v>1018</v>
      </c>
      <c r="BW148" s="11"/>
      <c r="BX148" s="11">
        <v>27564.622</v>
      </c>
      <c r="BY148" s="11">
        <v>42227.771</v>
      </c>
      <c r="BZ148" s="11"/>
      <c r="CA148" s="11"/>
      <c r="CB148" s="11"/>
      <c r="CC148" s="11"/>
      <c r="CD148" s="11"/>
      <c r="CE148" s="11"/>
      <c r="CF148" s="11"/>
      <c r="CG148" s="11" t="s">
        <v>508</v>
      </c>
      <c r="CH148" s="11"/>
      <c r="CI148" s="11"/>
      <c r="CJ148" s="11"/>
      <c r="CK148" s="11"/>
      <c r="CL148" s="40" t="s">
        <v>879</v>
      </c>
      <c r="CM148" s="40"/>
      <c r="CN148" s="40"/>
      <c r="CO148" s="40"/>
      <c r="CP148" s="40" t="s">
        <v>1019</v>
      </c>
      <c r="CQ148" s="40"/>
      <c r="CR148" s="40"/>
      <c r="CS148" s="40"/>
      <c r="CT148" s="43">
        <v>63.62192</v>
      </c>
      <c r="CU148" s="40"/>
      <c r="CV148" s="11"/>
      <c r="CW148" s="11"/>
      <c r="CX148" s="11"/>
      <c r="CY148" s="11"/>
      <c r="C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 t="s">
        <v>790</v>
      </c>
      <c r="J149" s="11">
        <v>0.0</v>
      </c>
      <c r="K149" s="11">
        <v>17064.0</v>
      </c>
      <c r="L149" s="11">
        <v>17731.0</v>
      </c>
      <c r="M149" s="11">
        <v>0.0</v>
      </c>
      <c r="N149" s="11">
        <v>0.0</v>
      </c>
      <c r="O149" s="11">
        <v>0.0</v>
      </c>
      <c r="P149" s="11"/>
      <c r="Q149" s="11" t="s">
        <v>753</v>
      </c>
      <c r="R149" s="11">
        <v>62385.0</v>
      </c>
      <c r="S149" s="11">
        <v>4317.0</v>
      </c>
      <c r="T149" s="11">
        <v>70441.169</v>
      </c>
      <c r="U149" s="11">
        <v>103822.194</v>
      </c>
      <c r="V149" s="11">
        <v>109585.884</v>
      </c>
      <c r="W149" s="11">
        <v>75793.97600000001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 t="s">
        <v>1003</v>
      </c>
      <c r="AU149" s="53">
        <v>0.0</v>
      </c>
      <c r="AV149" s="53">
        <v>0.0</v>
      </c>
      <c r="AW149" s="53">
        <v>0.0</v>
      </c>
      <c r="AX149" s="11"/>
      <c r="AY149" s="11" t="s">
        <v>1020</v>
      </c>
      <c r="AZ149" s="11"/>
      <c r="BA149" s="11">
        <v>40.35288</v>
      </c>
      <c r="BB149" s="11">
        <v>29.75219</v>
      </c>
      <c r="BC149" s="11">
        <v>29.75219</v>
      </c>
      <c r="BD149" s="11"/>
      <c r="BE149" s="40" t="s">
        <v>411</v>
      </c>
      <c r="BF149" s="11">
        <v>28726.014</v>
      </c>
      <c r="BG149" s="11">
        <v>30585.614</v>
      </c>
      <c r="BH149" s="11">
        <v>31921.315</v>
      </c>
      <c r="BI149" s="11"/>
      <c r="BJ149" s="11" t="s">
        <v>333</v>
      </c>
      <c r="BK149" s="11"/>
      <c r="BL149" s="11"/>
      <c r="BM149" s="11"/>
      <c r="BN149" s="11"/>
      <c r="BO149" s="11" t="s">
        <v>333</v>
      </c>
      <c r="BP149" s="11">
        <v>4838.43896</v>
      </c>
      <c r="BQ149" s="11">
        <v>2473.345</v>
      </c>
      <c r="BR149" s="11">
        <v>7207.98048</v>
      </c>
      <c r="BS149" s="11">
        <v>2655.20013</v>
      </c>
      <c r="BT149" s="11">
        <v>2655.20013</v>
      </c>
      <c r="BU149" s="11"/>
      <c r="BV149" s="11" t="s">
        <v>1021</v>
      </c>
      <c r="BW149" s="11"/>
      <c r="BX149" s="11">
        <v>65000.0</v>
      </c>
      <c r="BY149" s="11">
        <v>65000.0</v>
      </c>
      <c r="BZ149" s="11"/>
      <c r="CA149" s="11"/>
      <c r="CB149" s="11" t="s">
        <v>802</v>
      </c>
      <c r="CC149" s="11"/>
      <c r="CD149" s="11"/>
      <c r="CE149" s="11"/>
      <c r="CF149" s="11"/>
      <c r="CG149" s="11" t="s">
        <v>514</v>
      </c>
      <c r="CH149" s="11"/>
      <c r="CI149" s="11"/>
      <c r="CJ149" s="11"/>
      <c r="CK149" s="53"/>
      <c r="CL149" s="40" t="s">
        <v>411</v>
      </c>
      <c r="CM149" s="43">
        <v>0.0</v>
      </c>
      <c r="CN149" s="43">
        <v>0.0</v>
      </c>
      <c r="CO149" s="40"/>
      <c r="CP149" s="40" t="s">
        <v>857</v>
      </c>
      <c r="CQ149" s="43">
        <v>12.206</v>
      </c>
      <c r="CR149" s="43">
        <v>0.0</v>
      </c>
      <c r="CS149" s="43">
        <v>97.46402</v>
      </c>
      <c r="CT149" s="43">
        <v>8532.58613</v>
      </c>
      <c r="CU149" s="43">
        <v>7195.36331</v>
      </c>
      <c r="CV149" s="53"/>
      <c r="CW149" s="53"/>
      <c r="CX149" s="53"/>
      <c r="CY149" s="53"/>
      <c r="CZ149" s="53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 t="s">
        <v>794</v>
      </c>
      <c r="J150" s="53">
        <v>2019.0</v>
      </c>
      <c r="K150" s="53">
        <v>2020.0</v>
      </c>
      <c r="L150" s="53">
        <v>2021.0</v>
      </c>
      <c r="M150" s="53">
        <v>2022.0</v>
      </c>
      <c r="N150" s="53">
        <v>2023.0</v>
      </c>
      <c r="O150" s="53">
        <v>2024.0</v>
      </c>
      <c r="P150" s="11"/>
      <c r="Q150" s="11"/>
      <c r="R150" s="11"/>
      <c r="S150" s="11"/>
      <c r="T150" s="11"/>
      <c r="U150" s="11"/>
      <c r="V150" s="11"/>
      <c r="W150" s="11"/>
      <c r="X150" s="11"/>
      <c r="Y150" s="11" t="s">
        <v>783</v>
      </c>
      <c r="Z150" s="53">
        <v>2019.0</v>
      </c>
      <c r="AA150" s="53">
        <v>2020.0</v>
      </c>
      <c r="AB150" s="53">
        <v>2021.0</v>
      </c>
      <c r="AC150" s="53">
        <v>2022.0</v>
      </c>
      <c r="AD150" s="53">
        <v>2023.0</v>
      </c>
      <c r="AE150" s="53">
        <v>2024.0</v>
      </c>
      <c r="AF150" s="11"/>
      <c r="AG150" s="11"/>
      <c r="AH150" s="11"/>
      <c r="AI150" s="11"/>
      <c r="AJ150" s="11"/>
      <c r="AK150" s="11"/>
      <c r="AL150" s="11"/>
      <c r="AM150" s="11"/>
      <c r="AN150" s="11"/>
      <c r="AO150" s="11" t="s">
        <v>1022</v>
      </c>
      <c r="AP150" s="53">
        <v>0.0</v>
      </c>
      <c r="AQ150" s="53">
        <v>0.0</v>
      </c>
      <c r="AR150" s="53">
        <v>0.0</v>
      </c>
      <c r="AS150" s="11"/>
      <c r="AT150" s="11" t="s">
        <v>411</v>
      </c>
      <c r="AU150" s="11">
        <v>0.0</v>
      </c>
      <c r="AV150" s="11">
        <v>0.0</v>
      </c>
      <c r="AW150" s="11">
        <v>0.0</v>
      </c>
      <c r="AX150" s="11"/>
      <c r="AY150" s="11" t="s">
        <v>1023</v>
      </c>
      <c r="AZ150" s="11"/>
      <c r="BA150" s="11">
        <v>7.50949</v>
      </c>
      <c r="BB150" s="11">
        <v>1.03006</v>
      </c>
      <c r="BC150" s="11">
        <v>1.03006</v>
      </c>
      <c r="BD150" s="11"/>
      <c r="BE150" s="40"/>
      <c r="BF150" s="11"/>
      <c r="BG150" s="11"/>
      <c r="BH150" s="11"/>
      <c r="BI150" s="11"/>
      <c r="BJ150" s="11" t="s">
        <v>334</v>
      </c>
      <c r="BK150" s="11">
        <v>2164.457</v>
      </c>
      <c r="BL150" s="11">
        <v>3357.874</v>
      </c>
      <c r="BM150" s="11">
        <v>5105.494</v>
      </c>
      <c r="BN150" s="11"/>
      <c r="BO150" s="11" t="s">
        <v>334</v>
      </c>
      <c r="BP150" s="11">
        <v>46.49867</v>
      </c>
      <c r="BQ150" s="11">
        <v>78.55701</v>
      </c>
      <c r="BR150" s="11">
        <v>46.49867</v>
      </c>
      <c r="BS150" s="11">
        <v>119.76161</v>
      </c>
      <c r="BT150" s="11">
        <v>119.76161</v>
      </c>
      <c r="BU150" s="11"/>
      <c r="BV150" s="11" t="s">
        <v>1024</v>
      </c>
      <c r="BW150" s="11"/>
      <c r="BX150" s="11">
        <v>110609.904</v>
      </c>
      <c r="BY150" s="11">
        <v>3257.904</v>
      </c>
      <c r="BZ150" s="11"/>
      <c r="CA150" s="11"/>
      <c r="CB150" s="11" t="s">
        <v>397</v>
      </c>
      <c r="CC150" s="11"/>
      <c r="CD150" s="11"/>
      <c r="CE150" s="11"/>
      <c r="CF150" s="11"/>
      <c r="CG150" s="11" t="s">
        <v>521</v>
      </c>
      <c r="CH150" s="11"/>
      <c r="CI150" s="11"/>
      <c r="CJ150" s="11"/>
      <c r="CK150" s="11"/>
      <c r="CL150" s="40"/>
      <c r="CM150" s="40"/>
      <c r="CN150" s="40"/>
      <c r="CO150" s="40"/>
      <c r="CP150" s="40" t="s">
        <v>411</v>
      </c>
      <c r="CQ150" s="43">
        <v>12.206</v>
      </c>
      <c r="CR150" s="43">
        <v>0.0</v>
      </c>
      <c r="CS150" s="43">
        <v>97.46402</v>
      </c>
      <c r="CT150" s="43">
        <v>8532.58613</v>
      </c>
      <c r="CU150" s="43">
        <v>7195.36331</v>
      </c>
      <c r="CV150" s="11"/>
      <c r="CW150" s="11"/>
      <c r="CX150" s="11"/>
      <c r="CY150" s="11"/>
      <c r="C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 t="s">
        <v>798</v>
      </c>
      <c r="J151" s="11"/>
      <c r="K151" s="11">
        <v>302099.0</v>
      </c>
      <c r="L151" s="11">
        <v>254174.0</v>
      </c>
      <c r="M151" s="11">
        <v>241821.898</v>
      </c>
      <c r="N151" s="11">
        <v>273945.7</v>
      </c>
      <c r="O151" s="11">
        <v>274261.801</v>
      </c>
      <c r="P151" s="11"/>
      <c r="Q151" s="11" t="s">
        <v>351</v>
      </c>
      <c r="R151" s="53">
        <v>2019.0</v>
      </c>
      <c r="S151" s="53">
        <v>2020.0</v>
      </c>
      <c r="T151" s="53">
        <v>2021.0</v>
      </c>
      <c r="U151" s="53">
        <v>2022.0</v>
      </c>
      <c r="V151" s="53">
        <v>2023.0</v>
      </c>
      <c r="W151" s="53">
        <v>2024.0</v>
      </c>
      <c r="X151" s="11"/>
      <c r="Y151" s="11" t="s">
        <v>363</v>
      </c>
      <c r="Z151" s="11"/>
      <c r="AA151" s="11"/>
      <c r="AB151" s="11">
        <v>2123.984</v>
      </c>
      <c r="AC151" s="11">
        <v>3785.491</v>
      </c>
      <c r="AD151" s="11">
        <v>7594.94</v>
      </c>
      <c r="AE151" s="11">
        <v>7747.944</v>
      </c>
      <c r="AF151" s="11"/>
      <c r="AG151" s="11"/>
      <c r="AH151" s="11"/>
      <c r="AI151" s="11"/>
      <c r="AJ151" s="11"/>
      <c r="AK151" s="11"/>
      <c r="AL151" s="11"/>
      <c r="AM151" s="11"/>
      <c r="AN151" s="11"/>
      <c r="AO151" s="11" t="s">
        <v>1025</v>
      </c>
      <c r="AP151" s="11">
        <v>0.28</v>
      </c>
      <c r="AQ151" s="11">
        <v>0.36</v>
      </c>
      <c r="AR151" s="11">
        <v>0.0</v>
      </c>
      <c r="AS151" s="11"/>
      <c r="AT151" s="11"/>
      <c r="AU151" s="11"/>
      <c r="AV151" s="11"/>
      <c r="AW151" s="11"/>
      <c r="AX151" s="11"/>
      <c r="AY151" s="11" t="s">
        <v>1026</v>
      </c>
      <c r="AZ151" s="11"/>
      <c r="BA151" s="11">
        <v>33.46716</v>
      </c>
      <c r="BB151" s="11">
        <v>2.47216</v>
      </c>
      <c r="BC151" s="11">
        <v>2.47216</v>
      </c>
      <c r="BD151" s="11"/>
      <c r="BE151" s="40" t="s">
        <v>394</v>
      </c>
      <c r="BF151" s="11"/>
      <c r="BG151" s="11"/>
      <c r="BH151" s="11"/>
      <c r="BI151" s="11"/>
      <c r="BJ151" s="11" t="s">
        <v>330</v>
      </c>
      <c r="BK151" s="11"/>
      <c r="BL151" s="11"/>
      <c r="BM151" s="11"/>
      <c r="BN151" s="11"/>
      <c r="BO151" s="11" t="s">
        <v>330</v>
      </c>
      <c r="BP151" s="11"/>
      <c r="BQ151" s="11"/>
      <c r="BR151" s="11"/>
      <c r="BS151" s="11"/>
      <c r="BT151" s="11"/>
      <c r="BU151" s="11"/>
      <c r="BV151" s="11" t="s">
        <v>1027</v>
      </c>
      <c r="BW151" s="11"/>
      <c r="BX151" s="11">
        <v>-825733.244</v>
      </c>
      <c r="BY151" s="11">
        <v>-871961.981</v>
      </c>
      <c r="BZ151" s="11">
        <v>-942492.0026499999</v>
      </c>
      <c r="CA151" s="11"/>
      <c r="CB151" s="11" t="s">
        <v>304</v>
      </c>
      <c r="CC151" s="53">
        <v>0.0</v>
      </c>
      <c r="CD151" s="53">
        <v>0.0</v>
      </c>
      <c r="CE151" s="11" t="e">
        <v>#REF!</v>
      </c>
      <c r="CF151" s="11"/>
      <c r="CG151" s="11" t="s">
        <v>525</v>
      </c>
      <c r="CH151" s="11"/>
      <c r="CI151" s="11"/>
      <c r="CJ151" s="11"/>
      <c r="CK151" s="11"/>
      <c r="CL151" s="40" t="s">
        <v>331</v>
      </c>
      <c r="CM151" s="40"/>
      <c r="CN151" s="40"/>
      <c r="CO151" s="40"/>
      <c r="CP151" s="40"/>
      <c r="CQ151" s="40"/>
      <c r="CR151" s="40"/>
      <c r="CS151" s="40"/>
      <c r="CT151" s="40"/>
      <c r="CU151" s="40"/>
      <c r="CV151" s="11"/>
      <c r="CW151" s="11"/>
      <c r="CX151" s="11"/>
      <c r="CY151" s="11"/>
      <c r="C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 t="s">
        <v>802</v>
      </c>
      <c r="J152" s="11"/>
      <c r="K152" s="11">
        <v>-17064.0</v>
      </c>
      <c r="L152" s="11">
        <v>-17731.0</v>
      </c>
      <c r="M152" s="11"/>
      <c r="N152" s="11"/>
      <c r="O152" s="11"/>
      <c r="P152" s="11"/>
      <c r="Q152" s="11" t="s">
        <v>351</v>
      </c>
      <c r="R152" s="11">
        <v>17393.0</v>
      </c>
      <c r="S152" s="11">
        <v>2451.0</v>
      </c>
      <c r="T152" s="11">
        <v>23875.784</v>
      </c>
      <c r="U152" s="11">
        <v>33975.261</v>
      </c>
      <c r="V152" s="11">
        <v>37811.063</v>
      </c>
      <c r="W152" s="11">
        <v>25528.488</v>
      </c>
      <c r="X152" s="11"/>
      <c r="Y152" s="11" t="s">
        <v>789</v>
      </c>
      <c r="Z152" s="11">
        <v>0.0</v>
      </c>
      <c r="AA152" s="11">
        <v>0.0</v>
      </c>
      <c r="AB152" s="11">
        <v>2123.984</v>
      </c>
      <c r="AC152" s="11">
        <v>3785.491</v>
      </c>
      <c r="AD152" s="11">
        <v>7594.94</v>
      </c>
      <c r="AE152" s="11">
        <v>7747.944</v>
      </c>
      <c r="AF152" s="11"/>
      <c r="AG152" s="11"/>
      <c r="AH152" s="11"/>
      <c r="AI152" s="11"/>
      <c r="AJ152" s="11"/>
      <c r="AK152" s="11"/>
      <c r="AL152" s="11"/>
      <c r="AM152" s="11"/>
      <c r="AN152" s="11"/>
      <c r="AO152" s="11" t="s">
        <v>1028</v>
      </c>
      <c r="AP152" s="11"/>
      <c r="AQ152" s="11"/>
      <c r="AR152" s="11"/>
      <c r="AS152" s="11"/>
      <c r="AT152" s="11" t="s">
        <v>1012</v>
      </c>
      <c r="AU152" s="53">
        <v>0.0</v>
      </c>
      <c r="AV152" s="53">
        <v>0.0</v>
      </c>
      <c r="AW152" s="53">
        <v>0.0</v>
      </c>
      <c r="AX152" s="11"/>
      <c r="AY152" s="11" t="s">
        <v>1029</v>
      </c>
      <c r="AZ152" s="11"/>
      <c r="BA152" s="11"/>
      <c r="BB152" s="11">
        <v>4.70791</v>
      </c>
      <c r="BC152" s="11">
        <v>4.70791</v>
      </c>
      <c r="BD152" s="11"/>
      <c r="BE152" s="40" t="s">
        <v>397</v>
      </c>
      <c r="BF152" s="11"/>
      <c r="BG152" s="11"/>
      <c r="BH152" s="11"/>
      <c r="BI152" s="11"/>
      <c r="BJ152" s="11" t="s">
        <v>834</v>
      </c>
      <c r="BK152" s="11">
        <v>8912.602</v>
      </c>
      <c r="BL152" s="11">
        <v>8912.602</v>
      </c>
      <c r="BM152" s="11">
        <v>13912.579</v>
      </c>
      <c r="BN152" s="11"/>
      <c r="BO152" s="11" t="s">
        <v>834</v>
      </c>
      <c r="BP152" s="11"/>
      <c r="BQ152" s="11"/>
      <c r="BR152" s="11"/>
      <c r="BS152" s="11"/>
      <c r="BT152" s="11"/>
      <c r="BU152" s="11"/>
      <c r="BV152" s="11" t="s">
        <v>1030</v>
      </c>
      <c r="BW152" s="11"/>
      <c r="BX152" s="11">
        <v>224789.575</v>
      </c>
      <c r="BY152" s="11">
        <v>224789.575</v>
      </c>
      <c r="BZ152" s="11">
        <v>251702.46484</v>
      </c>
      <c r="CA152" s="11"/>
      <c r="CB152" s="11" t="s">
        <v>411</v>
      </c>
      <c r="CC152" s="11">
        <v>0.0</v>
      </c>
      <c r="CD152" s="11">
        <v>0.0</v>
      </c>
      <c r="CE152" s="11">
        <v>0.0</v>
      </c>
      <c r="CF152" s="11"/>
      <c r="CG152" s="11" t="s">
        <v>527</v>
      </c>
      <c r="CH152" s="11"/>
      <c r="CI152" s="11"/>
      <c r="CJ152" s="11"/>
      <c r="CK152" s="11"/>
      <c r="CL152" s="40" t="s">
        <v>397</v>
      </c>
      <c r="CM152" s="40"/>
      <c r="CN152" s="40"/>
      <c r="CO152" s="40"/>
      <c r="CP152" s="40" t="s">
        <v>802</v>
      </c>
      <c r="CQ152" s="40"/>
      <c r="CR152" s="40"/>
      <c r="CS152" s="40"/>
      <c r="CT152" s="40"/>
      <c r="CU152" s="40"/>
      <c r="CV152" s="11"/>
      <c r="CW152" s="11"/>
      <c r="CX152" s="11"/>
      <c r="CY152" s="11"/>
      <c r="C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 t="s">
        <v>807</v>
      </c>
      <c r="J153" s="11">
        <v>0.0</v>
      </c>
      <c r="K153" s="11">
        <v>285035.0</v>
      </c>
      <c r="L153" s="11">
        <v>236443.0</v>
      </c>
      <c r="M153" s="11">
        <v>241821.898</v>
      </c>
      <c r="N153" s="11">
        <v>273945.7</v>
      </c>
      <c r="O153" s="11">
        <v>274261.801</v>
      </c>
      <c r="P153" s="11"/>
      <c r="Q153" s="11" t="s">
        <v>355</v>
      </c>
      <c r="R153" s="11"/>
      <c r="S153" s="11"/>
      <c r="T153" s="11">
        <v>20888.606</v>
      </c>
      <c r="U153" s="11">
        <v>31836.604</v>
      </c>
      <c r="V153" s="11">
        <v>38586.109</v>
      </c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 t="s">
        <v>1031</v>
      </c>
      <c r="AP153" s="11"/>
      <c r="AQ153" s="11"/>
      <c r="AR153" s="11"/>
      <c r="AS153" s="11"/>
      <c r="AT153" s="11" t="s">
        <v>411</v>
      </c>
      <c r="AU153" s="11">
        <v>0.0</v>
      </c>
      <c r="AV153" s="11">
        <v>0.0</v>
      </c>
      <c r="AW153" s="11">
        <v>0.0</v>
      </c>
      <c r="AX153" s="11"/>
      <c r="AY153" s="11" t="s">
        <v>1032</v>
      </c>
      <c r="AZ153" s="11"/>
      <c r="BA153" s="11"/>
      <c r="BB153" s="11">
        <v>2.20056</v>
      </c>
      <c r="BC153" s="11">
        <v>2.20056</v>
      </c>
      <c r="BD153" s="11"/>
      <c r="BE153" s="40" t="s">
        <v>347</v>
      </c>
      <c r="BF153" s="53">
        <v>0.0</v>
      </c>
      <c r="BG153" s="53">
        <v>0.0</v>
      </c>
      <c r="BH153" s="53">
        <v>0.0</v>
      </c>
      <c r="BI153" s="11"/>
      <c r="BJ153" s="11" t="s">
        <v>918</v>
      </c>
      <c r="BK153" s="11">
        <v>9066.109</v>
      </c>
      <c r="BL153" s="11">
        <v>21232.865</v>
      </c>
      <c r="BM153" s="11">
        <v>505.714</v>
      </c>
      <c r="BN153" s="11"/>
      <c r="BO153" s="11" t="s">
        <v>918</v>
      </c>
      <c r="BP153" s="11">
        <v>746.05884</v>
      </c>
      <c r="BQ153" s="11">
        <v>766.65075</v>
      </c>
      <c r="BR153" s="11">
        <v>1375.75921</v>
      </c>
      <c r="BS153" s="11">
        <v>5028.27473</v>
      </c>
      <c r="BT153" s="11">
        <v>4131.3488</v>
      </c>
      <c r="BU153" s="11"/>
      <c r="BV153" s="11" t="s">
        <v>1024</v>
      </c>
      <c r="BW153" s="11"/>
      <c r="BX153" s="11"/>
      <c r="BY153" s="11">
        <v>105742.0</v>
      </c>
      <c r="BZ153" s="11"/>
      <c r="CA153" s="11"/>
      <c r="CB153" s="11"/>
      <c r="CC153" s="11"/>
      <c r="CD153" s="11"/>
      <c r="CE153" s="11"/>
      <c r="CF153" s="11"/>
      <c r="CG153" s="11" t="s">
        <v>530</v>
      </c>
      <c r="CH153" s="11"/>
      <c r="CI153" s="11"/>
      <c r="CJ153" s="11"/>
      <c r="CK153" s="11"/>
      <c r="CL153" s="40" t="s">
        <v>715</v>
      </c>
      <c r="CM153" s="46" t="s">
        <v>18</v>
      </c>
      <c r="CN153" s="46" t="s">
        <v>19</v>
      </c>
      <c r="CO153" s="40"/>
      <c r="CP153" s="40" t="s">
        <v>397</v>
      </c>
      <c r="CQ153" s="40"/>
      <c r="CR153" s="40"/>
      <c r="CS153" s="40"/>
      <c r="CT153" s="40"/>
      <c r="CU153" s="40"/>
      <c r="CV153" s="11"/>
      <c r="CW153" s="11"/>
      <c r="CX153" s="11"/>
      <c r="CY153" s="11"/>
      <c r="C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 t="s">
        <v>810</v>
      </c>
      <c r="J154" s="11">
        <v>0.0</v>
      </c>
      <c r="K154" s="11">
        <v>304739.0</v>
      </c>
      <c r="L154" s="11">
        <v>292622.0</v>
      </c>
      <c r="M154" s="11">
        <v>273230.778</v>
      </c>
      <c r="N154" s="11">
        <v>400576.304</v>
      </c>
      <c r="O154" s="11">
        <v>475284.675</v>
      </c>
      <c r="P154" s="11"/>
      <c r="Q154" s="11" t="s">
        <v>772</v>
      </c>
      <c r="R154" s="53">
        <v>2019.0</v>
      </c>
      <c r="S154" s="53">
        <v>2020.0</v>
      </c>
      <c r="T154" s="53">
        <v>2021.0</v>
      </c>
      <c r="U154" s="53">
        <v>2022.0</v>
      </c>
      <c r="V154" s="53">
        <v>2023.0</v>
      </c>
      <c r="W154" s="53">
        <v>2024.0</v>
      </c>
      <c r="X154" s="11"/>
      <c r="Y154" s="11" t="s">
        <v>796</v>
      </c>
      <c r="Z154" s="53">
        <v>2019.0</v>
      </c>
      <c r="AA154" s="53">
        <v>2020.0</v>
      </c>
      <c r="AB154" s="53">
        <v>2021.0</v>
      </c>
      <c r="AC154" s="53">
        <v>2022.0</v>
      </c>
      <c r="AD154" s="53">
        <v>2023.0</v>
      </c>
      <c r="AE154" s="53">
        <v>2024.0</v>
      </c>
      <c r="AF154" s="11"/>
      <c r="AG154" s="11"/>
      <c r="AH154" s="11"/>
      <c r="AI154" s="11"/>
      <c r="AJ154" s="11"/>
      <c r="AK154" s="11"/>
      <c r="AL154" s="11"/>
      <c r="AM154" s="11"/>
      <c r="AN154" s="11"/>
      <c r="AO154" s="11" t="s">
        <v>411</v>
      </c>
      <c r="AP154" s="11">
        <v>0.28</v>
      </c>
      <c r="AQ154" s="11">
        <v>0.36</v>
      </c>
      <c r="AR154" s="11">
        <v>0.0</v>
      </c>
      <c r="AS154" s="11"/>
      <c r="AT154" s="11"/>
      <c r="AU154" s="11"/>
      <c r="AV154" s="11"/>
      <c r="AW154" s="11"/>
      <c r="AX154" s="11"/>
      <c r="AY154" s="11" t="s">
        <v>411</v>
      </c>
      <c r="AZ154" s="11">
        <v>0.0</v>
      </c>
      <c r="BA154" s="11">
        <v>156.75977</v>
      </c>
      <c r="BB154" s="11">
        <v>94.66515</v>
      </c>
      <c r="BC154" s="11">
        <v>99.2577100000046</v>
      </c>
      <c r="BD154" s="11"/>
      <c r="BE154" s="40" t="s">
        <v>347</v>
      </c>
      <c r="BF154" s="11">
        <v>82237.533</v>
      </c>
      <c r="BG154" s="11">
        <v>68840.543</v>
      </c>
      <c r="BH154" s="11">
        <v>19674.964</v>
      </c>
      <c r="BI154" s="11"/>
      <c r="BJ154" s="11" t="s">
        <v>728</v>
      </c>
      <c r="BK154" s="11">
        <v>12166.756</v>
      </c>
      <c r="BL154" s="11">
        <v>22419.683</v>
      </c>
      <c r="BM154" s="11">
        <v>32212.365</v>
      </c>
      <c r="BN154" s="11"/>
      <c r="BO154" s="11" t="s">
        <v>728</v>
      </c>
      <c r="BP154" s="11">
        <v>20.59191</v>
      </c>
      <c r="BQ154" s="11">
        <v>609.10846</v>
      </c>
      <c r="BR154" s="11">
        <v>2768.89096</v>
      </c>
      <c r="BS154" s="11">
        <v>4131.3488</v>
      </c>
      <c r="BT154" s="11">
        <v>5028.27473</v>
      </c>
      <c r="BU154" s="11"/>
      <c r="BV154" s="11" t="s">
        <v>1033</v>
      </c>
      <c r="BW154" s="11"/>
      <c r="BX154" s="11">
        <v>-4031.262</v>
      </c>
      <c r="BY154" s="11">
        <v>-6234.933</v>
      </c>
      <c r="BZ154" s="11"/>
      <c r="CA154" s="11"/>
      <c r="CB154" s="11" t="s">
        <v>331</v>
      </c>
      <c r="CC154" s="11"/>
      <c r="CD154" s="11"/>
      <c r="CE154" s="11"/>
      <c r="CF154" s="11"/>
      <c r="CG154" s="11" t="s">
        <v>411</v>
      </c>
      <c r="CH154" s="11">
        <v>0.0</v>
      </c>
      <c r="CI154" s="11">
        <v>0.0</v>
      </c>
      <c r="CJ154" s="11">
        <v>0.0</v>
      </c>
      <c r="CK154" s="11"/>
      <c r="CL154" s="40" t="s">
        <v>332</v>
      </c>
      <c r="CM154" s="43">
        <v>5.0</v>
      </c>
      <c r="CN154" s="43">
        <v>5.0</v>
      </c>
      <c r="CO154" s="40"/>
      <c r="CP154" s="40" t="s">
        <v>304</v>
      </c>
      <c r="CQ154" s="46" t="s">
        <v>1014</v>
      </c>
      <c r="CR154" s="46" t="s">
        <v>17</v>
      </c>
      <c r="CS154" s="46" t="s">
        <v>18</v>
      </c>
      <c r="CT154" s="40" t="s">
        <v>645</v>
      </c>
      <c r="CU154" s="46" t="s">
        <v>21</v>
      </c>
      <c r="CV154" s="11"/>
      <c r="CW154" s="11"/>
      <c r="CX154" s="11"/>
      <c r="CY154" s="11"/>
      <c r="C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 t="s">
        <v>772</v>
      </c>
      <c r="R155" s="11">
        <v>11476.0</v>
      </c>
      <c r="S155" s="11">
        <v>1363.0</v>
      </c>
      <c r="T155" s="11">
        <v>19654.592</v>
      </c>
      <c r="U155" s="11">
        <v>25045.563</v>
      </c>
      <c r="V155" s="11">
        <v>17485.196</v>
      </c>
      <c r="W155" s="11"/>
      <c r="X155" s="11"/>
      <c r="Y155" s="11" t="s">
        <v>373</v>
      </c>
      <c r="Z155" s="11"/>
      <c r="AA155" s="11"/>
      <c r="AB155" s="11">
        <v>3.186</v>
      </c>
      <c r="AC155" s="11">
        <v>-383.15</v>
      </c>
      <c r="AD155" s="11">
        <v>-430.325</v>
      </c>
      <c r="AE155" s="11">
        <v>71.365</v>
      </c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 t="s">
        <v>1022</v>
      </c>
      <c r="AU155" s="53">
        <v>0.0</v>
      </c>
      <c r="AV155" s="53">
        <v>0.0</v>
      </c>
      <c r="AW155" s="53">
        <v>0.0</v>
      </c>
      <c r="AX155" s="11"/>
      <c r="AY155" s="11"/>
      <c r="AZ155" s="11"/>
      <c r="BA155" s="11"/>
      <c r="BB155" s="11"/>
      <c r="BC155" s="11"/>
      <c r="BD155" s="11"/>
      <c r="BE155" s="40" t="s">
        <v>411</v>
      </c>
      <c r="BF155" s="11">
        <v>82237.533</v>
      </c>
      <c r="BG155" s="11">
        <v>68840.543</v>
      </c>
      <c r="BH155" s="11">
        <v>19674.964</v>
      </c>
      <c r="BI155" s="11"/>
      <c r="BJ155" s="11" t="s">
        <v>411</v>
      </c>
      <c r="BK155" s="11">
        <v>143884.724</v>
      </c>
      <c r="BL155" s="11">
        <v>167497.824</v>
      </c>
      <c r="BM155" s="11">
        <v>163310.952</v>
      </c>
      <c r="BN155" s="11"/>
      <c r="BO155" s="11" t="s">
        <v>411</v>
      </c>
      <c r="BP155" s="11">
        <v>13223.78838</v>
      </c>
      <c r="BQ155" s="11">
        <v>11499.86122</v>
      </c>
      <c r="BR155" s="11">
        <v>18971.32932</v>
      </c>
      <c r="BS155" s="11">
        <v>28040.18527</v>
      </c>
      <c r="BT155" s="11">
        <v>28040.18527</v>
      </c>
      <c r="BU155" s="11"/>
      <c r="BV155" s="11" t="s">
        <v>738</v>
      </c>
      <c r="BW155" s="11">
        <v>0.1</v>
      </c>
      <c r="BX155" s="11">
        <v>0.1</v>
      </c>
      <c r="BY155" s="11">
        <v>0.01</v>
      </c>
      <c r="BZ155" s="11">
        <v>95995.85061</v>
      </c>
      <c r="CA155" s="11"/>
      <c r="CB155" s="11" t="s">
        <v>397</v>
      </c>
      <c r="CC155" s="11"/>
      <c r="CD155" s="11"/>
      <c r="CE155" s="11"/>
      <c r="CF155" s="11"/>
      <c r="CG155" s="11"/>
      <c r="CH155" s="11"/>
      <c r="CI155" s="11"/>
      <c r="CJ155" s="11"/>
      <c r="CK155" s="11"/>
      <c r="CL155" s="40" t="s">
        <v>333</v>
      </c>
      <c r="CM155" s="40"/>
      <c r="CN155" s="40"/>
      <c r="CO155" s="40"/>
      <c r="CP155" s="40" t="s">
        <v>1034</v>
      </c>
      <c r="CQ155" s="43">
        <v>274.136</v>
      </c>
      <c r="CR155" s="43">
        <v>274.136</v>
      </c>
      <c r="CS155" s="43">
        <v>217.93637</v>
      </c>
      <c r="CT155" s="43">
        <v>143.735559</v>
      </c>
      <c r="CU155" s="43">
        <v>143.73559</v>
      </c>
      <c r="CV155" s="11"/>
      <c r="CW155" s="11"/>
      <c r="CX155" s="11"/>
      <c r="CY155" s="11"/>
      <c r="C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 t="s">
        <v>947</v>
      </c>
      <c r="J156" s="53">
        <v>2019.0</v>
      </c>
      <c r="K156" s="53">
        <v>2020.0</v>
      </c>
      <c r="L156" s="53">
        <v>2021.0</v>
      </c>
      <c r="M156" s="53">
        <v>2022.0</v>
      </c>
      <c r="N156" s="53">
        <v>2023.0</v>
      </c>
      <c r="O156" s="53">
        <v>2024.0</v>
      </c>
      <c r="P156" s="11"/>
      <c r="Q156" s="11" t="s">
        <v>778</v>
      </c>
      <c r="R156" s="11">
        <v>11476.0</v>
      </c>
      <c r="S156" s="11">
        <v>1363.0</v>
      </c>
      <c r="T156" s="11">
        <v>19654.592</v>
      </c>
      <c r="U156" s="11">
        <v>25045.563</v>
      </c>
      <c r="V156" s="11">
        <v>17485.196</v>
      </c>
      <c r="W156" s="11">
        <v>0.0</v>
      </c>
      <c r="X156" s="11"/>
      <c r="Y156" s="11" t="s">
        <v>917</v>
      </c>
      <c r="Z156" s="53">
        <v>2019.0</v>
      </c>
      <c r="AA156" s="53">
        <v>2020.0</v>
      </c>
      <c r="AB156" s="53">
        <v>2021.0</v>
      </c>
      <c r="AC156" s="53">
        <v>2022.0</v>
      </c>
      <c r="AD156" s="53">
        <v>2023.0</v>
      </c>
      <c r="AE156" s="53">
        <v>2024.0</v>
      </c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 t="s">
        <v>1025</v>
      </c>
      <c r="AU156" s="11"/>
      <c r="AV156" s="11">
        <v>44.82959</v>
      </c>
      <c r="AW156" s="11"/>
      <c r="AX156" s="11"/>
      <c r="AY156" s="11" t="s">
        <v>845</v>
      </c>
      <c r="AZ156" s="11"/>
      <c r="BA156" s="11"/>
      <c r="BB156" s="11"/>
      <c r="BC156" s="11"/>
      <c r="BD156" s="11"/>
      <c r="BE156" s="40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 t="s">
        <v>411</v>
      </c>
      <c r="BW156" s="11">
        <v>1074320.722</v>
      </c>
      <c r="BX156" s="11">
        <v>988756.8259999999</v>
      </c>
      <c r="BY156" s="11">
        <v>991524.4830000005</v>
      </c>
      <c r="BZ156" s="11">
        <v>1035248.76979</v>
      </c>
      <c r="CA156" s="11"/>
      <c r="CB156" s="11" t="s">
        <v>715</v>
      </c>
      <c r="CC156" s="53">
        <v>0.0</v>
      </c>
      <c r="CD156" s="53">
        <v>0.0</v>
      </c>
      <c r="CE156" s="53">
        <v>0.0</v>
      </c>
      <c r="CF156" s="11"/>
      <c r="CG156" s="11" t="s">
        <v>397</v>
      </c>
      <c r="CH156" s="11"/>
      <c r="CI156" s="11"/>
      <c r="CJ156" s="11"/>
      <c r="CK156" s="11"/>
      <c r="CL156" s="40" t="s">
        <v>334</v>
      </c>
      <c r="CM156" s="40"/>
      <c r="CN156" s="40"/>
      <c r="CO156" s="40"/>
      <c r="CP156" s="40" t="s">
        <v>1035</v>
      </c>
      <c r="CQ156" s="40"/>
      <c r="CR156" s="40"/>
      <c r="CS156" s="40"/>
      <c r="CT156" s="43">
        <v>-0.00196899999355082</v>
      </c>
      <c r="CU156" s="43">
        <v>741.58417</v>
      </c>
      <c r="CV156" s="11"/>
      <c r="CW156" s="11"/>
      <c r="CX156" s="11"/>
      <c r="CY156" s="11"/>
      <c r="C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 t="s">
        <v>947</v>
      </c>
      <c r="J157" s="11"/>
      <c r="K157" s="11">
        <v>59943.0</v>
      </c>
      <c r="L157" s="11">
        <v>103822.0</v>
      </c>
      <c r="M157" s="11"/>
      <c r="N157" s="11"/>
      <c r="O157" s="11">
        <v>98928.078</v>
      </c>
      <c r="P157" s="11"/>
      <c r="Q157" s="11"/>
      <c r="R157" s="11"/>
      <c r="S157" s="11"/>
      <c r="T157" s="11"/>
      <c r="U157" s="11"/>
      <c r="V157" s="11"/>
      <c r="W157" s="11"/>
      <c r="X157" s="11"/>
      <c r="Y157" s="11" t="s">
        <v>379</v>
      </c>
      <c r="Z157" s="11"/>
      <c r="AA157" s="11"/>
      <c r="AB157" s="11"/>
      <c r="AC157" s="11"/>
      <c r="AD157" s="11">
        <v>250.482</v>
      </c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 t="s">
        <v>1028</v>
      </c>
      <c r="AU157" s="11"/>
      <c r="AV157" s="11"/>
      <c r="AW157" s="11"/>
      <c r="AX157" s="11"/>
      <c r="AY157" s="11" t="s">
        <v>397</v>
      </c>
      <c r="AZ157" s="11"/>
      <c r="BA157" s="11"/>
      <c r="BB157" s="11"/>
      <c r="BC157" s="11"/>
      <c r="BD157" s="11"/>
      <c r="BE157" s="40" t="s">
        <v>397</v>
      </c>
      <c r="BF157" s="11"/>
      <c r="BG157" s="11"/>
      <c r="BH157" s="11"/>
      <c r="BI157" s="11"/>
      <c r="BJ157" s="11" t="s">
        <v>394</v>
      </c>
      <c r="BK157" s="11"/>
      <c r="BL157" s="11"/>
      <c r="BM157" s="11"/>
      <c r="BN157" s="11"/>
      <c r="BO157" s="11" t="s">
        <v>394</v>
      </c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 t="s">
        <v>332</v>
      </c>
      <c r="CC157" s="11">
        <v>460989.0</v>
      </c>
      <c r="CD157" s="11">
        <v>460989.0</v>
      </c>
      <c r="CE157" s="11">
        <v>92197.8</v>
      </c>
      <c r="CF157" s="11"/>
      <c r="CG157" s="11" t="s">
        <v>281</v>
      </c>
      <c r="CH157" s="53">
        <v>0.0</v>
      </c>
      <c r="CI157" s="53">
        <v>0.0</v>
      </c>
      <c r="CJ157" s="53">
        <v>0.0</v>
      </c>
      <c r="CK157" s="11"/>
      <c r="CL157" s="40" t="s">
        <v>1036</v>
      </c>
      <c r="CM157" s="40"/>
      <c r="CN157" s="40"/>
      <c r="CO157" s="40"/>
      <c r="CP157" s="40" t="s">
        <v>1037</v>
      </c>
      <c r="CQ157" s="40"/>
      <c r="CR157" s="40"/>
      <c r="CS157" s="43">
        <v>1870.03697</v>
      </c>
      <c r="CT157" s="40"/>
      <c r="CU157" s="40"/>
      <c r="CV157" s="11"/>
      <c r="CW157" s="11"/>
      <c r="CX157" s="11"/>
      <c r="CY157" s="11"/>
      <c r="C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 t="s">
        <v>952</v>
      </c>
      <c r="J158" s="11">
        <v>0.0</v>
      </c>
      <c r="K158" s="11">
        <v>59943.0</v>
      </c>
      <c r="L158" s="11">
        <v>103822.0</v>
      </c>
      <c r="M158" s="11">
        <v>0.0</v>
      </c>
      <c r="N158" s="11">
        <v>0.0</v>
      </c>
      <c r="O158" s="11">
        <v>98928.078</v>
      </c>
      <c r="P158" s="11"/>
      <c r="Q158" s="11" t="s">
        <v>783</v>
      </c>
      <c r="R158" s="53">
        <v>2019.0</v>
      </c>
      <c r="S158" s="53">
        <v>2020.0</v>
      </c>
      <c r="T158" s="53">
        <v>2021.0</v>
      </c>
      <c r="U158" s="53">
        <v>2022.0</v>
      </c>
      <c r="V158" s="53">
        <v>2023.0</v>
      </c>
      <c r="W158" s="53">
        <v>2024.0</v>
      </c>
      <c r="X158" s="11"/>
      <c r="Y158" s="11" t="s">
        <v>981</v>
      </c>
      <c r="Z158" s="53">
        <v>2019.0</v>
      </c>
      <c r="AA158" s="53">
        <v>2020.0</v>
      </c>
      <c r="AB158" s="53">
        <v>2021.0</v>
      </c>
      <c r="AC158" s="53">
        <v>2022.0</v>
      </c>
      <c r="AD158" s="53">
        <v>2023.0</v>
      </c>
      <c r="AE158" s="53">
        <v>2024.0</v>
      </c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 t="s">
        <v>1031</v>
      </c>
      <c r="AU158" s="11"/>
      <c r="AV158" s="11"/>
      <c r="AW158" s="11"/>
      <c r="AX158" s="11"/>
      <c r="AY158" s="11" t="s">
        <v>852</v>
      </c>
      <c r="AZ158" s="53">
        <v>0.0</v>
      </c>
      <c r="BA158" s="53">
        <v>0.0</v>
      </c>
      <c r="BB158" s="53">
        <v>0.0</v>
      </c>
      <c r="BC158" s="53">
        <v>0.0</v>
      </c>
      <c r="BD158" s="11"/>
      <c r="BE158" s="40" t="s">
        <v>354</v>
      </c>
      <c r="BF158" s="53">
        <v>0.0</v>
      </c>
      <c r="BG158" s="53">
        <v>0.0</v>
      </c>
      <c r="BH158" s="53">
        <v>0.0</v>
      </c>
      <c r="BI158" s="11"/>
      <c r="BJ158" s="11" t="s">
        <v>397</v>
      </c>
      <c r="BK158" s="11"/>
      <c r="BL158" s="11"/>
      <c r="BM158" s="11"/>
      <c r="BN158" s="11"/>
      <c r="BO158" s="11" t="s">
        <v>397</v>
      </c>
      <c r="BP158" s="11"/>
      <c r="BQ158" s="11"/>
      <c r="BR158" s="11"/>
      <c r="BS158" s="11"/>
      <c r="BT158" s="11"/>
      <c r="BU158" s="11"/>
      <c r="BV158" s="11" t="s">
        <v>278</v>
      </c>
      <c r="BW158" s="53">
        <v>0.0</v>
      </c>
      <c r="BX158" s="53">
        <v>0.0</v>
      </c>
      <c r="BY158" s="53">
        <v>0.0</v>
      </c>
      <c r="BZ158" s="53">
        <v>0.0</v>
      </c>
      <c r="CA158" s="11"/>
      <c r="CB158" s="11" t="s">
        <v>333</v>
      </c>
      <c r="CC158" s="11">
        <v>3180.903</v>
      </c>
      <c r="CD158" s="11"/>
      <c r="CE158" s="11"/>
      <c r="CF158" s="11"/>
      <c r="CG158" s="11" t="s">
        <v>411</v>
      </c>
      <c r="CH158" s="11">
        <v>0.0</v>
      </c>
      <c r="CI158" s="11">
        <v>0.0</v>
      </c>
      <c r="CJ158" s="11">
        <v>0.0</v>
      </c>
      <c r="CK158" s="11"/>
      <c r="CL158" s="40" t="s">
        <v>834</v>
      </c>
      <c r="CM158" s="40"/>
      <c r="CN158" s="40"/>
      <c r="CO158" s="40"/>
      <c r="CP158" s="40" t="s">
        <v>411</v>
      </c>
      <c r="CQ158" s="43">
        <v>274.136</v>
      </c>
      <c r="CR158" s="43">
        <v>274.136</v>
      </c>
      <c r="CS158" s="43">
        <v>2087.97334</v>
      </c>
      <c r="CT158" s="43">
        <v>143.7335900000064</v>
      </c>
      <c r="CU158" s="43">
        <v>885.31976</v>
      </c>
      <c r="CV158" s="11"/>
      <c r="CW158" s="11"/>
      <c r="CX158" s="11"/>
      <c r="CY158" s="11"/>
      <c r="C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 t="s">
        <v>363</v>
      </c>
      <c r="R159" s="11"/>
      <c r="S159" s="11"/>
      <c r="T159" s="11"/>
      <c r="U159" s="11"/>
      <c r="V159" s="11"/>
      <c r="W159" s="11">
        <v>41790.343</v>
      </c>
      <c r="X159" s="11"/>
      <c r="Y159" s="11" t="s">
        <v>1038</v>
      </c>
      <c r="Z159" s="11">
        <v>0.0</v>
      </c>
      <c r="AA159" s="11">
        <v>0.0</v>
      </c>
      <c r="AB159" s="11">
        <v>0.0</v>
      </c>
      <c r="AC159" s="11">
        <v>0.0</v>
      </c>
      <c r="AD159" s="11">
        <v>0.0</v>
      </c>
      <c r="AE159" s="11">
        <v>0.0</v>
      </c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 t="s">
        <v>411</v>
      </c>
      <c r="AU159" s="11">
        <v>0.0</v>
      </c>
      <c r="AV159" s="11">
        <v>44.82959</v>
      </c>
      <c r="AW159" s="11">
        <v>0.0</v>
      </c>
      <c r="AX159" s="11"/>
      <c r="AY159" s="11" t="s">
        <v>1039</v>
      </c>
      <c r="AZ159" s="11">
        <v>12783.08</v>
      </c>
      <c r="BA159" s="11">
        <v>12835.96173</v>
      </c>
      <c r="BB159" s="11">
        <v>12666.4169</v>
      </c>
      <c r="BC159" s="11">
        <v>12666.4169</v>
      </c>
      <c r="BD159" s="11"/>
      <c r="BE159" s="40" t="s">
        <v>354</v>
      </c>
      <c r="BF159" s="11">
        <v>65467.094</v>
      </c>
      <c r="BG159" s="11">
        <v>55060.324</v>
      </c>
      <c r="BH159" s="11">
        <v>14707.705</v>
      </c>
      <c r="BI159" s="11"/>
      <c r="BJ159" s="11" t="s">
        <v>347</v>
      </c>
      <c r="BK159" s="53">
        <v>0.0</v>
      </c>
      <c r="BL159" s="53">
        <v>0.0</v>
      </c>
      <c r="BM159" s="53">
        <v>0.0</v>
      </c>
      <c r="BN159" s="11"/>
      <c r="BO159" s="11" t="s">
        <v>347</v>
      </c>
      <c r="BP159" s="53">
        <v>0.0</v>
      </c>
      <c r="BQ159" s="53">
        <v>0.0</v>
      </c>
      <c r="BR159" s="53">
        <v>0.0</v>
      </c>
      <c r="BS159" s="53">
        <v>0.0</v>
      </c>
      <c r="BT159" s="11"/>
      <c r="BU159" s="11"/>
      <c r="BV159" s="11" t="s">
        <v>1040</v>
      </c>
      <c r="BW159" s="11">
        <v>8892.638</v>
      </c>
      <c r="BX159" s="11">
        <v>19540.518</v>
      </c>
      <c r="BY159" s="11">
        <v>11401.008</v>
      </c>
      <c r="BZ159" s="11"/>
      <c r="CA159" s="11"/>
      <c r="CB159" s="11" t="s">
        <v>334</v>
      </c>
      <c r="CC159" s="11"/>
      <c r="CD159" s="11"/>
      <c r="CE159" s="11"/>
      <c r="CF159" s="11"/>
      <c r="CG159" s="11"/>
      <c r="CH159" s="11"/>
      <c r="CI159" s="11"/>
      <c r="CJ159" s="11"/>
      <c r="CK159" s="53"/>
      <c r="CL159" s="40" t="s">
        <v>918</v>
      </c>
      <c r="CM159" s="43">
        <v>0.0</v>
      </c>
      <c r="CN159" s="43">
        <v>82.55144</v>
      </c>
      <c r="CO159" s="40"/>
      <c r="CP159" s="40"/>
      <c r="CQ159" s="40"/>
      <c r="CR159" s="40"/>
      <c r="CS159" s="40"/>
      <c r="CT159" s="40"/>
      <c r="CU159" s="40"/>
      <c r="CV159" s="53"/>
      <c r="CW159" s="53"/>
      <c r="CX159" s="53"/>
      <c r="CY159" s="53"/>
      <c r="CZ159" s="53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 t="s">
        <v>715</v>
      </c>
      <c r="J160" s="53">
        <v>2019.0</v>
      </c>
      <c r="K160" s="53">
        <v>2020.0</v>
      </c>
      <c r="L160" s="53">
        <v>2021.0</v>
      </c>
      <c r="M160" s="53">
        <v>2022.0</v>
      </c>
      <c r="N160" s="53">
        <v>2023.0</v>
      </c>
      <c r="O160" s="53">
        <v>2024.0</v>
      </c>
      <c r="P160" s="11"/>
      <c r="Q160" s="11" t="s">
        <v>360</v>
      </c>
      <c r="R160" s="11"/>
      <c r="S160" s="11"/>
      <c r="T160" s="11"/>
      <c r="U160" s="11"/>
      <c r="V160" s="11"/>
      <c r="W160" s="11">
        <v>892.218</v>
      </c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 t="s">
        <v>432</v>
      </c>
      <c r="AZ160" s="11">
        <v>11902.445</v>
      </c>
      <c r="BA160" s="11">
        <v>11897.55479</v>
      </c>
      <c r="BB160" s="11">
        <v>13100.0</v>
      </c>
      <c r="BC160" s="11">
        <v>13100.0</v>
      </c>
      <c r="BD160" s="11"/>
      <c r="BE160" s="40" t="s">
        <v>411</v>
      </c>
      <c r="BF160" s="11">
        <v>65467.094</v>
      </c>
      <c r="BG160" s="11">
        <v>55060.324</v>
      </c>
      <c r="BH160" s="11">
        <v>14707.705</v>
      </c>
      <c r="BI160" s="11"/>
      <c r="BJ160" s="11" t="s">
        <v>1041</v>
      </c>
      <c r="BK160" s="11">
        <v>70760.904</v>
      </c>
      <c r="BL160" s="11">
        <v>140670.763</v>
      </c>
      <c r="BM160" s="11">
        <v>184010.566</v>
      </c>
      <c r="BN160" s="11"/>
      <c r="BO160" s="11" t="s">
        <v>347</v>
      </c>
      <c r="BP160" s="11">
        <v>4902.53892</v>
      </c>
      <c r="BQ160" s="11">
        <v>2139.07664</v>
      </c>
      <c r="BR160" s="11">
        <v>11106.37213</v>
      </c>
      <c r="BS160" s="11">
        <v>24713.03006</v>
      </c>
      <c r="BT160" s="11"/>
      <c r="BU160" s="11"/>
      <c r="BV160" s="11" t="s">
        <v>1042</v>
      </c>
      <c r="BW160" s="11"/>
      <c r="BX160" s="11">
        <v>104.613</v>
      </c>
      <c r="BY160" s="11">
        <v>498.808</v>
      </c>
      <c r="BZ160" s="11"/>
      <c r="CA160" s="11"/>
      <c r="CB160" s="11" t="s">
        <v>330</v>
      </c>
      <c r="CC160" s="11"/>
      <c r="CD160" s="11"/>
      <c r="CE160" s="11"/>
      <c r="CF160" s="11"/>
      <c r="CG160" s="11" t="s">
        <v>271</v>
      </c>
      <c r="CH160" s="11"/>
      <c r="CI160" s="11"/>
      <c r="CJ160" s="11"/>
      <c r="CK160" s="11"/>
      <c r="CL160" s="40" t="s">
        <v>728</v>
      </c>
      <c r="CM160" s="43">
        <v>64.02187</v>
      </c>
      <c r="CN160" s="43">
        <v>269.01435</v>
      </c>
      <c r="CO160" s="40"/>
      <c r="CP160" s="40" t="s">
        <v>331</v>
      </c>
      <c r="CQ160" s="40"/>
      <c r="CR160" s="40"/>
      <c r="CS160" s="40"/>
      <c r="CT160" s="40"/>
      <c r="CU160" s="40"/>
      <c r="CV160" s="11"/>
      <c r="CW160" s="11"/>
      <c r="CX160" s="11"/>
      <c r="CY160" s="11"/>
      <c r="C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 t="s">
        <v>332</v>
      </c>
      <c r="J161" s="11"/>
      <c r="K161" s="11">
        <v>114975.0</v>
      </c>
      <c r="L161" s="11">
        <v>114995.0</v>
      </c>
      <c r="M161" s="11">
        <v>114995.0</v>
      </c>
      <c r="N161" s="11">
        <v>114995.0</v>
      </c>
      <c r="O161" s="11">
        <v>114995.0</v>
      </c>
      <c r="P161" s="11"/>
      <c r="Q161" s="11" t="s">
        <v>371</v>
      </c>
      <c r="R161" s="11"/>
      <c r="S161" s="11"/>
      <c r="T161" s="11"/>
      <c r="U161" s="11"/>
      <c r="V161" s="11"/>
      <c r="W161" s="11">
        <v>710.364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 t="s">
        <v>439</v>
      </c>
      <c r="AZ161" s="11">
        <v>2000.0</v>
      </c>
      <c r="BA161" s="11">
        <v>2000.0</v>
      </c>
      <c r="BB161" s="11">
        <v>2000.0</v>
      </c>
      <c r="BC161" s="11">
        <v>2000.0</v>
      </c>
      <c r="BD161" s="11"/>
      <c r="BE161" s="40"/>
      <c r="BF161" s="11"/>
      <c r="BG161" s="11"/>
      <c r="BH161" s="11"/>
      <c r="BI161" s="11"/>
      <c r="BJ161" s="11" t="s">
        <v>1043</v>
      </c>
      <c r="BK161" s="11">
        <v>50554.478</v>
      </c>
      <c r="BL161" s="11">
        <v>61917.469</v>
      </c>
      <c r="BM161" s="11">
        <v>77560.321</v>
      </c>
      <c r="BN161" s="11"/>
      <c r="BO161" s="11" t="s">
        <v>1044</v>
      </c>
      <c r="BP161" s="11">
        <v>544.72655</v>
      </c>
      <c r="BQ161" s="11"/>
      <c r="BR161" s="11"/>
      <c r="BS161" s="11"/>
      <c r="BT161" s="11"/>
      <c r="BU161" s="11"/>
      <c r="BV161" s="11" t="s">
        <v>691</v>
      </c>
      <c r="BW161" s="11">
        <v>46.227</v>
      </c>
      <c r="BX161" s="11">
        <v>53.624</v>
      </c>
      <c r="BY161" s="11">
        <v>83.392</v>
      </c>
      <c r="BZ161" s="11"/>
      <c r="CA161" s="11"/>
      <c r="CB161" s="11" t="s">
        <v>834</v>
      </c>
      <c r="CC161" s="11"/>
      <c r="CD161" s="11"/>
      <c r="CE161" s="11"/>
      <c r="CF161" s="11"/>
      <c r="CG161" s="11" t="s">
        <v>397</v>
      </c>
      <c r="CH161" s="11"/>
      <c r="CI161" s="11"/>
      <c r="CJ161" s="11"/>
      <c r="CK161" s="11"/>
      <c r="CL161" s="40" t="s">
        <v>411</v>
      </c>
      <c r="CM161" s="43">
        <v>69.02187</v>
      </c>
      <c r="CN161" s="43">
        <v>356.56579</v>
      </c>
      <c r="CO161" s="40"/>
      <c r="CP161" s="40" t="s">
        <v>397</v>
      </c>
      <c r="CQ161" s="40"/>
      <c r="CR161" s="40"/>
      <c r="CS161" s="40"/>
      <c r="CT161" s="40"/>
      <c r="CU161" s="40"/>
      <c r="CV161" s="11"/>
      <c r="CW161" s="11"/>
      <c r="CX161" s="11"/>
      <c r="CY161" s="11"/>
      <c r="C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 t="s">
        <v>334</v>
      </c>
      <c r="J162" s="11"/>
      <c r="K162" s="11">
        <v>28309.0</v>
      </c>
      <c r="L162" s="11">
        <v>29652.0</v>
      </c>
      <c r="M162" s="11">
        <v>31064.837</v>
      </c>
      <c r="N162" s="11">
        <v>31778.92</v>
      </c>
      <c r="O162" s="11">
        <v>31778.92</v>
      </c>
      <c r="P162" s="11"/>
      <c r="Q162" s="11" t="s">
        <v>789</v>
      </c>
      <c r="R162" s="11">
        <v>0.0</v>
      </c>
      <c r="S162" s="11">
        <v>0.0</v>
      </c>
      <c r="T162" s="11">
        <v>0.0</v>
      </c>
      <c r="U162" s="11">
        <v>0.0</v>
      </c>
      <c r="V162" s="11">
        <v>0.0</v>
      </c>
      <c r="W162" s="11">
        <v>43392.925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 t="s">
        <v>1045</v>
      </c>
      <c r="AZ162" s="11"/>
      <c r="BA162" s="11">
        <v>147.21263</v>
      </c>
      <c r="BB162" s="11">
        <v>141.51862</v>
      </c>
      <c r="BC162" s="11">
        <v>141.51862</v>
      </c>
      <c r="BD162" s="11"/>
      <c r="BE162" s="40" t="s">
        <v>982</v>
      </c>
      <c r="BF162" s="53">
        <v>0.0</v>
      </c>
      <c r="BG162" s="53">
        <v>0.0</v>
      </c>
      <c r="BH162" s="53">
        <v>0.0</v>
      </c>
      <c r="BI162" s="11"/>
      <c r="BJ162" s="11" t="s">
        <v>411</v>
      </c>
      <c r="BK162" s="11">
        <v>121315.382</v>
      </c>
      <c r="BL162" s="11">
        <v>202588.232</v>
      </c>
      <c r="BM162" s="11">
        <v>261570.887</v>
      </c>
      <c r="BN162" s="11"/>
      <c r="BO162" s="11" t="s">
        <v>1046</v>
      </c>
      <c r="BP162" s="11"/>
      <c r="BQ162" s="11"/>
      <c r="BR162" s="11"/>
      <c r="BS162" s="11"/>
      <c r="BT162" s="11"/>
      <c r="BU162" s="11"/>
      <c r="BV162" s="11" t="s">
        <v>1047</v>
      </c>
      <c r="BW162" s="11"/>
      <c r="BX162" s="11">
        <v>42.772</v>
      </c>
      <c r="BY162" s="11">
        <v>43.404</v>
      </c>
      <c r="BZ162" s="11"/>
      <c r="CA162" s="11"/>
      <c r="CB162" s="11" t="s">
        <v>1048</v>
      </c>
      <c r="CC162" s="11">
        <v>-315220.599</v>
      </c>
      <c r="CD162" s="11">
        <v>-326043.41</v>
      </c>
      <c r="CE162" s="11">
        <v>5562.962</v>
      </c>
      <c r="CF162" s="11"/>
      <c r="CG162" s="11" t="s">
        <v>824</v>
      </c>
      <c r="CH162" s="53">
        <v>0.0</v>
      </c>
      <c r="CI162" s="53">
        <v>0.0</v>
      </c>
      <c r="CJ162" s="53">
        <v>0.0</v>
      </c>
      <c r="CK162" s="11"/>
      <c r="CL162" s="40"/>
      <c r="CM162" s="40"/>
      <c r="CN162" s="40"/>
      <c r="CO162" s="40"/>
      <c r="CP162" s="40" t="s">
        <v>715</v>
      </c>
      <c r="CQ162" s="46" t="s">
        <v>17</v>
      </c>
      <c r="CR162" s="46" t="s">
        <v>18</v>
      </c>
      <c r="CS162" s="46" t="s">
        <v>19</v>
      </c>
      <c r="CT162" s="46" t="s">
        <v>20</v>
      </c>
      <c r="CU162" s="46" t="s">
        <v>21</v>
      </c>
      <c r="CV162" s="11"/>
      <c r="CW162" s="11"/>
      <c r="CX162" s="11"/>
      <c r="CY162" s="11"/>
      <c r="C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 t="s">
        <v>981</v>
      </c>
      <c r="J163" s="11"/>
      <c r="K163" s="11"/>
      <c r="L163" s="11"/>
      <c r="M163" s="11">
        <v>-6800.427</v>
      </c>
      <c r="N163" s="11">
        <v>22470.203</v>
      </c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 t="s">
        <v>1049</v>
      </c>
      <c r="AZ163" s="11"/>
      <c r="BA163" s="11">
        <v>1501.16858</v>
      </c>
      <c r="BB163" s="11"/>
      <c r="BC163" s="11">
        <v>9.99999901978299E-5</v>
      </c>
      <c r="BD163" s="11"/>
      <c r="BE163" s="40" t="s">
        <v>1050</v>
      </c>
      <c r="BF163" s="11">
        <v>6167.267</v>
      </c>
      <c r="BG163" s="11">
        <v>6029.469</v>
      </c>
      <c r="BH163" s="11">
        <v>2603.424</v>
      </c>
      <c r="BI163" s="11"/>
      <c r="BJ163" s="11"/>
      <c r="BK163" s="11"/>
      <c r="BL163" s="11"/>
      <c r="BM163" s="11"/>
      <c r="BN163" s="11"/>
      <c r="BO163" s="11" t="s">
        <v>411</v>
      </c>
      <c r="BP163" s="11">
        <v>5447.26547</v>
      </c>
      <c r="BQ163" s="11">
        <v>2139.07664</v>
      </c>
      <c r="BR163" s="11">
        <v>11106.37213</v>
      </c>
      <c r="BS163" s="11">
        <v>24713.03006</v>
      </c>
      <c r="BT163" s="11"/>
      <c r="BU163" s="11"/>
      <c r="BV163" s="11" t="s">
        <v>1051</v>
      </c>
      <c r="BW163" s="11">
        <v>11.35</v>
      </c>
      <c r="BX163" s="11">
        <v>12.153</v>
      </c>
      <c r="BY163" s="11">
        <v>52.521</v>
      </c>
      <c r="BZ163" s="11"/>
      <c r="CA163" s="11"/>
      <c r="CB163" s="11" t="s">
        <v>1052</v>
      </c>
      <c r="CC163" s="11">
        <v>-10822.811</v>
      </c>
      <c r="CD163" s="11">
        <v>-37184.829</v>
      </c>
      <c r="CE163" s="11">
        <v>11939.54</v>
      </c>
      <c r="CF163" s="11"/>
      <c r="CG163" s="11" t="s">
        <v>411</v>
      </c>
      <c r="CH163" s="11">
        <v>0.0</v>
      </c>
      <c r="CI163" s="11">
        <v>0.0</v>
      </c>
      <c r="CJ163" s="11">
        <v>0.0</v>
      </c>
      <c r="CK163" s="11"/>
      <c r="CL163" s="40" t="s">
        <v>394</v>
      </c>
      <c r="CM163" s="40"/>
      <c r="CN163" s="40"/>
      <c r="CO163" s="40"/>
      <c r="CP163" s="40" t="s">
        <v>332</v>
      </c>
      <c r="CQ163" s="43">
        <v>6.0</v>
      </c>
      <c r="CR163" s="43">
        <v>6.0</v>
      </c>
      <c r="CS163" s="43">
        <v>6.0</v>
      </c>
      <c r="CT163" s="43">
        <v>6.0</v>
      </c>
      <c r="CU163" s="43">
        <v>6.0</v>
      </c>
      <c r="CV163" s="11"/>
      <c r="CW163" s="11"/>
      <c r="CX163" s="11"/>
      <c r="CY163" s="11"/>
      <c r="C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 t="s">
        <v>337</v>
      </c>
      <c r="J164" s="11"/>
      <c r="K164" s="11">
        <v>306165.0</v>
      </c>
      <c r="L164" s="11">
        <v>326342.0</v>
      </c>
      <c r="M164" s="11">
        <v>386272.013</v>
      </c>
      <c r="N164" s="11">
        <v>392772.881</v>
      </c>
      <c r="O164" s="11">
        <v>362761.969</v>
      </c>
      <c r="P164" s="11"/>
      <c r="Q164" s="11" t="s">
        <v>1053</v>
      </c>
      <c r="R164" s="53">
        <v>2019.0</v>
      </c>
      <c r="S164" s="53">
        <v>2020.0</v>
      </c>
      <c r="T164" s="53">
        <v>2021.0</v>
      </c>
      <c r="U164" s="53">
        <v>2022.0</v>
      </c>
      <c r="V164" s="53">
        <v>2023.0</v>
      </c>
      <c r="W164" s="53">
        <v>2024.0</v>
      </c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 t="s">
        <v>1054</v>
      </c>
      <c r="AZ164" s="11"/>
      <c r="BA164" s="11"/>
      <c r="BB164" s="11">
        <v>5103.94302</v>
      </c>
      <c r="BC164" s="11">
        <v>5103.94302</v>
      </c>
      <c r="BD164" s="11"/>
      <c r="BE164" s="40" t="s">
        <v>411</v>
      </c>
      <c r="BF164" s="11">
        <v>6167.267</v>
      </c>
      <c r="BG164" s="11">
        <v>6029.469</v>
      </c>
      <c r="BH164" s="11">
        <v>2603.424</v>
      </c>
      <c r="BI164" s="11"/>
      <c r="BJ164" s="11" t="s">
        <v>397</v>
      </c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 t="s">
        <v>1055</v>
      </c>
      <c r="BW164" s="11">
        <v>10.346</v>
      </c>
      <c r="BX164" s="11">
        <v>10.993</v>
      </c>
      <c r="BY164" s="11">
        <v>11.865</v>
      </c>
      <c r="BZ164" s="11"/>
      <c r="CA164" s="11"/>
      <c r="CB164" s="11" t="s">
        <v>411</v>
      </c>
      <c r="CC164" s="11">
        <v>138126.493</v>
      </c>
      <c r="CD164" s="11">
        <v>97760.76100000003</v>
      </c>
      <c r="CE164" s="11">
        <v>109700.302</v>
      </c>
      <c r="CF164" s="11"/>
      <c r="CG164" s="11"/>
      <c r="CH164" s="11"/>
      <c r="CI164" s="11"/>
      <c r="CJ164" s="11"/>
      <c r="CK164" s="53"/>
      <c r="CL164" s="40" t="s">
        <v>397</v>
      </c>
      <c r="CM164" s="40"/>
      <c r="CN164" s="40"/>
      <c r="CO164" s="40"/>
      <c r="CP164" s="40" t="s">
        <v>333</v>
      </c>
      <c r="CQ164" s="40"/>
      <c r="CR164" s="40"/>
      <c r="CS164" s="40"/>
      <c r="CT164" s="40"/>
      <c r="CU164" s="40"/>
      <c r="CV164" s="11"/>
      <c r="CW164" s="11"/>
      <c r="CX164" s="11"/>
      <c r="CY164" s="11"/>
      <c r="C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 t="s">
        <v>728</v>
      </c>
      <c r="J165" s="11"/>
      <c r="K165" s="11"/>
      <c r="L165" s="11"/>
      <c r="M165" s="11"/>
      <c r="N165" s="11"/>
      <c r="O165" s="11">
        <v>2151.954</v>
      </c>
      <c r="P165" s="11"/>
      <c r="Q165" s="11" t="s">
        <v>366</v>
      </c>
      <c r="R165" s="11">
        <v>4011.0</v>
      </c>
      <c r="S165" s="11">
        <v>47.0</v>
      </c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 t="s">
        <v>1056</v>
      </c>
      <c r="AZ165" s="11"/>
      <c r="BA165" s="11"/>
      <c r="BB165" s="11">
        <v>906.67975</v>
      </c>
      <c r="BC165" s="11">
        <v>906.67975</v>
      </c>
      <c r="BD165" s="11"/>
      <c r="BE165" s="40"/>
      <c r="BF165" s="11"/>
      <c r="BG165" s="11"/>
      <c r="BH165" s="11"/>
      <c r="BI165" s="11"/>
      <c r="BJ165" s="11" t="s">
        <v>354</v>
      </c>
      <c r="BK165" s="53">
        <v>0.0</v>
      </c>
      <c r="BL165" s="53">
        <v>0.0</v>
      </c>
      <c r="BM165" s="53">
        <v>0.0</v>
      </c>
      <c r="BN165" s="11"/>
      <c r="BO165" s="11" t="s">
        <v>397</v>
      </c>
      <c r="BP165" s="11"/>
      <c r="BQ165" s="11"/>
      <c r="BR165" s="11"/>
      <c r="BS165" s="11"/>
      <c r="BT165" s="11"/>
      <c r="BU165" s="11"/>
      <c r="BV165" s="11" t="s">
        <v>1057</v>
      </c>
      <c r="BW165" s="11">
        <v>7.746</v>
      </c>
      <c r="BX165" s="11">
        <v>7.746</v>
      </c>
      <c r="BY165" s="11">
        <v>7.746</v>
      </c>
      <c r="BZ165" s="11"/>
      <c r="CA165" s="11"/>
      <c r="CB165" s="11"/>
      <c r="CC165" s="11"/>
      <c r="CD165" s="11"/>
      <c r="CE165" s="11"/>
      <c r="CF165" s="11"/>
      <c r="CG165" s="11" t="s">
        <v>397</v>
      </c>
      <c r="CH165" s="11"/>
      <c r="CI165" s="11"/>
      <c r="CJ165" s="11"/>
      <c r="CK165" s="11"/>
      <c r="CL165" s="40" t="s">
        <v>63</v>
      </c>
      <c r="CM165" s="46" t="s">
        <v>18</v>
      </c>
      <c r="CN165" s="46" t="s">
        <v>19</v>
      </c>
      <c r="CO165" s="40"/>
      <c r="CP165" s="40" t="s">
        <v>334</v>
      </c>
      <c r="CQ165" s="43">
        <v>56.089</v>
      </c>
      <c r="CR165" s="43">
        <v>75.655</v>
      </c>
      <c r="CS165" s="43">
        <v>112.83228</v>
      </c>
      <c r="CT165" s="43">
        <v>140.05211</v>
      </c>
      <c r="CU165" s="43">
        <v>302.23253</v>
      </c>
      <c r="CV165" s="11"/>
      <c r="CW165" s="11"/>
      <c r="CX165" s="11"/>
      <c r="CY165" s="11"/>
      <c r="C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 t="s">
        <v>733</v>
      </c>
      <c r="J166" s="11">
        <v>0.0</v>
      </c>
      <c r="K166" s="11">
        <v>449449.0</v>
      </c>
      <c r="L166" s="11">
        <v>470989.0</v>
      </c>
      <c r="M166" s="11">
        <v>525531.423</v>
      </c>
      <c r="N166" s="11">
        <v>562017.004</v>
      </c>
      <c r="O166" s="11">
        <v>511687.843</v>
      </c>
      <c r="P166" s="11"/>
      <c r="Q166" s="11" t="s">
        <v>362</v>
      </c>
      <c r="R166" s="11">
        <v>3209.0</v>
      </c>
      <c r="S166" s="11">
        <v>393.0</v>
      </c>
      <c r="T166" s="11"/>
      <c r="U166" s="11">
        <v>6972.309</v>
      </c>
      <c r="V166" s="11">
        <v>6928.491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 t="s">
        <v>857</v>
      </c>
      <c r="AZ166" s="11">
        <v>26685.525</v>
      </c>
      <c r="BA166" s="11">
        <v>28381.89773</v>
      </c>
      <c r="BB166" s="11">
        <v>33918.55829</v>
      </c>
      <c r="BC166" s="11">
        <v>33918.55838999999</v>
      </c>
      <c r="BD166" s="11"/>
      <c r="BE166" s="40" t="s">
        <v>991</v>
      </c>
      <c r="BF166" s="53">
        <v>0.0</v>
      </c>
      <c r="BG166" s="53">
        <v>0.0</v>
      </c>
      <c r="BH166" s="53">
        <v>0.0</v>
      </c>
      <c r="BI166" s="11"/>
      <c r="BJ166" s="11" t="s">
        <v>354</v>
      </c>
      <c r="BK166" s="11"/>
      <c r="BL166" s="11"/>
      <c r="BM166" s="11"/>
      <c r="BN166" s="11"/>
      <c r="BO166" s="11" t="s">
        <v>354</v>
      </c>
      <c r="BP166" s="53">
        <v>0.0</v>
      </c>
      <c r="BQ166" s="53">
        <v>0.0</v>
      </c>
      <c r="BR166" s="53">
        <v>0.0</v>
      </c>
      <c r="BS166" s="53">
        <v>0.0</v>
      </c>
      <c r="BT166" s="11"/>
      <c r="BU166" s="11"/>
      <c r="BV166" s="11" t="s">
        <v>1058</v>
      </c>
      <c r="BW166" s="11"/>
      <c r="BX166" s="11"/>
      <c r="BY166" s="11">
        <v>2.992</v>
      </c>
      <c r="BZ166" s="11"/>
      <c r="CA166" s="11"/>
      <c r="CB166" s="11" t="s">
        <v>394</v>
      </c>
      <c r="CC166" s="11"/>
      <c r="CD166" s="11"/>
      <c r="CE166" s="11"/>
      <c r="CF166" s="11"/>
      <c r="CG166" s="11" t="s">
        <v>835</v>
      </c>
      <c r="CH166" s="53">
        <v>0.0</v>
      </c>
      <c r="CI166" s="53">
        <v>0.0</v>
      </c>
      <c r="CJ166" s="53">
        <v>0.0</v>
      </c>
      <c r="CK166" s="11"/>
      <c r="CL166" s="40" t="s">
        <v>1059</v>
      </c>
      <c r="CM166" s="43">
        <v>0.0</v>
      </c>
      <c r="CN166" s="43">
        <v>4084.71754</v>
      </c>
      <c r="CO166" s="40"/>
      <c r="CP166" s="40" t="s">
        <v>1036</v>
      </c>
      <c r="CQ166" s="40"/>
      <c r="CR166" s="40"/>
      <c r="CS166" s="40"/>
      <c r="CT166" s="40"/>
      <c r="CU166" s="40"/>
      <c r="CV166" s="11"/>
      <c r="CW166" s="11"/>
      <c r="CX166" s="11"/>
      <c r="CY166" s="11"/>
      <c r="C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 t="s">
        <v>373</v>
      </c>
      <c r="R167" s="11"/>
      <c r="S167" s="11"/>
      <c r="T167" s="11"/>
      <c r="U167" s="11"/>
      <c r="V167" s="11"/>
      <c r="W167" s="11">
        <v>-2425.693</v>
      </c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 t="s">
        <v>794</v>
      </c>
      <c r="AZ167" s="53">
        <v>0.0</v>
      </c>
      <c r="BA167" s="53">
        <v>0.0</v>
      </c>
      <c r="BB167" s="53">
        <v>0.0</v>
      </c>
      <c r="BC167" s="53">
        <v>0.0</v>
      </c>
      <c r="BD167" s="11"/>
      <c r="BE167" s="40" t="s">
        <v>411</v>
      </c>
      <c r="BF167" s="11">
        <v>0.0</v>
      </c>
      <c r="BG167" s="11">
        <v>0.0</v>
      </c>
      <c r="BH167" s="11">
        <v>0.0</v>
      </c>
      <c r="BI167" s="11"/>
      <c r="BJ167" s="11" t="s">
        <v>411</v>
      </c>
      <c r="BK167" s="11">
        <v>0.0</v>
      </c>
      <c r="BL167" s="11">
        <v>0.0</v>
      </c>
      <c r="BM167" s="11">
        <v>0.0</v>
      </c>
      <c r="BN167" s="11"/>
      <c r="BO167" s="11" t="s">
        <v>1060</v>
      </c>
      <c r="BP167" s="11">
        <v>5212.2131</v>
      </c>
      <c r="BQ167" s="11">
        <v>3017.98058</v>
      </c>
      <c r="BR167" s="11"/>
      <c r="BS167" s="11"/>
      <c r="BT167" s="11"/>
      <c r="BU167" s="11"/>
      <c r="BV167" s="11" t="s">
        <v>1061</v>
      </c>
      <c r="BW167" s="11"/>
      <c r="BX167" s="11"/>
      <c r="BY167" s="11"/>
      <c r="BZ167" s="11"/>
      <c r="CA167" s="11"/>
      <c r="CB167" s="11" t="s">
        <v>397</v>
      </c>
      <c r="CC167" s="11"/>
      <c r="CD167" s="11"/>
      <c r="CE167" s="11"/>
      <c r="CF167" s="11"/>
      <c r="CG167" s="11" t="s">
        <v>835</v>
      </c>
      <c r="CH167" s="11">
        <v>51.2604</v>
      </c>
      <c r="CI167" s="11">
        <v>141.80182</v>
      </c>
      <c r="CJ167" s="11">
        <v>140.75902</v>
      </c>
      <c r="CK167" s="11"/>
      <c r="CL167" s="40" t="s">
        <v>1062</v>
      </c>
      <c r="CM167" s="40"/>
      <c r="CN167" s="43">
        <v>478.44274</v>
      </c>
      <c r="CO167" s="40"/>
      <c r="CP167" s="40" t="s">
        <v>834</v>
      </c>
      <c r="CQ167" s="40"/>
      <c r="CR167" s="40"/>
      <c r="CS167" s="40"/>
      <c r="CT167" s="40"/>
      <c r="CU167" s="40"/>
      <c r="CV167" s="11"/>
      <c r="CW167" s="11"/>
      <c r="CX167" s="11"/>
      <c r="CY167" s="11"/>
      <c r="C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 t="s">
        <v>347</v>
      </c>
      <c r="J168" s="53">
        <v>2019.0</v>
      </c>
      <c r="K168" s="53">
        <v>2020.0</v>
      </c>
      <c r="L168" s="53">
        <v>2021.0</v>
      </c>
      <c r="M168" s="53">
        <v>2022.0</v>
      </c>
      <c r="N168" s="53">
        <v>2023.0</v>
      </c>
      <c r="O168" s="53">
        <v>2024.0</v>
      </c>
      <c r="P168" s="11"/>
      <c r="Q168" s="11" t="s">
        <v>386</v>
      </c>
      <c r="R168" s="11"/>
      <c r="S168" s="11"/>
      <c r="T168" s="11">
        <v>61.147</v>
      </c>
      <c r="U168" s="11">
        <v>11.521</v>
      </c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 t="s">
        <v>1063</v>
      </c>
      <c r="AZ168" s="11">
        <v>1791.479</v>
      </c>
      <c r="BA168" s="11">
        <v>1620.84272</v>
      </c>
      <c r="BB168" s="11">
        <v>1435.31482</v>
      </c>
      <c r="BC168" s="11">
        <v>1435.31482</v>
      </c>
      <c r="BD168" s="11"/>
      <c r="BE168" s="40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 t="s">
        <v>1064</v>
      </c>
      <c r="BP168" s="11"/>
      <c r="BQ168" s="11"/>
      <c r="BR168" s="11"/>
      <c r="BS168" s="11"/>
      <c r="BT168" s="11"/>
      <c r="BU168" s="11"/>
      <c r="BV168" s="11" t="s">
        <v>411</v>
      </c>
      <c r="BW168" s="11">
        <v>8968.307</v>
      </c>
      <c r="BX168" s="11">
        <v>19772.419</v>
      </c>
      <c r="BY168" s="11">
        <v>12101.736</v>
      </c>
      <c r="BZ168" s="11">
        <v>0.0</v>
      </c>
      <c r="CA168" s="11"/>
      <c r="CB168" s="11" t="s">
        <v>347</v>
      </c>
      <c r="CC168" s="53">
        <v>0.0</v>
      </c>
      <c r="CD168" s="53">
        <v>0.0</v>
      </c>
      <c r="CE168" s="53">
        <v>0.0</v>
      </c>
      <c r="CF168" s="11"/>
      <c r="CG168" s="11" t="s">
        <v>411</v>
      </c>
      <c r="CH168" s="11">
        <v>51.2604</v>
      </c>
      <c r="CI168" s="11">
        <v>141.80182</v>
      </c>
      <c r="CJ168" s="11">
        <v>140.75902</v>
      </c>
      <c r="CK168" s="53"/>
      <c r="CL168" s="40" t="s">
        <v>1046</v>
      </c>
      <c r="CM168" s="40"/>
      <c r="CN168" s="43">
        <v>-53.69535</v>
      </c>
      <c r="CO168" s="40"/>
      <c r="CP168" s="40" t="s">
        <v>918</v>
      </c>
      <c r="CQ168" s="43">
        <v>978.89</v>
      </c>
      <c r="CR168" s="43">
        <v>3653.092</v>
      </c>
      <c r="CS168" s="43">
        <v>371.76171</v>
      </c>
      <c r="CT168" s="43">
        <v>1977.73176</v>
      </c>
      <c r="CU168" s="43">
        <v>3915.90162</v>
      </c>
      <c r="CV168" s="53"/>
      <c r="CW168" s="53"/>
      <c r="CX168" s="53"/>
      <c r="CY168" s="53"/>
      <c r="CZ168" s="53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 t="s">
        <v>347</v>
      </c>
      <c r="J169" s="11"/>
      <c r="K169" s="11">
        <v>242015.0</v>
      </c>
      <c r="L169" s="11">
        <v>305353.0</v>
      </c>
      <c r="M169" s="11">
        <v>360978.116</v>
      </c>
      <c r="N169" s="11">
        <v>419772.195</v>
      </c>
      <c r="O169" s="11">
        <v>312105.949</v>
      </c>
      <c r="P169" s="11"/>
      <c r="Q169" s="11" t="s">
        <v>370</v>
      </c>
      <c r="R169" s="11"/>
      <c r="S169" s="11">
        <v>360.0</v>
      </c>
      <c r="T169" s="11">
        <v>3182.04</v>
      </c>
      <c r="U169" s="11">
        <v>3111.028</v>
      </c>
      <c r="V169" s="11">
        <v>3208.625</v>
      </c>
      <c r="W169" s="11">
        <v>3621.007</v>
      </c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 t="s">
        <v>432</v>
      </c>
      <c r="AZ169" s="11">
        <v>1008.071</v>
      </c>
      <c r="BA169" s="11">
        <v>672.03172</v>
      </c>
      <c r="BB169" s="11">
        <v>336.02354</v>
      </c>
      <c r="BC169" s="11">
        <v>336.02354</v>
      </c>
      <c r="BD169" s="11"/>
      <c r="BE169" s="40" t="s">
        <v>1003</v>
      </c>
      <c r="BF169" s="53">
        <v>0.0</v>
      </c>
      <c r="BG169" s="53">
        <v>0.0</v>
      </c>
      <c r="BH169" s="53">
        <v>0.0</v>
      </c>
      <c r="BI169" s="11"/>
      <c r="BJ169" s="11" t="s">
        <v>982</v>
      </c>
      <c r="BK169" s="53">
        <v>0.0</v>
      </c>
      <c r="BL169" s="53">
        <v>0.0</v>
      </c>
      <c r="BM169" s="53">
        <v>0.0</v>
      </c>
      <c r="BN169" s="11"/>
      <c r="BO169" s="11" t="s">
        <v>1065</v>
      </c>
      <c r="BP169" s="11">
        <v>1428.19902</v>
      </c>
      <c r="BQ169" s="11">
        <v>1154.61011</v>
      </c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 t="s">
        <v>347</v>
      </c>
      <c r="CC169" s="11">
        <v>1222964.796</v>
      </c>
      <c r="CD169" s="11">
        <v>1675859.329</v>
      </c>
      <c r="CE169" s="11">
        <v>2072384.508</v>
      </c>
      <c r="CF169" s="11"/>
      <c r="CG169" s="11"/>
      <c r="CH169" s="11"/>
      <c r="CI169" s="11"/>
      <c r="CJ169" s="11"/>
      <c r="CK169" s="11"/>
      <c r="CL169" s="40" t="s">
        <v>411</v>
      </c>
      <c r="CM169" s="43">
        <v>0.0</v>
      </c>
      <c r="CN169" s="43">
        <v>4509.46493</v>
      </c>
      <c r="CO169" s="40"/>
      <c r="CP169" s="40" t="s">
        <v>728</v>
      </c>
      <c r="CQ169" s="43">
        <v>935.654</v>
      </c>
      <c r="CR169" s="43">
        <v>371.761</v>
      </c>
      <c r="CS169" s="43">
        <v>2177.58651</v>
      </c>
      <c r="CT169" s="43">
        <v>2076.60992</v>
      </c>
      <c r="CU169" s="43">
        <v>251.93923</v>
      </c>
      <c r="CV169" s="11"/>
      <c r="CW169" s="11"/>
      <c r="CX169" s="11"/>
      <c r="CY169" s="11"/>
      <c r="C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 t="s">
        <v>350</v>
      </c>
      <c r="J170" s="11"/>
      <c r="K170" s="11">
        <v>95451.0</v>
      </c>
      <c r="L170" s="11">
        <v>24695.0</v>
      </c>
      <c r="M170" s="11"/>
      <c r="N170" s="11"/>
      <c r="O170" s="11"/>
      <c r="P170" s="11"/>
      <c r="Q170" s="11" t="s">
        <v>388</v>
      </c>
      <c r="R170" s="11"/>
      <c r="S170" s="11"/>
      <c r="T170" s="11"/>
      <c r="U170" s="11"/>
      <c r="V170" s="11"/>
      <c r="W170" s="11">
        <v>3470.576</v>
      </c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 t="s">
        <v>443</v>
      </c>
      <c r="AZ170" s="11">
        <v>800.0</v>
      </c>
      <c r="BA170" s="11">
        <v>1000.0</v>
      </c>
      <c r="BB170" s="11">
        <v>666.676</v>
      </c>
      <c r="BC170" s="11">
        <v>666.676</v>
      </c>
      <c r="BD170" s="11"/>
      <c r="BE170" s="40" t="s">
        <v>411</v>
      </c>
      <c r="BF170" s="11">
        <v>0.0</v>
      </c>
      <c r="BG170" s="11">
        <v>0.0</v>
      </c>
      <c r="BH170" s="11">
        <v>0.0</v>
      </c>
      <c r="BI170" s="11"/>
      <c r="BJ170" s="11" t="s">
        <v>982</v>
      </c>
      <c r="BK170" s="11">
        <v>71345.801</v>
      </c>
      <c r="BL170" s="11">
        <v>130092.242</v>
      </c>
      <c r="BM170" s="11">
        <v>171178.549</v>
      </c>
      <c r="BN170" s="11"/>
      <c r="BO170" s="11" t="s">
        <v>1066</v>
      </c>
      <c r="BP170" s="11">
        <v>-3017.98058</v>
      </c>
      <c r="BQ170" s="11">
        <v>-2449.56445</v>
      </c>
      <c r="BR170" s="11"/>
      <c r="BS170" s="11"/>
      <c r="BT170" s="11"/>
      <c r="BU170" s="11"/>
      <c r="BV170" s="11" t="s">
        <v>730</v>
      </c>
      <c r="BW170" s="11"/>
      <c r="BX170" s="11"/>
      <c r="BY170" s="11"/>
      <c r="BZ170" s="11"/>
      <c r="CA170" s="11"/>
      <c r="CB170" s="11" t="s">
        <v>411</v>
      </c>
      <c r="CC170" s="11">
        <v>1222964.796</v>
      </c>
      <c r="CD170" s="11">
        <v>1675859.329</v>
      </c>
      <c r="CE170" s="11">
        <v>2072384.508</v>
      </c>
      <c r="CF170" s="11"/>
      <c r="CG170" s="11" t="s">
        <v>845</v>
      </c>
      <c r="CH170" s="11"/>
      <c r="CI170" s="11"/>
      <c r="CJ170" s="11"/>
      <c r="CK170" s="11"/>
      <c r="CL170" s="40"/>
      <c r="CM170" s="40"/>
      <c r="CN170" s="40"/>
      <c r="CO170" s="40"/>
      <c r="CP170" s="40" t="s">
        <v>411</v>
      </c>
      <c r="CQ170" s="43">
        <v>1976.633</v>
      </c>
      <c r="CR170" s="43">
        <v>4106.508000000001</v>
      </c>
      <c r="CS170" s="43">
        <v>2668.1805</v>
      </c>
      <c r="CT170" s="43">
        <v>4200.39379</v>
      </c>
      <c r="CU170" s="43">
        <v>4476.07338</v>
      </c>
      <c r="CV170" s="11"/>
      <c r="CW170" s="11"/>
      <c r="CX170" s="11"/>
      <c r="CY170" s="11"/>
      <c r="C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 t="s">
        <v>753</v>
      </c>
      <c r="J171" s="11">
        <v>0.0</v>
      </c>
      <c r="K171" s="11">
        <v>337466.0</v>
      </c>
      <c r="L171" s="11">
        <v>330048.0</v>
      </c>
      <c r="M171" s="11">
        <v>360978.116</v>
      </c>
      <c r="N171" s="11">
        <v>419772.195</v>
      </c>
      <c r="O171" s="11">
        <v>312105.949</v>
      </c>
      <c r="P171" s="11"/>
      <c r="Q171" s="11" t="s">
        <v>917</v>
      </c>
      <c r="R171" s="53">
        <v>2019.0</v>
      </c>
      <c r="S171" s="53">
        <v>2020.0</v>
      </c>
      <c r="T171" s="53">
        <v>2021.0</v>
      </c>
      <c r="U171" s="53">
        <v>2022.0</v>
      </c>
      <c r="V171" s="53">
        <v>2023.0</v>
      </c>
      <c r="W171" s="53">
        <v>2024.0</v>
      </c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 t="s">
        <v>1067</v>
      </c>
      <c r="AZ171" s="11">
        <v>826.0</v>
      </c>
      <c r="BA171" s="11"/>
      <c r="BB171" s="11">
        <v>269.1858</v>
      </c>
      <c r="BC171" s="11">
        <v>269.1858</v>
      </c>
      <c r="BD171" s="11"/>
      <c r="BE171" s="40"/>
      <c r="BF171" s="11"/>
      <c r="BG171" s="11"/>
      <c r="BH171" s="11"/>
      <c r="BI171" s="11"/>
      <c r="BJ171" s="11" t="s">
        <v>411</v>
      </c>
      <c r="BK171" s="11">
        <v>71345.801</v>
      </c>
      <c r="BL171" s="11">
        <v>130092.242</v>
      </c>
      <c r="BM171" s="11">
        <v>171178.549</v>
      </c>
      <c r="BN171" s="11"/>
      <c r="BO171" s="11" t="s">
        <v>354</v>
      </c>
      <c r="BP171" s="11"/>
      <c r="BQ171" s="11"/>
      <c r="BR171" s="11">
        <v>8404.19179</v>
      </c>
      <c r="BS171" s="11">
        <v>18754.71854</v>
      </c>
      <c r="BT171" s="11"/>
      <c r="BU171" s="11"/>
      <c r="BV171" s="11" t="s">
        <v>397</v>
      </c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 t="s">
        <v>397</v>
      </c>
      <c r="CH171" s="11"/>
      <c r="CI171" s="11"/>
      <c r="CJ171" s="11"/>
      <c r="CK171" s="11"/>
      <c r="CL171" s="40" t="s">
        <v>397</v>
      </c>
      <c r="CM171" s="40"/>
      <c r="CN171" s="40"/>
      <c r="CO171" s="40"/>
      <c r="CP171" s="40"/>
      <c r="CQ171" s="40"/>
      <c r="CR171" s="40"/>
      <c r="CS171" s="40"/>
      <c r="CT171" s="40"/>
      <c r="CU171" s="40"/>
      <c r="CV171" s="11"/>
      <c r="CW171" s="11"/>
      <c r="CX171" s="11"/>
      <c r="CY171" s="11"/>
      <c r="C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 t="s">
        <v>379</v>
      </c>
      <c r="R172" s="11">
        <v>1220.0</v>
      </c>
      <c r="S172" s="11">
        <v>155.0</v>
      </c>
      <c r="T172" s="11"/>
      <c r="U172" s="11"/>
      <c r="V172" s="11"/>
      <c r="W172" s="11">
        <v>191.149</v>
      </c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 t="s">
        <v>1068</v>
      </c>
      <c r="AZ172" s="11">
        <v>2778.4935</v>
      </c>
      <c r="BA172" s="11">
        <v>3978.19698</v>
      </c>
      <c r="BB172" s="11">
        <v>4689.93407</v>
      </c>
      <c r="BC172" s="11">
        <v>4689.93407</v>
      </c>
      <c r="BD172" s="11"/>
      <c r="BE172" s="40" t="s">
        <v>1012</v>
      </c>
      <c r="BF172" s="53">
        <v>0.0</v>
      </c>
      <c r="BG172" s="53">
        <v>0.0</v>
      </c>
      <c r="BH172" s="53">
        <v>0.0</v>
      </c>
      <c r="BI172" s="11"/>
      <c r="BJ172" s="11"/>
      <c r="BK172" s="11"/>
      <c r="BL172" s="11"/>
      <c r="BM172" s="11"/>
      <c r="BN172" s="11"/>
      <c r="BO172" s="11" t="s">
        <v>411</v>
      </c>
      <c r="BP172" s="11">
        <v>3622.43154</v>
      </c>
      <c r="BQ172" s="11">
        <v>1723.02624</v>
      </c>
      <c r="BR172" s="11">
        <v>8404.19179</v>
      </c>
      <c r="BS172" s="11">
        <v>18754.71854</v>
      </c>
      <c r="BT172" s="11"/>
      <c r="BU172" s="11"/>
      <c r="BV172" s="11" t="s">
        <v>290</v>
      </c>
      <c r="BW172" s="53">
        <v>0.0</v>
      </c>
      <c r="BX172" s="53">
        <v>0.0</v>
      </c>
      <c r="BY172" s="53">
        <v>0.0</v>
      </c>
      <c r="BZ172" s="53">
        <v>0.0</v>
      </c>
      <c r="CA172" s="11"/>
      <c r="CB172" s="11" t="s">
        <v>354</v>
      </c>
      <c r="CC172" s="53">
        <v>0.0</v>
      </c>
      <c r="CD172" s="53">
        <v>0.0</v>
      </c>
      <c r="CE172" s="53">
        <v>0.0</v>
      </c>
      <c r="CF172" s="11"/>
      <c r="CG172" s="11" t="s">
        <v>852</v>
      </c>
      <c r="CH172" s="53">
        <v>0.0</v>
      </c>
      <c r="CI172" s="53">
        <v>0.0</v>
      </c>
      <c r="CJ172" s="53">
        <v>0.0</v>
      </c>
      <c r="CK172" s="11"/>
      <c r="CL172" s="40" t="s">
        <v>354</v>
      </c>
      <c r="CM172" s="46" t="s">
        <v>18</v>
      </c>
      <c r="CN172" s="46" t="s">
        <v>19</v>
      </c>
      <c r="CO172" s="40"/>
      <c r="CP172" s="40" t="s">
        <v>394</v>
      </c>
      <c r="CQ172" s="40"/>
      <c r="CR172" s="40"/>
      <c r="CS172" s="40"/>
      <c r="CT172" s="40"/>
      <c r="CU172" s="40"/>
      <c r="CV172" s="11"/>
      <c r="CW172" s="11"/>
      <c r="CX172" s="11"/>
      <c r="CY172" s="11"/>
      <c r="C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 t="s">
        <v>351</v>
      </c>
      <c r="J173" s="53">
        <v>2019.0</v>
      </c>
      <c r="K173" s="53">
        <v>2020.0</v>
      </c>
      <c r="L173" s="53">
        <v>2021.0</v>
      </c>
      <c r="M173" s="53">
        <v>2022.0</v>
      </c>
      <c r="N173" s="53">
        <v>2023.0</v>
      </c>
      <c r="O173" s="53">
        <v>2024.0</v>
      </c>
      <c r="P173" s="11"/>
      <c r="Q173" s="11" t="s">
        <v>390</v>
      </c>
      <c r="R173" s="11"/>
      <c r="S173" s="11"/>
      <c r="T173" s="11">
        <v>1783.798</v>
      </c>
      <c r="U173" s="11">
        <v>1274.576</v>
      </c>
      <c r="V173" s="11">
        <v>1852.144</v>
      </c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 t="s">
        <v>1069</v>
      </c>
      <c r="AZ173" s="11">
        <v>-0.00310599998920225</v>
      </c>
      <c r="BA173" s="11"/>
      <c r="BB173" s="11">
        <v>1963.055</v>
      </c>
      <c r="BC173" s="11">
        <v>1963.055</v>
      </c>
      <c r="BD173" s="11"/>
      <c r="BE173" s="40" t="s">
        <v>411</v>
      </c>
      <c r="BF173" s="11">
        <v>0.0</v>
      </c>
      <c r="BG173" s="11">
        <v>0.0</v>
      </c>
      <c r="BH173" s="11">
        <v>0.0</v>
      </c>
      <c r="BI173" s="11"/>
      <c r="BJ173" s="11" t="s">
        <v>991</v>
      </c>
      <c r="BK173" s="53">
        <v>0.0</v>
      </c>
      <c r="BL173" s="53">
        <v>0.0</v>
      </c>
      <c r="BM173" s="53">
        <v>0.0</v>
      </c>
      <c r="BN173" s="11"/>
      <c r="BO173" s="11"/>
      <c r="BP173" s="11"/>
      <c r="BQ173" s="11"/>
      <c r="BR173" s="11"/>
      <c r="BS173" s="11"/>
      <c r="BT173" s="11"/>
      <c r="BU173" s="11"/>
      <c r="BV173" s="11" t="s">
        <v>290</v>
      </c>
      <c r="BW173" s="11">
        <v>123234.409</v>
      </c>
      <c r="BX173" s="11">
        <v>115619.684</v>
      </c>
      <c r="BY173" s="11">
        <v>107032.77</v>
      </c>
      <c r="BZ173" s="11">
        <v>110731.92743</v>
      </c>
      <c r="CA173" s="11"/>
      <c r="CB173" s="11" t="s">
        <v>354</v>
      </c>
      <c r="CC173" s="11">
        <v>979926.675</v>
      </c>
      <c r="CD173" s="11">
        <v>1376748.308</v>
      </c>
      <c r="CE173" s="11">
        <v>1612973.52</v>
      </c>
      <c r="CF173" s="11"/>
      <c r="CG173" s="11" t="s">
        <v>857</v>
      </c>
      <c r="CH173" s="11">
        <v>0.0</v>
      </c>
      <c r="CI173" s="11">
        <v>0.0</v>
      </c>
      <c r="CJ173" s="11">
        <v>0.0</v>
      </c>
      <c r="CK173" s="11"/>
      <c r="CL173" s="40" t="s">
        <v>354</v>
      </c>
      <c r="CM173" s="43">
        <v>0.0</v>
      </c>
      <c r="CN173" s="43">
        <v>2392.45625</v>
      </c>
      <c r="CO173" s="40"/>
      <c r="CP173" s="40" t="s">
        <v>397</v>
      </c>
      <c r="CQ173" s="40"/>
      <c r="CR173" s="40"/>
      <c r="CS173" s="40"/>
      <c r="CT173" s="40"/>
      <c r="CU173" s="40"/>
      <c r="CV173" s="11"/>
      <c r="CW173" s="11"/>
      <c r="CX173" s="11"/>
      <c r="CY173" s="11"/>
      <c r="C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 t="s">
        <v>351</v>
      </c>
      <c r="J174" s="11"/>
      <c r="K174" s="11">
        <v>151220.0</v>
      </c>
      <c r="L174" s="11">
        <v>201551.0</v>
      </c>
      <c r="M174" s="11">
        <v>232949.844</v>
      </c>
      <c r="N174" s="11">
        <v>245523.443</v>
      </c>
      <c r="O174" s="11">
        <v>186879.058</v>
      </c>
      <c r="P174" s="11"/>
      <c r="Q174" s="11" t="s">
        <v>391</v>
      </c>
      <c r="R174" s="11"/>
      <c r="S174" s="11"/>
      <c r="T174" s="11">
        <v>-158.46</v>
      </c>
      <c r="U174" s="11">
        <v>-967.83</v>
      </c>
      <c r="V174" s="11">
        <v>-857.055</v>
      </c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 t="s">
        <v>1070</v>
      </c>
      <c r="AZ174" s="11"/>
      <c r="BA174" s="11"/>
      <c r="BB174" s="11">
        <v>4747.75412</v>
      </c>
      <c r="BC174" s="11">
        <v>770.5706999999984</v>
      </c>
      <c r="BD174" s="11"/>
      <c r="BE174" s="11"/>
      <c r="BF174" s="11"/>
      <c r="BG174" s="11"/>
      <c r="BH174" s="11"/>
      <c r="BI174" s="11"/>
      <c r="BJ174" s="11" t="s">
        <v>991</v>
      </c>
      <c r="BK174" s="11">
        <v>710.921</v>
      </c>
      <c r="BL174" s="11">
        <v>954.858</v>
      </c>
      <c r="BM174" s="11">
        <v>1511.089</v>
      </c>
      <c r="BN174" s="11"/>
      <c r="BO174" s="11" t="s">
        <v>982</v>
      </c>
      <c r="BP174" s="53">
        <v>0.0</v>
      </c>
      <c r="BQ174" s="53">
        <v>0.0</v>
      </c>
      <c r="BR174" s="53">
        <v>0.0</v>
      </c>
      <c r="BS174" s="53">
        <v>0.0</v>
      </c>
      <c r="BT174" s="11"/>
      <c r="BU174" s="11"/>
      <c r="BV174" s="11" t="s">
        <v>411</v>
      </c>
      <c r="BW174" s="11">
        <v>123234.409</v>
      </c>
      <c r="BX174" s="11">
        <v>115619.684</v>
      </c>
      <c r="BY174" s="11">
        <v>107032.77</v>
      </c>
      <c r="BZ174" s="11">
        <v>110731.92743</v>
      </c>
      <c r="CA174" s="11"/>
      <c r="CB174" s="11" t="s">
        <v>411</v>
      </c>
      <c r="CC174" s="11">
        <v>979926.675</v>
      </c>
      <c r="CD174" s="11">
        <v>1376748.308</v>
      </c>
      <c r="CE174" s="11">
        <v>1612973.52</v>
      </c>
      <c r="CF174" s="11"/>
      <c r="CG174" s="11" t="s">
        <v>794</v>
      </c>
      <c r="CH174" s="53">
        <v>0.0</v>
      </c>
      <c r="CI174" s="53">
        <v>0.0</v>
      </c>
      <c r="CJ174" s="53">
        <v>0.0</v>
      </c>
      <c r="CK174" s="53"/>
      <c r="CL174" s="40" t="s">
        <v>411</v>
      </c>
      <c r="CM174" s="43">
        <v>0.0</v>
      </c>
      <c r="CN174" s="43">
        <v>2392.45625</v>
      </c>
      <c r="CO174" s="40"/>
      <c r="CP174" s="40" t="s">
        <v>63</v>
      </c>
      <c r="CQ174" s="46" t="s">
        <v>17</v>
      </c>
      <c r="CR174" s="46" t="s">
        <v>18</v>
      </c>
      <c r="CS174" s="46" t="s">
        <v>19</v>
      </c>
      <c r="CT174" s="40" t="s">
        <v>645</v>
      </c>
      <c r="CU174" s="46" t="s">
        <v>21</v>
      </c>
      <c r="CV174" s="53"/>
      <c r="CW174" s="53"/>
      <c r="CX174" s="53"/>
      <c r="CY174" s="53"/>
      <c r="CZ174" s="53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 t="s">
        <v>355</v>
      </c>
      <c r="J175" s="11"/>
      <c r="K175" s="11"/>
      <c r="L175" s="11"/>
      <c r="M175" s="11">
        <v>55877.684</v>
      </c>
      <c r="N175" s="11">
        <v>55517.559</v>
      </c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 t="s">
        <v>857</v>
      </c>
      <c r="AZ175" s="11">
        <v>7204.040394000011</v>
      </c>
      <c r="BA175" s="11">
        <v>7271.07142</v>
      </c>
      <c r="BB175" s="11">
        <v>14107.94335</v>
      </c>
      <c r="BC175" s="11">
        <v>10130.75993</v>
      </c>
      <c r="BD175" s="11"/>
      <c r="BE175" s="11"/>
      <c r="BF175" s="11"/>
      <c r="BG175" s="11"/>
      <c r="BH175" s="11"/>
      <c r="BI175" s="11"/>
      <c r="BJ175" s="11" t="s">
        <v>411</v>
      </c>
      <c r="BK175" s="11">
        <v>710.921</v>
      </c>
      <c r="BL175" s="11">
        <v>954.858</v>
      </c>
      <c r="BM175" s="11">
        <v>1511.089</v>
      </c>
      <c r="BN175" s="11"/>
      <c r="BO175" s="11" t="s">
        <v>982</v>
      </c>
      <c r="BP175" s="11"/>
      <c r="BQ175" s="11"/>
      <c r="BR175" s="11">
        <v>166.44379</v>
      </c>
      <c r="BS175" s="11">
        <v>642.57648</v>
      </c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 t="s">
        <v>978</v>
      </c>
      <c r="CH175" s="11">
        <v>1291.956938999999</v>
      </c>
      <c r="CI175" s="11">
        <v>785.48835</v>
      </c>
      <c r="CJ175" s="11">
        <v>327.40243</v>
      </c>
      <c r="CK175" s="11"/>
      <c r="CL175" s="40"/>
      <c r="CM175" s="40"/>
      <c r="CN175" s="40"/>
      <c r="CO175" s="40"/>
      <c r="CP175" s="40" t="s">
        <v>1071</v>
      </c>
      <c r="CQ175" s="43">
        <v>0.0</v>
      </c>
      <c r="CR175" s="43">
        <v>4084.71754</v>
      </c>
      <c r="CS175" s="43">
        <v>15141.57536</v>
      </c>
      <c r="CT175" s="43">
        <v>11215.59515</v>
      </c>
      <c r="CU175" s="43">
        <v>4862.8207</v>
      </c>
      <c r="CV175" s="11"/>
      <c r="CW175" s="11"/>
      <c r="CX175" s="11"/>
      <c r="CY175" s="11"/>
      <c r="C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 t="s">
        <v>872</v>
      </c>
      <c r="J176" s="53">
        <v>2019.0</v>
      </c>
      <c r="K176" s="53">
        <v>2020.0</v>
      </c>
      <c r="L176" s="53">
        <v>2021.0</v>
      </c>
      <c r="M176" s="53">
        <v>2022.0</v>
      </c>
      <c r="N176" s="53">
        <v>2023.0</v>
      </c>
      <c r="O176" s="53">
        <v>2024.0</v>
      </c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 t="s">
        <v>411</v>
      </c>
      <c r="AZ176" s="11">
        <v>7204.040394000011</v>
      </c>
      <c r="BA176" s="11">
        <v>7271.07142</v>
      </c>
      <c r="BB176" s="11">
        <v>48026.50164</v>
      </c>
      <c r="BC176" s="11">
        <v>44049.31831999999</v>
      </c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 t="s">
        <v>1072</v>
      </c>
      <c r="BP176" s="11">
        <v>175.72847</v>
      </c>
      <c r="BQ176" s="11">
        <v>73.46197</v>
      </c>
      <c r="BR176" s="11"/>
      <c r="BS176" s="11"/>
      <c r="BT176" s="11"/>
      <c r="BU176" s="11"/>
      <c r="BV176" s="11" t="s">
        <v>267</v>
      </c>
      <c r="BW176" s="11"/>
      <c r="BX176" s="11"/>
      <c r="BY176" s="11"/>
      <c r="BZ176" s="11"/>
      <c r="CA176" s="11"/>
      <c r="CB176" s="11" t="s">
        <v>982</v>
      </c>
      <c r="CC176" s="53">
        <v>0.0</v>
      </c>
      <c r="CD176" s="53">
        <v>0.0</v>
      </c>
      <c r="CE176" s="53">
        <v>0.0</v>
      </c>
      <c r="CF176" s="11"/>
      <c r="CG176" s="11" t="s">
        <v>929</v>
      </c>
      <c r="CH176" s="11"/>
      <c r="CI176" s="11"/>
      <c r="CJ176" s="11">
        <v>2000.0</v>
      </c>
      <c r="CK176" s="53"/>
      <c r="CL176" s="40" t="s">
        <v>982</v>
      </c>
      <c r="CM176" s="46" t="s">
        <v>18</v>
      </c>
      <c r="CN176" s="46" t="s">
        <v>19</v>
      </c>
      <c r="CO176" s="40"/>
      <c r="CP176" s="40" t="s">
        <v>1073</v>
      </c>
      <c r="CQ176" s="40"/>
      <c r="CR176" s="43">
        <v>478.44274</v>
      </c>
      <c r="CS176" s="43">
        <v>4963.81956</v>
      </c>
      <c r="CT176" s="43">
        <v>3296.88978</v>
      </c>
      <c r="CU176" s="43">
        <v>1249.94265</v>
      </c>
      <c r="CV176" s="53"/>
      <c r="CW176" s="53"/>
      <c r="CX176" s="53"/>
      <c r="CY176" s="53"/>
      <c r="CZ176" s="53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 t="s">
        <v>872</v>
      </c>
      <c r="J177" s="11"/>
      <c r="K177" s="11">
        <v>121127.0</v>
      </c>
      <c r="L177" s="11">
        <v>71779.0</v>
      </c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 t="s">
        <v>1003</v>
      </c>
      <c r="BK177" s="53">
        <v>0.0</v>
      </c>
      <c r="BL177" s="53">
        <v>0.0</v>
      </c>
      <c r="BM177" s="53">
        <v>0.0</v>
      </c>
      <c r="BN177" s="11"/>
      <c r="BO177" s="11" t="s">
        <v>1074</v>
      </c>
      <c r="BP177" s="11">
        <v>7.77036</v>
      </c>
      <c r="BQ177" s="11"/>
      <c r="BR177" s="11"/>
      <c r="BS177" s="11"/>
      <c r="BT177" s="11"/>
      <c r="BU177" s="11"/>
      <c r="BV177" s="11" t="s">
        <v>397</v>
      </c>
      <c r="BW177" s="11"/>
      <c r="BX177" s="11"/>
      <c r="BY177" s="11"/>
      <c r="BZ177" s="11"/>
      <c r="CA177" s="11"/>
      <c r="CB177" s="11" t="s">
        <v>982</v>
      </c>
      <c r="CC177" s="11">
        <v>238988.187</v>
      </c>
      <c r="CD177" s="11">
        <v>315936.731</v>
      </c>
      <c r="CE177" s="11">
        <v>420878.859</v>
      </c>
      <c r="CF177" s="11"/>
      <c r="CG177" s="11" t="s">
        <v>932</v>
      </c>
      <c r="CH177" s="11"/>
      <c r="CI177" s="11"/>
      <c r="CJ177" s="11">
        <v>1101.91509</v>
      </c>
      <c r="CK177" s="11"/>
      <c r="CL177" s="40" t="s">
        <v>1075</v>
      </c>
      <c r="CM177" s="43">
        <v>0.0</v>
      </c>
      <c r="CN177" s="43">
        <v>1625.35796</v>
      </c>
      <c r="CO177" s="40"/>
      <c r="CP177" s="40" t="s">
        <v>1076</v>
      </c>
      <c r="CQ177" s="40"/>
      <c r="CR177" s="40"/>
      <c r="CS177" s="43">
        <v>218.52233</v>
      </c>
      <c r="CT177" s="43">
        <v>124.80837</v>
      </c>
      <c r="CU177" s="43">
        <v>51.21359</v>
      </c>
      <c r="CV177" s="11"/>
      <c r="CW177" s="11"/>
      <c r="CX177" s="11"/>
      <c r="CY177" s="11"/>
      <c r="C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 t="s">
        <v>876</v>
      </c>
      <c r="J178" s="11">
        <v>0.0</v>
      </c>
      <c r="K178" s="11">
        <v>121127.0</v>
      </c>
      <c r="L178" s="11">
        <v>71779.0</v>
      </c>
      <c r="M178" s="11">
        <v>0.0</v>
      </c>
      <c r="N178" s="11">
        <v>0.0</v>
      </c>
      <c r="O178" s="11">
        <v>0.0</v>
      </c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 t="s">
        <v>802</v>
      </c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 t="s">
        <v>1003</v>
      </c>
      <c r="BK178" s="11">
        <v>7532.837</v>
      </c>
      <c r="BL178" s="11">
        <v>9164.802</v>
      </c>
      <c r="BM178" s="11">
        <v>11029.677</v>
      </c>
      <c r="BN178" s="11"/>
      <c r="BO178" s="11" t="s">
        <v>1077</v>
      </c>
      <c r="BP178" s="11">
        <v>4.57973</v>
      </c>
      <c r="BQ178" s="11"/>
      <c r="BR178" s="11"/>
      <c r="BS178" s="11"/>
      <c r="BT178" s="11"/>
      <c r="BU178" s="11"/>
      <c r="BV178" s="11" t="s">
        <v>284</v>
      </c>
      <c r="BW178" s="53">
        <v>0.0</v>
      </c>
      <c r="BX178" s="53">
        <v>0.0</v>
      </c>
      <c r="BY178" s="53">
        <v>0.0</v>
      </c>
      <c r="BZ178" s="53">
        <v>0.0</v>
      </c>
      <c r="CA178" s="11"/>
      <c r="CB178" s="11" t="s">
        <v>411</v>
      </c>
      <c r="CC178" s="11">
        <v>238988.187</v>
      </c>
      <c r="CD178" s="11">
        <v>315936.731</v>
      </c>
      <c r="CE178" s="11">
        <v>420878.859</v>
      </c>
      <c r="CF178" s="11"/>
      <c r="CG178" s="11" t="s">
        <v>857</v>
      </c>
      <c r="CH178" s="11">
        <v>1291.956938999999</v>
      </c>
      <c r="CI178" s="11">
        <v>785.48835</v>
      </c>
      <c r="CJ178" s="11">
        <v>3429.31752</v>
      </c>
      <c r="CK178" s="11"/>
      <c r="CL178" s="40" t="s">
        <v>411</v>
      </c>
      <c r="CM178" s="43">
        <v>0.0</v>
      </c>
      <c r="CN178" s="43">
        <v>1625.35796</v>
      </c>
      <c r="CO178" s="40"/>
      <c r="CP178" s="40" t="s">
        <v>1078</v>
      </c>
      <c r="CQ178" s="40"/>
      <c r="CR178" s="40"/>
      <c r="CS178" s="43">
        <v>749.19915</v>
      </c>
      <c r="CT178" s="43">
        <v>1719.01388</v>
      </c>
      <c r="CU178" s="43">
        <v>694.76117</v>
      </c>
      <c r="CV178" s="11"/>
      <c r="CW178" s="11"/>
      <c r="CX178" s="11"/>
      <c r="CY178" s="11"/>
      <c r="C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 t="s">
        <v>397</v>
      </c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 t="s">
        <v>1079</v>
      </c>
      <c r="BK179" s="11">
        <v>3349.033</v>
      </c>
      <c r="BL179" s="11">
        <v>3416.529</v>
      </c>
      <c r="BM179" s="11"/>
      <c r="BN179" s="11"/>
      <c r="BO179" s="11" t="s">
        <v>1080</v>
      </c>
      <c r="BP179" s="11">
        <v>7.73523</v>
      </c>
      <c r="BQ179" s="11">
        <v>2.49302</v>
      </c>
      <c r="BR179" s="11"/>
      <c r="BS179" s="11"/>
      <c r="BT179" s="11"/>
      <c r="BU179" s="11"/>
      <c r="BV179" s="11" t="s">
        <v>1081</v>
      </c>
      <c r="BW179" s="11">
        <v>7811.109</v>
      </c>
      <c r="BX179" s="11">
        <v>1360.326</v>
      </c>
      <c r="BY179" s="11">
        <v>13129.518</v>
      </c>
      <c r="BZ179" s="11">
        <v>9239.99534</v>
      </c>
      <c r="CA179" s="11"/>
      <c r="CB179" s="11"/>
      <c r="CC179" s="11"/>
      <c r="CD179" s="11"/>
      <c r="CE179" s="11"/>
      <c r="CF179" s="11"/>
      <c r="CG179" s="11" t="s">
        <v>411</v>
      </c>
      <c r="CH179" s="11">
        <v>1291.956938999999</v>
      </c>
      <c r="CI179" s="11">
        <v>785.48835</v>
      </c>
      <c r="CJ179" s="11">
        <v>3429.31752</v>
      </c>
      <c r="CK179" s="11"/>
      <c r="CL179" s="40"/>
      <c r="CM179" s="40"/>
      <c r="CN179" s="40"/>
      <c r="CO179" s="40"/>
      <c r="CP179" s="40" t="s">
        <v>1082</v>
      </c>
      <c r="CQ179" s="40"/>
      <c r="CR179" s="40"/>
      <c r="CS179" s="43">
        <v>181.28536</v>
      </c>
      <c r="CT179" s="43">
        <v>373.608</v>
      </c>
      <c r="CU179" s="43">
        <v>140.82967</v>
      </c>
      <c r="CV179" s="11"/>
      <c r="CW179" s="11"/>
      <c r="CX179" s="11"/>
      <c r="CY179" s="11"/>
      <c r="C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 t="s">
        <v>772</v>
      </c>
      <c r="J180" s="53">
        <v>2019.0</v>
      </c>
      <c r="K180" s="53">
        <v>2020.0</v>
      </c>
      <c r="L180" s="53">
        <v>2021.0</v>
      </c>
      <c r="M180" s="53">
        <v>2022.0</v>
      </c>
      <c r="N180" s="53">
        <v>2023.0</v>
      </c>
      <c r="O180" s="53">
        <v>2024.0</v>
      </c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 t="s">
        <v>304</v>
      </c>
      <c r="AZ180" s="11">
        <v>44196.0</v>
      </c>
      <c r="BA180" s="53">
        <v>0.0</v>
      </c>
      <c r="BB180" s="11" t="e">
        <v>#REF!</v>
      </c>
      <c r="BC180" s="11" t="e">
        <v>#REF!</v>
      </c>
      <c r="BD180" s="11"/>
      <c r="BE180" s="11"/>
      <c r="BF180" s="11"/>
      <c r="BG180" s="11"/>
      <c r="BH180" s="11"/>
      <c r="BI180" s="11"/>
      <c r="BJ180" s="11" t="s">
        <v>411</v>
      </c>
      <c r="BK180" s="11">
        <v>10881.87</v>
      </c>
      <c r="BL180" s="11">
        <v>12581.331</v>
      </c>
      <c r="BM180" s="11">
        <v>11029.677</v>
      </c>
      <c r="BN180" s="11"/>
      <c r="BO180" s="11" t="s">
        <v>1083</v>
      </c>
      <c r="BP180" s="11">
        <v>18.2472</v>
      </c>
      <c r="BQ180" s="11">
        <v>5.8809</v>
      </c>
      <c r="BR180" s="11"/>
      <c r="BS180" s="11"/>
      <c r="BT180" s="11"/>
      <c r="BU180" s="11"/>
      <c r="BV180" s="11" t="s">
        <v>411</v>
      </c>
      <c r="BW180" s="11">
        <v>7811.109</v>
      </c>
      <c r="BX180" s="11">
        <v>1360.326</v>
      </c>
      <c r="BY180" s="11">
        <v>13129.518</v>
      </c>
      <c r="BZ180" s="11">
        <v>9239.99534</v>
      </c>
      <c r="CA180" s="11"/>
      <c r="CB180" s="11" t="s">
        <v>991</v>
      </c>
      <c r="CC180" s="53">
        <v>0.0</v>
      </c>
      <c r="CD180" s="53">
        <v>0.0</v>
      </c>
      <c r="CE180" s="53">
        <v>0.0</v>
      </c>
      <c r="CF180" s="11"/>
      <c r="CG180" s="11"/>
      <c r="CH180" s="11"/>
      <c r="CI180" s="11"/>
      <c r="CJ180" s="11"/>
      <c r="CK180" s="11"/>
      <c r="CL180" s="40" t="s">
        <v>991</v>
      </c>
      <c r="CM180" s="46" t="s">
        <v>18</v>
      </c>
      <c r="CN180" s="46" t="s">
        <v>19</v>
      </c>
      <c r="CO180" s="40"/>
      <c r="CP180" s="40" t="s">
        <v>1084</v>
      </c>
      <c r="CQ180" s="40"/>
      <c r="CR180" s="40"/>
      <c r="CS180" s="43">
        <v>958.1848</v>
      </c>
      <c r="CT180" s="43">
        <v>2911.56879</v>
      </c>
      <c r="CU180" s="43">
        <v>1363.63843</v>
      </c>
      <c r="CV180" s="11"/>
      <c r="CW180" s="11"/>
      <c r="CX180" s="11"/>
      <c r="CY180" s="11"/>
      <c r="C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 t="s">
        <v>772</v>
      </c>
      <c r="J181" s="11"/>
      <c r="K181" s="11"/>
      <c r="L181" s="11"/>
      <c r="M181" s="11">
        <v>47750.816</v>
      </c>
      <c r="N181" s="11">
        <v>35870.766</v>
      </c>
      <c r="O181" s="11">
        <v>68485.369</v>
      </c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 t="s">
        <v>411</v>
      </c>
      <c r="AZ181" s="11">
        <v>0.0</v>
      </c>
      <c r="BA181" s="11">
        <v>0.0</v>
      </c>
      <c r="BB181" s="11">
        <v>0.0</v>
      </c>
      <c r="BC181" s="11">
        <v>0.0</v>
      </c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 t="s">
        <v>1085</v>
      </c>
      <c r="BP181" s="11">
        <v>5.94193</v>
      </c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 t="s">
        <v>991</v>
      </c>
      <c r="CC181" s="11">
        <v>1869.808</v>
      </c>
      <c r="CD181" s="11">
        <v>6969.464</v>
      </c>
      <c r="CE181" s="11"/>
      <c r="CF181" s="11"/>
      <c r="CG181" s="11" t="s">
        <v>802</v>
      </c>
      <c r="CH181" s="11"/>
      <c r="CI181" s="11"/>
      <c r="CJ181" s="11"/>
      <c r="CK181" s="11"/>
      <c r="CL181" s="40" t="s">
        <v>1086</v>
      </c>
      <c r="CM181" s="40"/>
      <c r="CN181" s="43">
        <v>43.40939</v>
      </c>
      <c r="CO181" s="40"/>
      <c r="CP181" s="40" t="s">
        <v>1087</v>
      </c>
      <c r="CQ181" s="40"/>
      <c r="CR181" s="40"/>
      <c r="CS181" s="40"/>
      <c r="CT181" s="43">
        <v>6349.7775</v>
      </c>
      <c r="CU181" s="40"/>
      <c r="CV181" s="11"/>
      <c r="CW181" s="11"/>
      <c r="CX181" s="11"/>
      <c r="CY181" s="11"/>
      <c r="C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 t="s">
        <v>778</v>
      </c>
      <c r="J182" s="11">
        <v>0.0</v>
      </c>
      <c r="K182" s="11">
        <v>0.0</v>
      </c>
      <c r="L182" s="11">
        <v>0.0</v>
      </c>
      <c r="M182" s="11">
        <v>47750.816</v>
      </c>
      <c r="N182" s="11">
        <v>35870.766</v>
      </c>
      <c r="O182" s="11">
        <v>68485.369</v>
      </c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 t="s">
        <v>1012</v>
      </c>
      <c r="BK182" s="53">
        <v>0.0</v>
      </c>
      <c r="BL182" s="53">
        <v>0.0</v>
      </c>
      <c r="BM182" s="53">
        <v>0.0</v>
      </c>
      <c r="BN182" s="11"/>
      <c r="BO182" s="11" t="s">
        <v>1088</v>
      </c>
      <c r="BP182" s="11">
        <v>14.12922</v>
      </c>
      <c r="BQ182" s="11"/>
      <c r="BR182" s="11"/>
      <c r="BS182" s="11"/>
      <c r="BT182" s="11"/>
      <c r="BU182" s="11"/>
      <c r="BV182" s="11" t="s">
        <v>397</v>
      </c>
      <c r="BW182" s="11"/>
      <c r="BX182" s="11"/>
      <c r="BY182" s="11"/>
      <c r="BZ182" s="11"/>
      <c r="CA182" s="11"/>
      <c r="CB182" s="11" t="s">
        <v>411</v>
      </c>
      <c r="CC182" s="11">
        <v>1869.808</v>
      </c>
      <c r="CD182" s="11">
        <v>6969.464</v>
      </c>
      <c r="CE182" s="11">
        <v>0.0</v>
      </c>
      <c r="CF182" s="11"/>
      <c r="CG182" s="11" t="s">
        <v>397</v>
      </c>
      <c r="CH182" s="11"/>
      <c r="CI182" s="11"/>
      <c r="CJ182" s="11"/>
      <c r="CK182" s="11"/>
      <c r="CL182" s="40" t="s">
        <v>1089</v>
      </c>
      <c r="CM182" s="40"/>
      <c r="CN182" s="43">
        <v>82.63159</v>
      </c>
      <c r="CO182" s="40"/>
      <c r="CP182" s="40" t="s">
        <v>1090</v>
      </c>
      <c r="CQ182" s="40"/>
      <c r="CR182" s="40"/>
      <c r="CS182" s="40"/>
      <c r="CT182" s="43">
        <v>20.5282</v>
      </c>
      <c r="CU182" s="40"/>
      <c r="CV182" s="11"/>
      <c r="CW182" s="11"/>
      <c r="CX182" s="11"/>
      <c r="CY182" s="11"/>
      <c r="C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 t="s">
        <v>331</v>
      </c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 t="s">
        <v>411</v>
      </c>
      <c r="BK183" s="11">
        <v>0.0</v>
      </c>
      <c r="BL183" s="11">
        <v>0.0</v>
      </c>
      <c r="BM183" s="11">
        <v>0.0</v>
      </c>
      <c r="BN183" s="11"/>
      <c r="BO183" s="11" t="s">
        <v>1091</v>
      </c>
      <c r="BP183" s="11">
        <v>12.45678</v>
      </c>
      <c r="BQ183" s="11"/>
      <c r="BR183" s="11"/>
      <c r="BS183" s="11"/>
      <c r="BT183" s="11"/>
      <c r="BU183" s="11"/>
      <c r="BV183" s="11" t="s">
        <v>775</v>
      </c>
      <c r="BW183" s="53">
        <v>0.0</v>
      </c>
      <c r="BX183" s="53">
        <v>0.0</v>
      </c>
      <c r="BY183" s="53">
        <v>0.0</v>
      </c>
      <c r="BZ183" s="53">
        <v>0.0</v>
      </c>
      <c r="CA183" s="11"/>
      <c r="CB183" s="11"/>
      <c r="CC183" s="11"/>
      <c r="CD183" s="11"/>
      <c r="CE183" s="11"/>
      <c r="CF183" s="11"/>
      <c r="CG183" s="11" t="s">
        <v>304</v>
      </c>
      <c r="CH183" s="53">
        <v>0.0</v>
      </c>
      <c r="CI183" s="53">
        <v>0.0</v>
      </c>
      <c r="CJ183" s="11" t="e">
        <v>#REF!</v>
      </c>
      <c r="CK183" s="11"/>
      <c r="CL183" s="40" t="s">
        <v>1092</v>
      </c>
      <c r="CM183" s="40"/>
      <c r="CN183" s="43">
        <v>92.92693</v>
      </c>
      <c r="CO183" s="40"/>
      <c r="CP183" s="40" t="s">
        <v>1046</v>
      </c>
      <c r="CQ183" s="40"/>
      <c r="CR183" s="43">
        <v>-53.69535</v>
      </c>
      <c r="CS183" s="43">
        <v>-126.68963</v>
      </c>
      <c r="CT183" s="43">
        <v>-270.74201</v>
      </c>
      <c r="CU183" s="43">
        <v>-141.11223</v>
      </c>
      <c r="CV183" s="11"/>
      <c r="CW183" s="11"/>
      <c r="CX183" s="11"/>
      <c r="CY183" s="11"/>
      <c r="C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 t="s">
        <v>796</v>
      </c>
      <c r="J184" s="53">
        <v>2019.0</v>
      </c>
      <c r="K184" s="53">
        <v>2020.0</v>
      </c>
      <c r="L184" s="53">
        <v>2021.0</v>
      </c>
      <c r="M184" s="53">
        <v>2022.0</v>
      </c>
      <c r="N184" s="53">
        <v>2023.0</v>
      </c>
      <c r="O184" s="53">
        <v>2024.0</v>
      </c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 t="s">
        <v>397</v>
      </c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 t="s">
        <v>1093</v>
      </c>
      <c r="BP184" s="11">
        <v>5.36199</v>
      </c>
      <c r="BQ184" s="11"/>
      <c r="BR184" s="11"/>
      <c r="BS184" s="11"/>
      <c r="BT184" s="11"/>
      <c r="BU184" s="11"/>
      <c r="BV184" s="11" t="s">
        <v>508</v>
      </c>
      <c r="BW184" s="11"/>
      <c r="BX184" s="11"/>
      <c r="BY184" s="11"/>
      <c r="BZ184" s="11"/>
      <c r="CA184" s="11"/>
      <c r="CB184" s="11" t="s">
        <v>1003</v>
      </c>
      <c r="CC184" s="53">
        <v>0.0</v>
      </c>
      <c r="CD184" s="53">
        <v>0.0</v>
      </c>
      <c r="CE184" s="53">
        <v>0.0</v>
      </c>
      <c r="CF184" s="11"/>
      <c r="CG184" s="11" t="s">
        <v>411</v>
      </c>
      <c r="CH184" s="11">
        <v>0.0</v>
      </c>
      <c r="CI184" s="11">
        <v>0.0</v>
      </c>
      <c r="CJ184" s="11">
        <v>0.0</v>
      </c>
      <c r="CK184" s="11"/>
      <c r="CL184" s="40" t="s">
        <v>411</v>
      </c>
      <c r="CM184" s="43">
        <v>0.0</v>
      </c>
      <c r="CN184" s="43">
        <v>218.96791</v>
      </c>
      <c r="CO184" s="40"/>
      <c r="CP184" s="40" t="s">
        <v>411</v>
      </c>
      <c r="CQ184" s="43">
        <v>0.0</v>
      </c>
      <c r="CR184" s="43">
        <v>4509.46493</v>
      </c>
      <c r="CS184" s="43">
        <v>22085.89693</v>
      </c>
      <c r="CT184" s="43">
        <v>25741.04766</v>
      </c>
      <c r="CU184" s="43">
        <v>8222.09398</v>
      </c>
      <c r="CV184" s="11"/>
      <c r="CW184" s="11"/>
      <c r="CX184" s="11"/>
      <c r="CY184" s="11"/>
      <c r="C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 t="s">
        <v>373</v>
      </c>
      <c r="J185" s="11"/>
      <c r="K185" s="11">
        <v>-9697.0</v>
      </c>
      <c r="L185" s="11">
        <v>-7491.0</v>
      </c>
      <c r="M185" s="11">
        <v>11096.432</v>
      </c>
      <c r="N185" s="11">
        <v>-48207.211</v>
      </c>
      <c r="O185" s="11">
        <v>-12947.056</v>
      </c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 t="s">
        <v>715</v>
      </c>
      <c r="AZ185" s="53">
        <v>0.0</v>
      </c>
      <c r="BA185" s="53">
        <v>0.0</v>
      </c>
      <c r="BB185" s="53">
        <v>0.0</v>
      </c>
      <c r="BC185" s="53">
        <v>0.0</v>
      </c>
      <c r="BD185" s="11"/>
      <c r="BE185" s="11"/>
      <c r="BF185" s="11"/>
      <c r="BG185" s="11"/>
      <c r="BH185" s="11"/>
      <c r="BI185" s="11"/>
      <c r="BJ185" s="11" t="s">
        <v>1022</v>
      </c>
      <c r="BK185" s="53">
        <v>0.0</v>
      </c>
      <c r="BL185" s="53">
        <v>0.0</v>
      </c>
      <c r="BM185" s="53">
        <v>0.0</v>
      </c>
      <c r="BN185" s="11"/>
      <c r="BO185" s="11" t="s">
        <v>1094</v>
      </c>
      <c r="BP185" s="11">
        <v>1.96602</v>
      </c>
      <c r="BQ185" s="11"/>
      <c r="BR185" s="11"/>
      <c r="BS185" s="11"/>
      <c r="BT185" s="11"/>
      <c r="BU185" s="11"/>
      <c r="BV185" s="11" t="s">
        <v>514</v>
      </c>
      <c r="BW185" s="11"/>
      <c r="BX185" s="11"/>
      <c r="BY185" s="11"/>
      <c r="BZ185" s="11"/>
      <c r="CA185" s="11"/>
      <c r="CB185" s="11" t="s">
        <v>1003</v>
      </c>
      <c r="CC185" s="11">
        <v>1385.32</v>
      </c>
      <c r="CD185" s="11">
        <v>1661.278</v>
      </c>
      <c r="CE185" s="11"/>
      <c r="CF185" s="11"/>
      <c r="CG185" s="11"/>
      <c r="CH185" s="11"/>
      <c r="CI185" s="11"/>
      <c r="CJ185" s="11"/>
      <c r="CK185" s="11"/>
      <c r="CL185" s="40"/>
      <c r="CM185" s="40"/>
      <c r="CN185" s="40"/>
      <c r="CO185" s="40"/>
      <c r="CP185" s="40"/>
      <c r="CQ185" s="40"/>
      <c r="CR185" s="40"/>
      <c r="CS185" s="40"/>
      <c r="CT185" s="40"/>
      <c r="CU185" s="40"/>
      <c r="CV185" s="11"/>
      <c r="CW185" s="11"/>
      <c r="CX185" s="11"/>
      <c r="CY185" s="11"/>
      <c r="C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 t="s">
        <v>370</v>
      </c>
      <c r="J186" s="11"/>
      <c r="K186" s="11"/>
      <c r="L186" s="11"/>
      <c r="M186" s="11"/>
      <c r="N186" s="11"/>
      <c r="O186" s="11">
        <v>41642.513</v>
      </c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 t="s">
        <v>332</v>
      </c>
      <c r="AZ186" s="11">
        <v>8048.0</v>
      </c>
      <c r="BA186" s="11">
        <v>15000.0</v>
      </c>
      <c r="BB186" s="11">
        <v>15000.0</v>
      </c>
      <c r="BC186" s="11">
        <v>15000.0</v>
      </c>
      <c r="BD186" s="11"/>
      <c r="BE186" s="11"/>
      <c r="BF186" s="11"/>
      <c r="BG186" s="11"/>
      <c r="BH186" s="11"/>
      <c r="BI186" s="11"/>
      <c r="BJ186" s="11" t="s">
        <v>1095</v>
      </c>
      <c r="BK186" s="11">
        <v>19861.166</v>
      </c>
      <c r="BL186" s="11">
        <v>24906.765</v>
      </c>
      <c r="BM186" s="11">
        <v>23598.503</v>
      </c>
      <c r="BN186" s="11"/>
      <c r="BO186" s="11" t="s">
        <v>411</v>
      </c>
      <c r="BP186" s="11">
        <v>253.91693</v>
      </c>
      <c r="BQ186" s="11">
        <v>81.83588999999999</v>
      </c>
      <c r="BR186" s="11">
        <v>166.44379</v>
      </c>
      <c r="BS186" s="11">
        <v>642.57648</v>
      </c>
      <c r="BT186" s="11"/>
      <c r="BU186" s="11"/>
      <c r="BV186" s="11" t="s">
        <v>521</v>
      </c>
      <c r="BW186" s="11"/>
      <c r="BX186" s="11"/>
      <c r="BY186" s="11"/>
      <c r="BZ186" s="11"/>
      <c r="CA186" s="11"/>
      <c r="CB186" s="11" t="s">
        <v>411</v>
      </c>
      <c r="CC186" s="11">
        <v>1385.32</v>
      </c>
      <c r="CD186" s="11">
        <v>1661.278</v>
      </c>
      <c r="CE186" s="11">
        <v>0.0</v>
      </c>
      <c r="CF186" s="11"/>
      <c r="CG186" s="11" t="s">
        <v>331</v>
      </c>
      <c r="CH186" s="11"/>
      <c r="CI186" s="11"/>
      <c r="CJ186" s="11"/>
      <c r="CK186" s="11"/>
      <c r="CL186" s="40" t="s">
        <v>1003</v>
      </c>
      <c r="CM186" s="46" t="s">
        <v>18</v>
      </c>
      <c r="CN186" s="46" t="s">
        <v>19</v>
      </c>
      <c r="CO186" s="40"/>
      <c r="CP186" s="40" t="s">
        <v>397</v>
      </c>
      <c r="CQ186" s="40"/>
      <c r="CR186" s="40"/>
      <c r="CS186" s="40"/>
      <c r="CT186" s="40"/>
      <c r="CU186" s="40"/>
      <c r="CV186" s="11"/>
      <c r="CW186" s="11"/>
      <c r="CX186" s="11"/>
      <c r="CY186" s="11"/>
      <c r="C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 t="s">
        <v>378</v>
      </c>
      <c r="J187" s="11"/>
      <c r="K187" s="11">
        <v>-28859.0</v>
      </c>
      <c r="L187" s="11">
        <v>-22736.0</v>
      </c>
      <c r="M187" s="11">
        <v>-23429.493</v>
      </c>
      <c r="N187" s="11">
        <v>-24862.069</v>
      </c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 t="s">
        <v>333</v>
      </c>
      <c r="AZ187" s="11">
        <v>4000.0</v>
      </c>
      <c r="BA187" s="11"/>
      <c r="BB187" s="11"/>
      <c r="BC187" s="11"/>
      <c r="BD187" s="11"/>
      <c r="BE187" s="11"/>
      <c r="BF187" s="11"/>
      <c r="BG187" s="11"/>
      <c r="BH187" s="11"/>
      <c r="BI187" s="11"/>
      <c r="BJ187" s="11" t="s">
        <v>1096</v>
      </c>
      <c r="BK187" s="11">
        <v>303.619</v>
      </c>
      <c r="BL187" s="11">
        <v>1351.651</v>
      </c>
      <c r="BM187" s="11">
        <v>2152.698</v>
      </c>
      <c r="BN187" s="11"/>
      <c r="BO187" s="11"/>
      <c r="BP187" s="11"/>
      <c r="BQ187" s="11"/>
      <c r="BR187" s="11"/>
      <c r="BS187" s="11"/>
      <c r="BT187" s="11"/>
      <c r="BU187" s="11"/>
      <c r="BV187" s="11" t="s">
        <v>525</v>
      </c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 t="s">
        <v>397</v>
      </c>
      <c r="CH187" s="11"/>
      <c r="CI187" s="11"/>
      <c r="CJ187" s="11"/>
      <c r="CK187" s="11"/>
      <c r="CL187" s="40" t="s">
        <v>242</v>
      </c>
      <c r="CM187" s="40"/>
      <c r="CN187" s="40"/>
      <c r="CO187" s="40"/>
      <c r="CP187" s="40" t="s">
        <v>354</v>
      </c>
      <c r="CQ187" s="46" t="s">
        <v>17</v>
      </c>
      <c r="CR187" s="46" t="s">
        <v>18</v>
      </c>
      <c r="CS187" s="46" t="s">
        <v>19</v>
      </c>
      <c r="CT187" s="40" t="s">
        <v>645</v>
      </c>
      <c r="CU187" s="46" t="s">
        <v>21</v>
      </c>
      <c r="CV187" s="11"/>
      <c r="CW187" s="11"/>
      <c r="CX187" s="11"/>
      <c r="CY187" s="11"/>
      <c r="C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 t="s">
        <v>917</v>
      </c>
      <c r="J188" s="53">
        <v>2019.0</v>
      </c>
      <c r="K188" s="53">
        <v>2020.0</v>
      </c>
      <c r="L188" s="53">
        <v>2021.0</v>
      </c>
      <c r="M188" s="53">
        <v>2022.0</v>
      </c>
      <c r="N188" s="53">
        <v>2023.0</v>
      </c>
      <c r="O188" s="53">
        <v>2024.0</v>
      </c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 t="s">
        <v>334</v>
      </c>
      <c r="AZ188" s="11">
        <v>271.946</v>
      </c>
      <c r="BA188" s="11">
        <v>271.946</v>
      </c>
      <c r="BB188" s="11">
        <v>490.97832</v>
      </c>
      <c r="BC188" s="11">
        <v>490.97832</v>
      </c>
      <c r="BD188" s="11"/>
      <c r="BE188" s="11"/>
      <c r="BF188" s="11"/>
      <c r="BG188" s="11"/>
      <c r="BH188" s="11"/>
      <c r="BI188" s="11"/>
      <c r="BJ188" s="11" t="s">
        <v>1097</v>
      </c>
      <c r="BK188" s="11">
        <v>1017.558</v>
      </c>
      <c r="BL188" s="11">
        <v>591.551</v>
      </c>
      <c r="BM188" s="11">
        <v>932.587</v>
      </c>
      <c r="BN188" s="11"/>
      <c r="BO188" s="11" t="s">
        <v>991</v>
      </c>
      <c r="BP188" s="53">
        <v>0.0</v>
      </c>
      <c r="BQ188" s="53">
        <v>0.0</v>
      </c>
      <c r="BR188" s="53">
        <v>0.0</v>
      </c>
      <c r="BS188" s="53">
        <v>0.0</v>
      </c>
      <c r="BT188" s="11"/>
      <c r="BU188" s="11"/>
      <c r="BV188" s="11" t="s">
        <v>527</v>
      </c>
      <c r="BW188" s="11"/>
      <c r="BX188" s="11"/>
      <c r="BY188" s="11"/>
      <c r="BZ188" s="11"/>
      <c r="CA188" s="11"/>
      <c r="CB188" s="11" t="s">
        <v>1012</v>
      </c>
      <c r="CC188" s="53">
        <v>0.0</v>
      </c>
      <c r="CD188" s="53">
        <v>0.0</v>
      </c>
      <c r="CE188" s="53">
        <v>0.0</v>
      </c>
      <c r="CF188" s="11"/>
      <c r="CG188" s="11" t="s">
        <v>715</v>
      </c>
      <c r="CH188" s="53">
        <v>0.0</v>
      </c>
      <c r="CI188" s="53">
        <v>0.0</v>
      </c>
      <c r="CJ188" s="53">
        <v>0.0</v>
      </c>
      <c r="CK188" s="11"/>
      <c r="CL188" s="40" t="s">
        <v>1098</v>
      </c>
      <c r="CM188" s="40"/>
      <c r="CN188" s="43">
        <v>4.0311</v>
      </c>
      <c r="CO188" s="40"/>
      <c r="CP188" s="40" t="s">
        <v>354</v>
      </c>
      <c r="CQ188" s="43">
        <v>0.0</v>
      </c>
      <c r="CR188" s="43">
        <v>2392.45625</v>
      </c>
      <c r="CS188" s="43">
        <v>10604.47322</v>
      </c>
      <c r="CT188" s="43">
        <v>11055.696728</v>
      </c>
      <c r="CU188" s="43">
        <v>4026.44984</v>
      </c>
      <c r="CV188" s="11"/>
      <c r="CW188" s="11"/>
      <c r="CX188" s="11"/>
      <c r="CY188" s="11"/>
      <c r="C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 t="s">
        <v>379</v>
      </c>
      <c r="J189" s="11"/>
      <c r="K189" s="11">
        <v>7128.0</v>
      </c>
      <c r="L189" s="11">
        <v>5077.0</v>
      </c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 t="s">
        <v>330</v>
      </c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 t="s">
        <v>411</v>
      </c>
      <c r="BK189" s="11">
        <v>21182.343</v>
      </c>
      <c r="BL189" s="11">
        <v>26849.967</v>
      </c>
      <c r="BM189" s="11">
        <v>26683.788</v>
      </c>
      <c r="BN189" s="11"/>
      <c r="BO189" s="11" t="s">
        <v>1072</v>
      </c>
      <c r="BP189" s="11">
        <v>61.57353</v>
      </c>
      <c r="BQ189" s="11">
        <v>37.75506</v>
      </c>
      <c r="BR189" s="11"/>
      <c r="BS189" s="11"/>
      <c r="BT189" s="11"/>
      <c r="BU189" s="11"/>
      <c r="BV189" s="11" t="s">
        <v>530</v>
      </c>
      <c r="BW189" s="11"/>
      <c r="BX189" s="11"/>
      <c r="BY189" s="11"/>
      <c r="BZ189" s="11"/>
      <c r="CA189" s="11"/>
      <c r="CB189" s="11" t="s">
        <v>411</v>
      </c>
      <c r="CC189" s="11">
        <v>0.0</v>
      </c>
      <c r="CD189" s="11">
        <v>0.0</v>
      </c>
      <c r="CE189" s="11">
        <v>0.0</v>
      </c>
      <c r="CF189" s="11"/>
      <c r="CG189" s="11" t="s">
        <v>332</v>
      </c>
      <c r="CH189" s="11">
        <v>3105.0</v>
      </c>
      <c r="CI189" s="11">
        <v>3105.0</v>
      </c>
      <c r="CJ189" s="11">
        <v>3105.0</v>
      </c>
      <c r="CK189" s="11"/>
      <c r="CL189" s="40" t="s">
        <v>732</v>
      </c>
      <c r="CM189" s="40"/>
      <c r="CN189" s="40"/>
      <c r="CO189" s="40"/>
      <c r="CP189" s="40" t="s">
        <v>411</v>
      </c>
      <c r="CQ189" s="43">
        <v>0.0</v>
      </c>
      <c r="CR189" s="43">
        <v>2392.45625</v>
      </c>
      <c r="CS189" s="43">
        <v>10604.47322</v>
      </c>
      <c r="CT189" s="43">
        <v>11055.696728</v>
      </c>
      <c r="CU189" s="43">
        <v>4026.44984</v>
      </c>
      <c r="CV189" s="11"/>
      <c r="CW189" s="11"/>
      <c r="CX189" s="11"/>
      <c r="CY189" s="11"/>
      <c r="C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 t="s">
        <v>390</v>
      </c>
      <c r="J190" s="11"/>
      <c r="K190" s="11"/>
      <c r="L190" s="11"/>
      <c r="M190" s="11"/>
      <c r="N190" s="11">
        <v>-3998.758</v>
      </c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 t="s">
        <v>834</v>
      </c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 t="s">
        <v>1099</v>
      </c>
      <c r="BP190" s="11">
        <v>157.60664</v>
      </c>
      <c r="BQ190" s="11">
        <v>80.04924</v>
      </c>
      <c r="BR190" s="11"/>
      <c r="BS190" s="11"/>
      <c r="BT190" s="11"/>
      <c r="BU190" s="11"/>
      <c r="BV190" s="11" t="s">
        <v>411</v>
      </c>
      <c r="BW190" s="11">
        <v>0.0</v>
      </c>
      <c r="BX190" s="11">
        <v>0.0</v>
      </c>
      <c r="BY190" s="11">
        <v>0.0</v>
      </c>
      <c r="BZ190" s="11">
        <v>0.0</v>
      </c>
      <c r="CA190" s="11"/>
      <c r="CB190" s="11"/>
      <c r="CC190" s="11"/>
      <c r="CD190" s="11"/>
      <c r="CE190" s="11"/>
      <c r="CF190" s="11"/>
      <c r="CG190" s="11" t="s">
        <v>333</v>
      </c>
      <c r="CH190" s="11">
        <v>2.8535</v>
      </c>
      <c r="CI190" s="11">
        <v>2.8535</v>
      </c>
      <c r="CJ190" s="11">
        <v>2.8535</v>
      </c>
      <c r="CK190" s="53"/>
      <c r="CL190" s="40" t="s">
        <v>760</v>
      </c>
      <c r="CM190" s="40"/>
      <c r="CN190" s="40"/>
      <c r="CO190" s="40"/>
      <c r="CP190" s="40"/>
      <c r="CQ190" s="40"/>
      <c r="CR190" s="40"/>
      <c r="CS190" s="40"/>
      <c r="CT190" s="40"/>
      <c r="CU190" s="40"/>
      <c r="CV190" s="53"/>
      <c r="CW190" s="53"/>
      <c r="CX190" s="53"/>
      <c r="CY190" s="53"/>
      <c r="CZ190" s="53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 t="s">
        <v>391</v>
      </c>
      <c r="J191" s="11"/>
      <c r="K191" s="11"/>
      <c r="L191" s="11"/>
      <c r="M191" s="11">
        <v>4056.259</v>
      </c>
      <c r="N191" s="11">
        <v>1422.562</v>
      </c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 t="s">
        <v>918</v>
      </c>
      <c r="AZ191" s="11">
        <v>9451.712</v>
      </c>
      <c r="BA191" s="11">
        <v>6838.92046</v>
      </c>
      <c r="BB191" s="11">
        <v>10000.53461</v>
      </c>
      <c r="BC191" s="11">
        <v>12066.14381</v>
      </c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 t="s">
        <v>1100</v>
      </c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 t="s">
        <v>1022</v>
      </c>
      <c r="CC191" s="53">
        <v>0.0</v>
      </c>
      <c r="CD191" s="53">
        <v>0.0</v>
      </c>
      <c r="CE191" s="53">
        <v>0.0</v>
      </c>
      <c r="CF191" s="11"/>
      <c r="CG191" s="11" t="s">
        <v>334</v>
      </c>
      <c r="CH191" s="11">
        <v>796.52592</v>
      </c>
      <c r="CI191" s="11">
        <v>1083.26575</v>
      </c>
      <c r="CJ191" s="11">
        <v>1291.86943</v>
      </c>
      <c r="CK191" s="11"/>
      <c r="CL191" s="40" t="s">
        <v>765</v>
      </c>
      <c r="CM191" s="40"/>
      <c r="CN191" s="40"/>
      <c r="CO191" s="40"/>
      <c r="CP191" s="40" t="s">
        <v>982</v>
      </c>
      <c r="CQ191" s="46" t="s">
        <v>17</v>
      </c>
      <c r="CR191" s="46" t="s">
        <v>18</v>
      </c>
      <c r="CS191" s="46" t="s">
        <v>19</v>
      </c>
      <c r="CT191" s="40" t="s">
        <v>645</v>
      </c>
      <c r="CU191" s="46" t="s">
        <v>21</v>
      </c>
      <c r="CV191" s="11"/>
      <c r="CW191" s="11"/>
      <c r="CX191" s="11"/>
      <c r="CY191" s="11"/>
      <c r="C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 t="s">
        <v>981</v>
      </c>
      <c r="J192" s="53">
        <v>2019.0</v>
      </c>
      <c r="K192" s="53">
        <v>2020.0</v>
      </c>
      <c r="L192" s="53">
        <v>2021.0</v>
      </c>
      <c r="M192" s="53">
        <v>2022.0</v>
      </c>
      <c r="N192" s="53">
        <v>2023.0</v>
      </c>
      <c r="O192" s="53">
        <v>2024.0</v>
      </c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 t="s">
        <v>728</v>
      </c>
      <c r="AZ192" s="11">
        <v>339.209</v>
      </c>
      <c r="BA192" s="11">
        <v>4380.64647</v>
      </c>
      <c r="BB192" s="11">
        <v>4565.6092</v>
      </c>
      <c r="BC192" s="11">
        <v>2065.92903</v>
      </c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 t="s">
        <v>1101</v>
      </c>
      <c r="BP192" s="11">
        <v>2.6906</v>
      </c>
      <c r="BQ192" s="11">
        <v>1.36657</v>
      </c>
      <c r="BR192" s="11"/>
      <c r="BS192" s="11"/>
      <c r="BT192" s="11"/>
      <c r="BU192" s="11"/>
      <c r="BV192" s="11" t="s">
        <v>397</v>
      </c>
      <c r="BW192" s="11"/>
      <c r="BX192" s="11"/>
      <c r="BY192" s="11"/>
      <c r="BZ192" s="11"/>
      <c r="CA192" s="11"/>
      <c r="CB192" s="11" t="s">
        <v>1102</v>
      </c>
      <c r="CC192" s="11">
        <v>-11532.984</v>
      </c>
      <c r="CD192" s="11">
        <v>-11309.56</v>
      </c>
      <c r="CE192" s="11">
        <v>5028.472</v>
      </c>
      <c r="CF192" s="11"/>
      <c r="CG192" s="11" t="s">
        <v>330</v>
      </c>
      <c r="CH192" s="11"/>
      <c r="CI192" s="11"/>
      <c r="CJ192" s="11"/>
      <c r="CK192" s="11"/>
      <c r="CL192" s="40" t="s">
        <v>1003</v>
      </c>
      <c r="CM192" s="40"/>
      <c r="CN192" s="40"/>
      <c r="CO192" s="40"/>
      <c r="CP192" s="40" t="s">
        <v>1075</v>
      </c>
      <c r="CQ192" s="43">
        <v>0.0</v>
      </c>
      <c r="CR192" s="43">
        <v>1625.35796</v>
      </c>
      <c r="CS192" s="43">
        <v>9304.2975</v>
      </c>
      <c r="CT192" s="43">
        <v>11109.6464</v>
      </c>
      <c r="CU192" s="43">
        <v>3656.22518</v>
      </c>
      <c r="CV192" s="11"/>
      <c r="CW192" s="11"/>
      <c r="CX192" s="11"/>
      <c r="CY192" s="11"/>
      <c r="C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 t="s">
        <v>392</v>
      </c>
      <c r="J193" s="11"/>
      <c r="K193" s="11"/>
      <c r="L193" s="11"/>
      <c r="M193" s="11">
        <v>-690.114</v>
      </c>
      <c r="N193" s="11">
        <v>814.917</v>
      </c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 t="s">
        <v>411</v>
      </c>
      <c r="AZ193" s="11">
        <v>22110.867</v>
      </c>
      <c r="BA193" s="11">
        <v>26491.51293</v>
      </c>
      <c r="BB193" s="11">
        <v>30057.12213</v>
      </c>
      <c r="BC193" s="11">
        <v>29623.05116</v>
      </c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 t="s">
        <v>1103</v>
      </c>
      <c r="BP193" s="11">
        <v>2.393066</v>
      </c>
      <c r="BQ193" s="11"/>
      <c r="BR193" s="11"/>
      <c r="BS193" s="11"/>
      <c r="BT193" s="11"/>
      <c r="BU193" s="11"/>
      <c r="BV193" s="11" t="s">
        <v>281</v>
      </c>
      <c r="BW193" s="53">
        <v>0.0</v>
      </c>
      <c r="BX193" s="53">
        <v>0.0</v>
      </c>
      <c r="BY193" s="53">
        <v>0.0</v>
      </c>
      <c r="BZ193" s="53">
        <v>0.0</v>
      </c>
      <c r="CA193" s="11"/>
      <c r="CB193" s="11" t="s">
        <v>1095</v>
      </c>
      <c r="CC193" s="11">
        <v>-654.088</v>
      </c>
      <c r="CD193" s="11">
        <v>-654.088</v>
      </c>
      <c r="CE193" s="11">
        <v>22305.002</v>
      </c>
      <c r="CF193" s="11"/>
      <c r="CG193" s="11" t="s">
        <v>834</v>
      </c>
      <c r="CH193" s="11"/>
      <c r="CI193" s="11"/>
      <c r="CJ193" s="11"/>
      <c r="CK193" s="11"/>
      <c r="CL193" s="40" t="s">
        <v>411</v>
      </c>
      <c r="CM193" s="43">
        <v>0.0</v>
      </c>
      <c r="CN193" s="43">
        <v>4.0311</v>
      </c>
      <c r="CO193" s="40"/>
      <c r="CP193" s="40" t="s">
        <v>411</v>
      </c>
      <c r="CQ193" s="43">
        <v>0.0</v>
      </c>
      <c r="CR193" s="43">
        <v>1625.35796</v>
      </c>
      <c r="CS193" s="43">
        <v>9028.395900000001</v>
      </c>
      <c r="CT193" s="43">
        <v>11090.43261</v>
      </c>
      <c r="CU193" s="43">
        <v>3605.52301</v>
      </c>
      <c r="CV193" s="11"/>
      <c r="CW193" s="11"/>
      <c r="CX193" s="11"/>
      <c r="CY193" s="11"/>
      <c r="C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 t="s">
        <v>338</v>
      </c>
      <c r="J194" s="11"/>
      <c r="K194" s="11"/>
      <c r="L194" s="11"/>
      <c r="M194" s="11">
        <v>0.0</v>
      </c>
      <c r="N194" s="11">
        <v>38442.628</v>
      </c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 t="s">
        <v>1080</v>
      </c>
      <c r="BP194" s="11">
        <v>6.18178</v>
      </c>
      <c r="BQ194" s="11"/>
      <c r="BR194" s="11"/>
      <c r="BS194" s="11"/>
      <c r="BT194" s="11"/>
      <c r="BU194" s="11"/>
      <c r="BV194" s="11" t="s">
        <v>1104</v>
      </c>
      <c r="BW194" s="11">
        <v>19572.215</v>
      </c>
      <c r="BX194" s="11">
        <v>17416.296</v>
      </c>
      <c r="BY194" s="11">
        <v>50176.32</v>
      </c>
      <c r="BZ194" s="11">
        <v>77753.17008</v>
      </c>
      <c r="CA194" s="11"/>
      <c r="CB194" s="11" t="s">
        <v>1105</v>
      </c>
      <c r="CC194" s="11">
        <v>-37.49</v>
      </c>
      <c r="CD194" s="11">
        <v>-52.934</v>
      </c>
      <c r="CE194" s="11">
        <v>-6770.971</v>
      </c>
      <c r="CF194" s="11"/>
      <c r="CG194" s="11" t="s">
        <v>918</v>
      </c>
      <c r="CH194" s="11">
        <v>6011.88501</v>
      </c>
      <c r="CI194" s="11">
        <v>7688.11014</v>
      </c>
      <c r="CJ194" s="11">
        <v>9982.02881</v>
      </c>
      <c r="CK194" s="11"/>
      <c r="CL194" s="40"/>
      <c r="CM194" s="40"/>
      <c r="CN194" s="40"/>
      <c r="CO194" s="40"/>
      <c r="CP194" s="40"/>
      <c r="CQ194" s="40"/>
      <c r="CR194" s="40"/>
      <c r="CS194" s="40"/>
      <c r="CT194" s="40"/>
      <c r="CU194" s="40"/>
      <c r="CV194" s="11"/>
      <c r="CW194" s="11"/>
      <c r="CX194" s="11"/>
      <c r="CY194" s="11"/>
      <c r="C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 t="s">
        <v>308</v>
      </c>
      <c r="J195" s="11"/>
      <c r="K195" s="11"/>
      <c r="L195" s="11"/>
      <c r="M195" s="11">
        <v>172.528</v>
      </c>
      <c r="N195" s="11">
        <v>-9986.915</v>
      </c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 t="s">
        <v>394</v>
      </c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 t="s">
        <v>1091</v>
      </c>
      <c r="BP195" s="11">
        <v>2.74309</v>
      </c>
      <c r="BQ195" s="11"/>
      <c r="BR195" s="11"/>
      <c r="BS195" s="11"/>
      <c r="BT195" s="11"/>
      <c r="BU195" s="11"/>
      <c r="BV195" s="11" t="s">
        <v>1106</v>
      </c>
      <c r="BW195" s="11">
        <v>127420.276</v>
      </c>
      <c r="BX195" s="11">
        <v>177634.225</v>
      </c>
      <c r="BY195" s="11">
        <v>228030.744</v>
      </c>
      <c r="BZ195" s="11">
        <v>377161.2788</v>
      </c>
      <c r="CA195" s="11"/>
      <c r="CB195" s="11" t="s">
        <v>411</v>
      </c>
      <c r="CC195" s="11">
        <v>-12224.562</v>
      </c>
      <c r="CD195" s="11">
        <v>-12016.582</v>
      </c>
      <c r="CE195" s="11">
        <v>27333.474</v>
      </c>
      <c r="CF195" s="11"/>
      <c r="CG195" s="11" t="s">
        <v>728</v>
      </c>
      <c r="CH195" s="11">
        <v>1764.49745</v>
      </c>
      <c r="CI195" s="11">
        <v>2293.91867</v>
      </c>
      <c r="CJ195" s="11">
        <v>3472.21997</v>
      </c>
      <c r="CK195" s="11"/>
      <c r="CL195" s="40" t="s">
        <v>397</v>
      </c>
      <c r="CM195" s="40"/>
      <c r="CN195" s="40"/>
      <c r="CO195" s="40"/>
      <c r="CP195" s="40" t="s">
        <v>991</v>
      </c>
      <c r="CQ195" s="46" t="s">
        <v>17</v>
      </c>
      <c r="CR195" s="46" t="s">
        <v>18</v>
      </c>
      <c r="CS195" s="46" t="s">
        <v>19</v>
      </c>
      <c r="CT195" s="40" t="s">
        <v>645</v>
      </c>
      <c r="CU195" s="46" t="s">
        <v>21</v>
      </c>
      <c r="CV195" s="11"/>
      <c r="CW195" s="11"/>
      <c r="CX195" s="11"/>
      <c r="CY195" s="11"/>
      <c r="C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 t="s">
        <v>1038</v>
      </c>
      <c r="J196" s="11">
        <v>0.0</v>
      </c>
      <c r="K196" s="11">
        <v>0.0</v>
      </c>
      <c r="L196" s="11">
        <v>0.0</v>
      </c>
      <c r="M196" s="11">
        <v>-517.586</v>
      </c>
      <c r="N196" s="11">
        <v>29270.63</v>
      </c>
      <c r="O196" s="11">
        <v>0.0</v>
      </c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 t="s">
        <v>397</v>
      </c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 t="s">
        <v>1088</v>
      </c>
      <c r="BP196" s="11">
        <v>1.4434</v>
      </c>
      <c r="BQ196" s="11"/>
      <c r="BR196" s="11"/>
      <c r="BS196" s="11"/>
      <c r="BT196" s="11"/>
      <c r="BU196" s="11"/>
      <c r="BV196" s="11" t="s">
        <v>1107</v>
      </c>
      <c r="BW196" s="11">
        <v>3497.62</v>
      </c>
      <c r="BX196" s="11">
        <v>3436.691</v>
      </c>
      <c r="BY196" s="11">
        <v>3470.72</v>
      </c>
      <c r="BZ196" s="11">
        <v>2888.06433</v>
      </c>
      <c r="CA196" s="11"/>
      <c r="CB196" s="11"/>
      <c r="CC196" s="11"/>
      <c r="CD196" s="11"/>
      <c r="CE196" s="11"/>
      <c r="CF196" s="11"/>
      <c r="CG196" s="11" t="s">
        <v>411</v>
      </c>
      <c r="CH196" s="11">
        <v>11680.76188</v>
      </c>
      <c r="CI196" s="11">
        <v>14173.14806</v>
      </c>
      <c r="CJ196" s="11">
        <v>17853.97171</v>
      </c>
      <c r="CK196" s="11"/>
      <c r="CL196" s="40" t="s">
        <v>1108</v>
      </c>
      <c r="CM196" s="46" t="s">
        <v>18</v>
      </c>
      <c r="CN196" s="46" t="s">
        <v>19</v>
      </c>
      <c r="CO196" s="40"/>
      <c r="CP196" s="40" t="s">
        <v>1086</v>
      </c>
      <c r="CQ196" s="40"/>
      <c r="CR196" s="43">
        <v>43.40939</v>
      </c>
      <c r="CS196" s="43">
        <v>132.30093</v>
      </c>
      <c r="CT196" s="40"/>
      <c r="CU196" s="40"/>
      <c r="CV196" s="11"/>
      <c r="CW196" s="11"/>
      <c r="CX196" s="11"/>
      <c r="CY196" s="11"/>
      <c r="C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 t="s">
        <v>347</v>
      </c>
      <c r="AZ197" s="53">
        <v>0.0</v>
      </c>
      <c r="BA197" s="53">
        <v>0.0</v>
      </c>
      <c r="BB197" s="53">
        <v>0.0</v>
      </c>
      <c r="BC197" s="53">
        <v>0.0</v>
      </c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 t="s">
        <v>991</v>
      </c>
      <c r="BP197" s="11"/>
      <c r="BQ197" s="11"/>
      <c r="BR197" s="11">
        <v>588.63772</v>
      </c>
      <c r="BS197" s="11">
        <v>1669.40436</v>
      </c>
      <c r="BT197" s="11"/>
      <c r="BU197" s="11"/>
      <c r="BV197" s="11" t="s">
        <v>1109</v>
      </c>
      <c r="BW197" s="11">
        <v>1009.413</v>
      </c>
      <c r="BX197" s="11">
        <v>0.449</v>
      </c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40" t="s">
        <v>1110</v>
      </c>
      <c r="CM197" s="40"/>
      <c r="CN197" s="43">
        <v>0.36264</v>
      </c>
      <c r="CO197" s="40"/>
      <c r="CP197" s="40" t="s">
        <v>1089</v>
      </c>
      <c r="CQ197" s="40"/>
      <c r="CR197" s="43">
        <v>82.63159</v>
      </c>
      <c r="CS197" s="43">
        <v>90.45398</v>
      </c>
      <c r="CT197" s="40"/>
      <c r="CU197" s="40"/>
      <c r="CV197" s="11"/>
      <c r="CW197" s="11"/>
      <c r="CX197" s="11"/>
      <c r="CY197" s="11"/>
      <c r="C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 t="s">
        <v>347</v>
      </c>
      <c r="AZ198" s="11">
        <v>62218.091</v>
      </c>
      <c r="BA198" s="11">
        <v>78485.19463</v>
      </c>
      <c r="BB198" s="11">
        <v>87117.63414</v>
      </c>
      <c r="BC198" s="11">
        <v>44163.71813</v>
      </c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 t="s">
        <v>411</v>
      </c>
      <c r="BP198" s="11">
        <v>234.632106</v>
      </c>
      <c r="BQ198" s="11">
        <v>119.17087</v>
      </c>
      <c r="BR198" s="11">
        <v>588.63772</v>
      </c>
      <c r="BS198" s="11">
        <v>1669.40436</v>
      </c>
      <c r="BT198" s="11"/>
      <c r="BU198" s="11"/>
      <c r="BV198" s="11" t="s">
        <v>411</v>
      </c>
      <c r="BW198" s="11">
        <v>151499.524</v>
      </c>
      <c r="BX198" s="11">
        <v>198487.661</v>
      </c>
      <c r="BY198" s="11">
        <v>281677.784</v>
      </c>
      <c r="BZ198" s="11">
        <v>457802.5132100001</v>
      </c>
      <c r="CA198" s="11"/>
      <c r="CB198" s="11"/>
      <c r="CC198" s="11"/>
      <c r="CD198" s="11"/>
      <c r="CE198" s="11"/>
      <c r="CF198" s="11"/>
      <c r="CG198" s="11" t="s">
        <v>394</v>
      </c>
      <c r="CH198" s="11"/>
      <c r="CI198" s="11"/>
      <c r="CJ198" s="11"/>
      <c r="CK198" s="11"/>
      <c r="CL198" s="40" t="s">
        <v>411</v>
      </c>
      <c r="CM198" s="43">
        <v>0.0</v>
      </c>
      <c r="CN198" s="43">
        <v>0.36264</v>
      </c>
      <c r="CO198" s="40"/>
      <c r="CP198" s="40" t="s">
        <v>1111</v>
      </c>
      <c r="CQ198" s="40"/>
      <c r="CR198" s="43">
        <v>92.92693</v>
      </c>
      <c r="CS198" s="40"/>
      <c r="CT198" s="40"/>
      <c r="CU198" s="40"/>
      <c r="CV198" s="11"/>
      <c r="CW198" s="11"/>
      <c r="CX198" s="11"/>
      <c r="CY198" s="11"/>
      <c r="C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 t="s">
        <v>411</v>
      </c>
      <c r="AZ199" s="11">
        <v>62218.091</v>
      </c>
      <c r="BA199" s="11">
        <v>78485.19463</v>
      </c>
      <c r="BB199" s="11">
        <v>87117.63414</v>
      </c>
      <c r="BC199" s="11">
        <v>44163.71813</v>
      </c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 t="s">
        <v>397</v>
      </c>
      <c r="CH199" s="11"/>
      <c r="CI199" s="11"/>
      <c r="CJ199" s="11"/>
      <c r="CK199" s="11"/>
      <c r="CL199" s="40"/>
      <c r="CM199" s="40"/>
      <c r="CN199" s="40"/>
      <c r="CO199" s="40"/>
      <c r="CP199" s="40" t="s">
        <v>411</v>
      </c>
      <c r="CQ199" s="43">
        <v>0.0</v>
      </c>
      <c r="CR199" s="43">
        <v>218.96791</v>
      </c>
      <c r="CS199" s="43">
        <v>222.75491</v>
      </c>
      <c r="CT199" s="43">
        <v>0.0</v>
      </c>
      <c r="CU199" s="43">
        <v>0.0</v>
      </c>
      <c r="CV199" s="11"/>
      <c r="CW199" s="11"/>
      <c r="CX199" s="11"/>
      <c r="CY199" s="11"/>
      <c r="C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 t="s">
        <v>1003</v>
      </c>
      <c r="BP200" s="53">
        <v>0.0</v>
      </c>
      <c r="BQ200" s="53">
        <v>0.0</v>
      </c>
      <c r="BR200" s="53">
        <v>0.0</v>
      </c>
      <c r="BS200" s="53">
        <v>0.0</v>
      </c>
      <c r="BT200" s="11"/>
      <c r="BU200" s="11"/>
      <c r="BV200" s="11" t="s">
        <v>271</v>
      </c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 t="s">
        <v>347</v>
      </c>
      <c r="CH200" s="53">
        <v>0.0</v>
      </c>
      <c r="CI200" s="53">
        <v>0.0</v>
      </c>
      <c r="CJ200" s="53">
        <v>0.0</v>
      </c>
      <c r="CK200" s="11"/>
      <c r="CL200" s="40"/>
      <c r="CM200" s="40"/>
      <c r="CN200" s="40"/>
      <c r="CO200" s="40"/>
      <c r="CP200" s="40"/>
      <c r="CQ200" s="40"/>
      <c r="CR200" s="40"/>
      <c r="CS200" s="40"/>
      <c r="CT200" s="40"/>
      <c r="CU200" s="40"/>
      <c r="CV200" s="11"/>
      <c r="CW200" s="11"/>
      <c r="CX200" s="11"/>
      <c r="CY200" s="11"/>
      <c r="C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 t="s">
        <v>397</v>
      </c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 t="s">
        <v>242</v>
      </c>
      <c r="BP201" s="11">
        <v>84.61101</v>
      </c>
      <c r="BQ201" s="11">
        <v>113.41951</v>
      </c>
      <c r="BR201" s="11"/>
      <c r="BS201" s="11"/>
      <c r="BT201" s="11"/>
      <c r="BU201" s="11"/>
      <c r="BV201" s="11" t="s">
        <v>397</v>
      </c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 t="s">
        <v>347</v>
      </c>
      <c r="CH201" s="11">
        <v>14339.22943</v>
      </c>
      <c r="CI201" s="11">
        <v>17636.98428</v>
      </c>
      <c r="CJ201" s="11">
        <v>21946.74631</v>
      </c>
      <c r="CK201" s="11"/>
      <c r="CL201" s="40"/>
      <c r="CM201" s="40"/>
      <c r="CN201" s="40"/>
      <c r="CO201" s="40"/>
      <c r="CP201" s="40" t="s">
        <v>1003</v>
      </c>
      <c r="CQ201" s="46" t="s">
        <v>17</v>
      </c>
      <c r="CR201" s="46" t="s">
        <v>18</v>
      </c>
      <c r="CS201" s="46" t="s">
        <v>19</v>
      </c>
      <c r="CT201" s="40" t="s">
        <v>645</v>
      </c>
      <c r="CU201" s="46" t="s">
        <v>21</v>
      </c>
      <c r="CV201" s="11"/>
      <c r="CW201" s="11"/>
      <c r="CX201" s="11"/>
      <c r="CY201" s="11"/>
      <c r="C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 t="s">
        <v>354</v>
      </c>
      <c r="AZ202" s="53">
        <v>0.0</v>
      </c>
      <c r="BA202" s="53">
        <v>0.0</v>
      </c>
      <c r="BB202" s="53">
        <v>0.0</v>
      </c>
      <c r="BC202" s="53">
        <v>0.0</v>
      </c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 t="s">
        <v>1098</v>
      </c>
      <c r="BP202" s="11">
        <v>22.05799</v>
      </c>
      <c r="BQ202" s="11">
        <v>55.06513</v>
      </c>
      <c r="BR202" s="11"/>
      <c r="BS202" s="11"/>
      <c r="BT202" s="11"/>
      <c r="BU202" s="11"/>
      <c r="BV202" s="11" t="s">
        <v>307</v>
      </c>
      <c r="BW202" s="53">
        <v>0.0</v>
      </c>
      <c r="BX202" s="53">
        <v>0.0</v>
      </c>
      <c r="BY202" s="53">
        <v>0.0</v>
      </c>
      <c r="BZ202" s="53">
        <v>0.0</v>
      </c>
      <c r="CA202" s="11"/>
      <c r="CB202" s="11"/>
      <c r="CC202" s="11"/>
      <c r="CD202" s="11"/>
      <c r="CE202" s="11"/>
      <c r="CF202" s="11"/>
      <c r="CG202" s="11" t="s">
        <v>1112</v>
      </c>
      <c r="CH202" s="11">
        <v>1431.54368</v>
      </c>
      <c r="CI202" s="11">
        <v>2251.12384</v>
      </c>
      <c r="CJ202" s="11">
        <v>779.4553</v>
      </c>
      <c r="CK202" s="11"/>
      <c r="CL202" s="40"/>
      <c r="CM202" s="40"/>
      <c r="CN202" s="40"/>
      <c r="CO202" s="40"/>
      <c r="CP202" s="40" t="s">
        <v>242</v>
      </c>
      <c r="CQ202" s="40"/>
      <c r="CR202" s="40"/>
      <c r="CS202" s="43">
        <v>2.14104</v>
      </c>
      <c r="CT202" s="43">
        <v>1.96262</v>
      </c>
      <c r="CU202" s="43">
        <v>0.89211</v>
      </c>
      <c r="CV202" s="11"/>
      <c r="CW202" s="11"/>
      <c r="CX202" s="11"/>
      <c r="CY202" s="11"/>
      <c r="C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 t="s">
        <v>354</v>
      </c>
      <c r="AZ203" s="11">
        <v>47754.505</v>
      </c>
      <c r="BA203" s="11">
        <v>55644.14653</v>
      </c>
      <c r="BB203" s="11">
        <v>64267.2701</v>
      </c>
      <c r="BC203" s="11">
        <v>32287.09343</v>
      </c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 t="s">
        <v>732</v>
      </c>
      <c r="BP203" s="11">
        <v>2.25528</v>
      </c>
      <c r="BQ203" s="11">
        <v>0.37575</v>
      </c>
      <c r="BR203" s="11"/>
      <c r="BS203" s="11"/>
      <c r="BT203" s="11"/>
      <c r="BU203" s="11"/>
      <c r="BV203" s="11" t="s">
        <v>1113</v>
      </c>
      <c r="BW203" s="11">
        <v>11510.253</v>
      </c>
      <c r="BX203" s="11">
        <v>12204.806</v>
      </c>
      <c r="BY203" s="11">
        <v>10047.765</v>
      </c>
      <c r="BZ203" s="11">
        <v>235.17879</v>
      </c>
      <c r="CA203" s="11"/>
      <c r="CB203" s="11"/>
      <c r="CC203" s="11"/>
      <c r="CD203" s="11"/>
      <c r="CE203" s="11"/>
      <c r="CF203" s="11"/>
      <c r="CG203" s="11" t="s">
        <v>1114</v>
      </c>
      <c r="CH203" s="11">
        <v>22.88391</v>
      </c>
      <c r="CI203" s="11">
        <v>277.1198</v>
      </c>
      <c r="CJ203" s="11">
        <v>1427.34012</v>
      </c>
      <c r="CK203" s="11"/>
      <c r="CL203" s="40"/>
      <c r="CM203" s="40"/>
      <c r="CN203" s="40"/>
      <c r="CO203" s="40"/>
      <c r="CP203" s="40" t="s">
        <v>1098</v>
      </c>
      <c r="CQ203" s="40"/>
      <c r="CR203" s="43">
        <v>4.0311</v>
      </c>
      <c r="CS203" s="43">
        <v>26.46596</v>
      </c>
      <c r="CT203" s="43">
        <v>16.16194</v>
      </c>
      <c r="CU203" s="43">
        <v>25.96077</v>
      </c>
      <c r="CV203" s="11"/>
      <c r="CW203" s="11"/>
      <c r="CX203" s="11"/>
      <c r="CY203" s="11"/>
      <c r="C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 t="s">
        <v>411</v>
      </c>
      <c r="AZ204" s="11">
        <v>47754.505</v>
      </c>
      <c r="BA204" s="11">
        <v>55644.14653</v>
      </c>
      <c r="BB204" s="11">
        <v>64267.2701</v>
      </c>
      <c r="BC204" s="11">
        <v>32287.09343</v>
      </c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 t="s">
        <v>760</v>
      </c>
      <c r="BP204" s="11">
        <v>10.50228</v>
      </c>
      <c r="BQ204" s="11">
        <v>11.90406</v>
      </c>
      <c r="BR204" s="11"/>
      <c r="BS204" s="11"/>
      <c r="BT204" s="11"/>
      <c r="BU204" s="11"/>
      <c r="BV204" s="11" t="s">
        <v>1115</v>
      </c>
      <c r="BW204" s="11">
        <v>3006.053</v>
      </c>
      <c r="BX204" s="11">
        <v>2906.054</v>
      </c>
      <c r="BY204" s="11"/>
      <c r="BZ204" s="11"/>
      <c r="CA204" s="11"/>
      <c r="CB204" s="11"/>
      <c r="CC204" s="11"/>
      <c r="CD204" s="11"/>
      <c r="CE204" s="11"/>
      <c r="CF204" s="11"/>
      <c r="CG204" s="11" t="s">
        <v>411</v>
      </c>
      <c r="CH204" s="11">
        <v>15793.65702</v>
      </c>
      <c r="CI204" s="11">
        <v>20165.22792</v>
      </c>
      <c r="CJ204" s="11">
        <v>24153.54173</v>
      </c>
      <c r="CK204" s="11"/>
      <c r="CL204" s="40"/>
      <c r="CM204" s="40"/>
      <c r="CN204" s="40"/>
      <c r="CO204" s="40"/>
      <c r="CP204" s="40" t="s">
        <v>743</v>
      </c>
      <c r="CQ204" s="40"/>
      <c r="CR204" s="40"/>
      <c r="CS204" s="43">
        <v>1.44042</v>
      </c>
      <c r="CT204" s="40"/>
      <c r="CU204" s="40"/>
      <c r="CV204" s="11"/>
      <c r="CW204" s="11"/>
      <c r="CX204" s="11"/>
      <c r="CY204" s="11"/>
      <c r="C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 t="s">
        <v>765</v>
      </c>
      <c r="BP205" s="11">
        <v>18.68254</v>
      </c>
      <c r="BQ205" s="11">
        <v>13.6122</v>
      </c>
      <c r="BR205" s="11"/>
      <c r="BS205" s="11"/>
      <c r="BT205" s="11"/>
      <c r="BU205" s="11"/>
      <c r="BV205" s="11" t="s">
        <v>1116</v>
      </c>
      <c r="BW205" s="11">
        <v>3321.356</v>
      </c>
      <c r="BX205" s="11">
        <v>2221.356</v>
      </c>
      <c r="BY205" s="11">
        <v>2160.356</v>
      </c>
      <c r="BZ205" s="11">
        <v>2160.35643</v>
      </c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40"/>
      <c r="CM205" s="40"/>
      <c r="CN205" s="40"/>
      <c r="CO205" s="40"/>
      <c r="CP205" s="40" t="s">
        <v>760</v>
      </c>
      <c r="CQ205" s="40"/>
      <c r="CR205" s="40"/>
      <c r="CS205" s="43">
        <v>23.09927</v>
      </c>
      <c r="CT205" s="43">
        <v>1.08923</v>
      </c>
      <c r="CU205" s="43">
        <v>23.84929</v>
      </c>
      <c r="CV205" s="11"/>
      <c r="CW205" s="11"/>
      <c r="CX205" s="11"/>
      <c r="CY205" s="11"/>
      <c r="C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 t="s">
        <v>982</v>
      </c>
      <c r="AZ206" s="53">
        <v>0.0</v>
      </c>
      <c r="BA206" s="53">
        <v>0.0</v>
      </c>
      <c r="BB206" s="53">
        <v>0.0</v>
      </c>
      <c r="BC206" s="53">
        <v>0.0</v>
      </c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 t="s">
        <v>1003</v>
      </c>
      <c r="BP206" s="11"/>
      <c r="BQ206" s="11"/>
      <c r="BR206" s="11">
        <v>364.04457</v>
      </c>
      <c r="BS206" s="11">
        <v>205.01908</v>
      </c>
      <c r="BT206" s="11"/>
      <c r="BU206" s="11"/>
      <c r="BV206" s="11" t="s">
        <v>1117</v>
      </c>
      <c r="BW206" s="11">
        <v>1059.0</v>
      </c>
      <c r="BX206" s="11">
        <v>1009.0</v>
      </c>
      <c r="BY206" s="11">
        <v>1003.5</v>
      </c>
      <c r="BZ206" s="11">
        <v>1003.5</v>
      </c>
      <c r="CA206" s="11"/>
      <c r="CB206" s="11"/>
      <c r="CC206" s="11"/>
      <c r="CD206" s="11"/>
      <c r="CE206" s="11"/>
      <c r="CF206" s="11"/>
      <c r="CG206" s="11" t="s">
        <v>354</v>
      </c>
      <c r="CH206" s="53">
        <v>0.0</v>
      </c>
      <c r="CI206" s="53">
        <v>0.0</v>
      </c>
      <c r="CJ206" s="53">
        <v>0.0</v>
      </c>
      <c r="CK206" s="11"/>
      <c r="CL206" s="40"/>
      <c r="CM206" s="40"/>
      <c r="CN206" s="40"/>
      <c r="CO206" s="40"/>
      <c r="CP206" s="40" t="s">
        <v>765</v>
      </c>
      <c r="CQ206" s="40"/>
      <c r="CR206" s="40"/>
      <c r="CS206" s="40"/>
      <c r="CT206" s="40"/>
      <c r="CU206" s="40"/>
      <c r="CV206" s="11"/>
      <c r="CW206" s="11"/>
      <c r="CX206" s="11"/>
      <c r="CY206" s="11"/>
      <c r="C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 t="s">
        <v>1118</v>
      </c>
      <c r="AZ207" s="11">
        <v>8953.837</v>
      </c>
      <c r="BA207" s="11">
        <v>12355.00963</v>
      </c>
      <c r="BB207" s="11">
        <v>11595.02364</v>
      </c>
      <c r="BC207" s="11">
        <v>7274.92404</v>
      </c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 t="s">
        <v>411</v>
      </c>
      <c r="BP207" s="11">
        <v>138.1091</v>
      </c>
      <c r="BQ207" s="11">
        <v>194.37665</v>
      </c>
      <c r="BR207" s="11">
        <v>364.04457</v>
      </c>
      <c r="BS207" s="11">
        <v>205.01908</v>
      </c>
      <c r="BT207" s="11"/>
      <c r="BU207" s="11"/>
      <c r="BV207" s="11" t="s">
        <v>1119</v>
      </c>
      <c r="BW207" s="11">
        <v>827.548</v>
      </c>
      <c r="BX207" s="11">
        <v>761.548</v>
      </c>
      <c r="BY207" s="11"/>
      <c r="BZ207" s="11"/>
      <c r="CA207" s="11"/>
      <c r="CB207" s="11"/>
      <c r="CC207" s="11"/>
      <c r="CD207" s="11"/>
      <c r="CE207" s="11"/>
      <c r="CF207" s="11"/>
      <c r="CG207" s="11" t="s">
        <v>354</v>
      </c>
      <c r="CH207" s="11">
        <v>10710.19139</v>
      </c>
      <c r="CI207" s="11">
        <v>13076.1972</v>
      </c>
      <c r="CJ207" s="11">
        <v>15680.54376</v>
      </c>
      <c r="CK207" s="11"/>
      <c r="CL207" s="40"/>
      <c r="CM207" s="40"/>
      <c r="CN207" s="40"/>
      <c r="CO207" s="40"/>
      <c r="CP207" s="40" t="s">
        <v>1003</v>
      </c>
      <c r="CQ207" s="40"/>
      <c r="CR207" s="40"/>
      <c r="CS207" s="40"/>
      <c r="CT207" s="40"/>
      <c r="CU207" s="40"/>
      <c r="CV207" s="11"/>
      <c r="CW207" s="11"/>
      <c r="CX207" s="11"/>
      <c r="CY207" s="11"/>
      <c r="C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 t="s">
        <v>411</v>
      </c>
      <c r="AZ208" s="11">
        <v>8953.837</v>
      </c>
      <c r="BA208" s="11">
        <v>12355.00963</v>
      </c>
      <c r="BB208" s="11">
        <v>11595.02364</v>
      </c>
      <c r="BC208" s="11">
        <v>7274.92404</v>
      </c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 t="s">
        <v>1120</v>
      </c>
      <c r="BW208" s="11">
        <v>767.0</v>
      </c>
      <c r="BX208" s="11">
        <v>667.0</v>
      </c>
      <c r="BY208" s="11"/>
      <c r="BZ208" s="11"/>
      <c r="CA208" s="11"/>
      <c r="CB208" s="11"/>
      <c r="CC208" s="11"/>
      <c r="CD208" s="11"/>
      <c r="CE208" s="11"/>
      <c r="CF208" s="11"/>
      <c r="CG208" s="11" t="s">
        <v>411</v>
      </c>
      <c r="CH208" s="11">
        <v>10710.19139</v>
      </c>
      <c r="CI208" s="11">
        <v>13076.1972</v>
      </c>
      <c r="CJ208" s="11">
        <v>15680.54376</v>
      </c>
      <c r="CK208" s="11"/>
      <c r="CL208" s="40"/>
      <c r="CM208" s="40"/>
      <c r="CN208" s="40"/>
      <c r="CO208" s="40"/>
      <c r="CP208" s="40" t="s">
        <v>411</v>
      </c>
      <c r="CQ208" s="43">
        <v>0.0</v>
      </c>
      <c r="CR208" s="43">
        <v>4.0311</v>
      </c>
      <c r="CS208" s="43">
        <v>53.14669</v>
      </c>
      <c r="CT208" s="43">
        <v>19.21379</v>
      </c>
      <c r="CU208" s="43">
        <v>50.70217</v>
      </c>
      <c r="CV208" s="11"/>
      <c r="CW208" s="11"/>
      <c r="CX208" s="11"/>
      <c r="CY208" s="11"/>
      <c r="C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 t="s">
        <v>1012</v>
      </c>
      <c r="BP209" s="53">
        <v>0.0</v>
      </c>
      <c r="BQ209" s="53">
        <v>0.0</v>
      </c>
      <c r="BR209" s="53">
        <v>0.0</v>
      </c>
      <c r="BS209" s="53">
        <v>0.0</v>
      </c>
      <c r="BT209" s="11"/>
      <c r="BU209" s="11"/>
      <c r="BV209" s="11" t="s">
        <v>1121</v>
      </c>
      <c r="BW209" s="11">
        <v>653.0</v>
      </c>
      <c r="BX209" s="11">
        <v>653.0</v>
      </c>
      <c r="BY209" s="11">
        <v>653.0</v>
      </c>
      <c r="BZ209" s="11">
        <v>650.0081</v>
      </c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40"/>
      <c r="CM209" s="40"/>
      <c r="CN209" s="40"/>
      <c r="CO209" s="40"/>
      <c r="CP209" s="40"/>
      <c r="CQ209" s="40"/>
      <c r="CR209" s="40"/>
      <c r="CS209" s="40"/>
      <c r="CT209" s="40"/>
      <c r="CU209" s="40"/>
      <c r="CV209" s="11"/>
      <c r="CW209" s="11"/>
      <c r="CX209" s="11"/>
      <c r="CY209" s="11"/>
      <c r="C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 t="s">
        <v>991</v>
      </c>
      <c r="AZ210" s="53">
        <v>0.0</v>
      </c>
      <c r="BA210" s="53">
        <v>0.0</v>
      </c>
      <c r="BB210" s="53">
        <v>0.0</v>
      </c>
      <c r="BC210" s="53">
        <v>0.0</v>
      </c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 t="s">
        <v>1122</v>
      </c>
      <c r="BP210" s="11">
        <v>98.03928</v>
      </c>
      <c r="BQ210" s="11">
        <v>98.03928</v>
      </c>
      <c r="BR210" s="11">
        <v>98.03928</v>
      </c>
      <c r="BS210" s="11">
        <v>25.36134</v>
      </c>
      <c r="BT210" s="11"/>
      <c r="BU210" s="11"/>
      <c r="BV210" s="11" t="s">
        <v>1123</v>
      </c>
      <c r="BW210" s="11"/>
      <c r="BX210" s="11"/>
      <c r="BY210" s="11"/>
      <c r="BZ210" s="11">
        <v>417.3706</v>
      </c>
      <c r="CA210" s="11"/>
      <c r="CB210" s="11"/>
      <c r="CC210" s="11"/>
      <c r="CD210" s="11"/>
      <c r="CE210" s="11"/>
      <c r="CF210" s="11"/>
      <c r="CG210" s="11" t="s">
        <v>982</v>
      </c>
      <c r="CH210" s="53">
        <v>0.0</v>
      </c>
      <c r="CI210" s="53">
        <v>0.0</v>
      </c>
      <c r="CJ210" s="53">
        <v>0.0</v>
      </c>
      <c r="CK210" s="11"/>
      <c r="CL210" s="40"/>
      <c r="CM210" s="40"/>
      <c r="CN210" s="40"/>
      <c r="CO210" s="40"/>
      <c r="CP210" s="40" t="s">
        <v>397</v>
      </c>
      <c r="CQ210" s="40"/>
      <c r="CR210" s="40"/>
      <c r="CS210" s="40"/>
      <c r="CT210" s="40"/>
      <c r="CU210" s="40"/>
      <c r="CV210" s="11"/>
      <c r="CW210" s="11"/>
      <c r="CX210" s="11"/>
      <c r="CY210" s="11"/>
      <c r="C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 t="s">
        <v>1124</v>
      </c>
      <c r="AZ211" s="11"/>
      <c r="BA211" s="11">
        <v>2745.6346</v>
      </c>
      <c r="BB211" s="11">
        <v>3022.57135</v>
      </c>
      <c r="BC211" s="11">
        <v>1504.6245</v>
      </c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 t="s">
        <v>776</v>
      </c>
      <c r="BP211" s="11">
        <v>87.10332</v>
      </c>
      <c r="BQ211" s="11">
        <v>87.10632</v>
      </c>
      <c r="BR211" s="11">
        <v>87.10632</v>
      </c>
      <c r="BS211" s="11">
        <v>51.78266</v>
      </c>
      <c r="BT211" s="11"/>
      <c r="BU211" s="11"/>
      <c r="BV211" s="11" t="s">
        <v>1125</v>
      </c>
      <c r="BW211" s="11">
        <v>24989.483</v>
      </c>
      <c r="BX211" s="11">
        <v>0.0</v>
      </c>
      <c r="BY211" s="11">
        <v>0.512699999380857</v>
      </c>
      <c r="BZ211" s="11"/>
      <c r="CA211" s="11"/>
      <c r="CB211" s="11"/>
      <c r="CC211" s="11"/>
      <c r="CD211" s="11"/>
      <c r="CE211" s="11"/>
      <c r="CF211" s="11"/>
      <c r="CG211" s="11" t="s">
        <v>1126</v>
      </c>
      <c r="CH211" s="11">
        <v>2730.86537</v>
      </c>
      <c r="CI211" s="11">
        <v>3812.00406</v>
      </c>
      <c r="CJ211" s="11">
        <v>3565.2331</v>
      </c>
      <c r="CK211" s="11"/>
      <c r="CL211" s="40"/>
      <c r="CM211" s="40"/>
      <c r="CN211" s="40"/>
      <c r="CO211" s="40"/>
      <c r="CP211" s="40" t="s">
        <v>366</v>
      </c>
      <c r="CQ211" s="46" t="s">
        <v>18</v>
      </c>
      <c r="CR211" s="46" t="s">
        <v>19</v>
      </c>
      <c r="CS211" s="46" t="s">
        <v>19</v>
      </c>
      <c r="CT211" s="40" t="s">
        <v>645</v>
      </c>
      <c r="CU211" s="46" t="s">
        <v>21</v>
      </c>
      <c r="CV211" s="11"/>
      <c r="CW211" s="11"/>
      <c r="CX211" s="11"/>
      <c r="CY211" s="11"/>
      <c r="C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 t="s">
        <v>411</v>
      </c>
      <c r="AZ212" s="11">
        <v>0.0</v>
      </c>
      <c r="BA212" s="11">
        <v>2745.6346</v>
      </c>
      <c r="BB212" s="11">
        <v>3022.57135</v>
      </c>
      <c r="BC212" s="11">
        <v>1504.6245</v>
      </c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 t="s">
        <v>411</v>
      </c>
      <c r="BP212" s="11">
        <v>185.1426</v>
      </c>
      <c r="BQ212" s="11">
        <v>185.1456</v>
      </c>
      <c r="BR212" s="11">
        <v>185.1456</v>
      </c>
      <c r="BS212" s="11">
        <v>77.144</v>
      </c>
      <c r="BT212" s="11"/>
      <c r="BU212" s="11"/>
      <c r="BV212" s="11" t="s">
        <v>411</v>
      </c>
      <c r="BW212" s="11">
        <v>46133.693</v>
      </c>
      <c r="BX212" s="11">
        <v>20422.764</v>
      </c>
      <c r="BY212" s="11">
        <v>13865.13369999938</v>
      </c>
      <c r="BZ212" s="11">
        <v>4466.41392</v>
      </c>
      <c r="CA212" s="11"/>
      <c r="CB212" s="11"/>
      <c r="CC212" s="11"/>
      <c r="CD212" s="11"/>
      <c r="CE212" s="11"/>
      <c r="CF212" s="11"/>
      <c r="CG212" s="11" t="s">
        <v>411</v>
      </c>
      <c r="CH212" s="11">
        <v>2730.86537</v>
      </c>
      <c r="CI212" s="11">
        <v>3812.00406</v>
      </c>
      <c r="CJ212" s="11">
        <v>3565.2331</v>
      </c>
      <c r="CK212" s="11"/>
      <c r="CL212" s="40"/>
      <c r="CM212" s="40"/>
      <c r="CN212" s="40"/>
      <c r="CO212" s="40"/>
      <c r="CP212" s="40" t="s">
        <v>1127</v>
      </c>
      <c r="CQ212" s="40"/>
      <c r="CR212" s="43">
        <v>0.36264</v>
      </c>
      <c r="CS212" s="43">
        <v>0.4603</v>
      </c>
      <c r="CT212" s="43">
        <v>787.67722</v>
      </c>
      <c r="CU212" s="43">
        <v>186.48426</v>
      </c>
      <c r="CV212" s="11"/>
      <c r="CW212" s="11"/>
      <c r="CX212" s="11"/>
      <c r="CY212" s="11"/>
      <c r="C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40"/>
      <c r="CM213" s="40"/>
      <c r="CN213" s="40"/>
      <c r="CO213" s="40"/>
      <c r="CP213" s="40" t="s">
        <v>411</v>
      </c>
      <c r="CQ213" s="43">
        <v>0.0</v>
      </c>
      <c r="CR213" s="43">
        <v>0.36264</v>
      </c>
      <c r="CS213" s="43">
        <v>0.4603</v>
      </c>
      <c r="CT213" s="43">
        <v>787.67722</v>
      </c>
      <c r="CU213" s="43">
        <v>186.48426</v>
      </c>
      <c r="CV213" s="11"/>
      <c r="CW213" s="11"/>
      <c r="CX213" s="11"/>
      <c r="CY213" s="11"/>
      <c r="C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 t="s">
        <v>1003</v>
      </c>
      <c r="AZ214" s="53">
        <v>0.0</v>
      </c>
      <c r="BA214" s="53">
        <v>0.0</v>
      </c>
      <c r="BB214" s="53">
        <v>0.0</v>
      </c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 t="s">
        <v>384</v>
      </c>
      <c r="BP214" s="53">
        <v>0.0</v>
      </c>
      <c r="BQ214" s="53">
        <v>0.0</v>
      </c>
      <c r="BR214" s="53">
        <v>0.0</v>
      </c>
      <c r="BS214" s="53">
        <v>0.0</v>
      </c>
      <c r="BT214" s="11"/>
      <c r="BU214" s="11"/>
      <c r="BV214" s="11" t="s">
        <v>397</v>
      </c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 t="s">
        <v>991</v>
      </c>
      <c r="CH214" s="53">
        <v>0.0</v>
      </c>
      <c r="CI214" s="53">
        <v>0.0</v>
      </c>
      <c r="CJ214" s="53">
        <v>0.0</v>
      </c>
      <c r="CK214" s="11"/>
      <c r="CL214" s="40"/>
      <c r="CM214" s="40"/>
      <c r="CN214" s="40"/>
      <c r="CO214" s="40"/>
      <c r="CP214" s="40"/>
      <c r="CQ214" s="40"/>
      <c r="CR214" s="40"/>
      <c r="CS214" s="40"/>
      <c r="CT214" s="40"/>
      <c r="CU214" s="40"/>
      <c r="CV214" s="11"/>
      <c r="CW214" s="11"/>
      <c r="CX214" s="11"/>
      <c r="CY214" s="11"/>
      <c r="C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 t="s">
        <v>411</v>
      </c>
      <c r="AZ215" s="11">
        <v>0.0</v>
      </c>
      <c r="BA215" s="11">
        <v>0.0</v>
      </c>
      <c r="BB215" s="11">
        <v>0.0</v>
      </c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 t="s">
        <v>1128</v>
      </c>
      <c r="BP215" s="11">
        <v>-987.52938</v>
      </c>
      <c r="BQ215" s="11">
        <v>-1399.95087</v>
      </c>
      <c r="BR215" s="11">
        <v>-1734.55164</v>
      </c>
      <c r="BS215" s="11">
        <v>-1898.90882</v>
      </c>
      <c r="BT215" s="11"/>
      <c r="BU215" s="11"/>
      <c r="BV215" s="11" t="s">
        <v>835</v>
      </c>
      <c r="BW215" s="53">
        <v>0.0</v>
      </c>
      <c r="BX215" s="53">
        <v>0.0</v>
      </c>
      <c r="BY215" s="53">
        <v>0.0</v>
      </c>
      <c r="BZ215" s="53">
        <v>0.0</v>
      </c>
      <c r="CA215" s="11"/>
      <c r="CB215" s="11"/>
      <c r="CC215" s="11"/>
      <c r="CD215" s="11"/>
      <c r="CE215" s="11"/>
      <c r="CF215" s="11"/>
      <c r="CG215" s="11" t="s">
        <v>411</v>
      </c>
      <c r="CH215" s="11">
        <v>0.0</v>
      </c>
      <c r="CI215" s="11">
        <v>0.0</v>
      </c>
      <c r="CJ215" s="11">
        <v>0.0</v>
      </c>
      <c r="CK215" s="11"/>
      <c r="CL215" s="40"/>
      <c r="CM215" s="40"/>
      <c r="CN215" s="40"/>
      <c r="CO215" s="40"/>
      <c r="CP215" s="40"/>
      <c r="CQ215" s="40"/>
      <c r="CR215" s="40"/>
      <c r="CS215" s="40"/>
      <c r="CT215" s="40"/>
      <c r="CU215" s="40"/>
      <c r="CV215" s="11"/>
      <c r="CW215" s="11"/>
      <c r="CX215" s="11"/>
      <c r="CY215" s="11"/>
      <c r="C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 t="s">
        <v>411</v>
      </c>
      <c r="BP216" s="11">
        <v>-987.52938</v>
      </c>
      <c r="BQ216" s="11">
        <v>-1399.95087</v>
      </c>
      <c r="BR216" s="11">
        <v>-1734.55164</v>
      </c>
      <c r="BS216" s="11">
        <v>-1898.90882</v>
      </c>
      <c r="BT216" s="11"/>
      <c r="BU216" s="11"/>
      <c r="BV216" s="11" t="s">
        <v>411</v>
      </c>
      <c r="BW216" s="11">
        <v>0.0</v>
      </c>
      <c r="BX216" s="11">
        <v>0.0</v>
      </c>
      <c r="BY216" s="11">
        <v>0.0</v>
      </c>
      <c r="BZ216" s="11">
        <v>0.0</v>
      </c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40"/>
      <c r="CM216" s="40"/>
      <c r="CN216" s="40"/>
      <c r="CO216" s="40"/>
      <c r="CP216" s="40"/>
      <c r="CQ216" s="40"/>
      <c r="CR216" s="40"/>
      <c r="CS216" s="40"/>
      <c r="CT216" s="40"/>
      <c r="CU216" s="40"/>
      <c r="CV216" s="11"/>
      <c r="CW216" s="11"/>
      <c r="CX216" s="11"/>
      <c r="CY216" s="11"/>
      <c r="C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 t="s">
        <v>1012</v>
      </c>
      <c r="AZ217" s="53">
        <v>0.0</v>
      </c>
      <c r="BA217" s="53">
        <v>0.0</v>
      </c>
      <c r="BB217" s="53">
        <v>0.0</v>
      </c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 t="s">
        <v>1003</v>
      </c>
      <c r="CH217" s="53">
        <v>0.0</v>
      </c>
      <c r="CI217" s="53">
        <v>0.0</v>
      </c>
      <c r="CJ217" s="53">
        <v>0.0</v>
      </c>
      <c r="CK217" s="11"/>
      <c r="CL217" s="40"/>
      <c r="CM217" s="40"/>
      <c r="CN217" s="40"/>
      <c r="CO217" s="40"/>
      <c r="CP217" s="40"/>
      <c r="CQ217" s="40"/>
      <c r="CR217" s="40"/>
      <c r="CS217" s="40"/>
      <c r="CT217" s="40"/>
      <c r="CU217" s="40"/>
      <c r="CV217" s="11"/>
      <c r="CW217" s="11"/>
      <c r="CX217" s="11"/>
      <c r="CY217" s="11"/>
      <c r="C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 t="s">
        <v>411</v>
      </c>
      <c r="AZ218" s="11">
        <v>0.0</v>
      </c>
      <c r="BA218" s="11">
        <v>0.0</v>
      </c>
      <c r="BB218" s="11">
        <v>0.0</v>
      </c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 t="s">
        <v>845</v>
      </c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 t="s">
        <v>411</v>
      </c>
      <c r="CH218" s="11">
        <v>0.0</v>
      </c>
      <c r="CI218" s="11">
        <v>0.0</v>
      </c>
      <c r="CJ218" s="11">
        <v>0.0</v>
      </c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 t="s">
        <v>397</v>
      </c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 t="s">
        <v>1022</v>
      </c>
      <c r="AZ220" s="53">
        <v>0.0</v>
      </c>
      <c r="BA220" s="53">
        <v>0.0</v>
      </c>
      <c r="BB220" s="53">
        <v>0.0</v>
      </c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 t="s">
        <v>852</v>
      </c>
      <c r="BW220" s="53">
        <v>0.0</v>
      </c>
      <c r="BX220" s="53">
        <v>0.0</v>
      </c>
      <c r="BY220" s="53">
        <v>0.0</v>
      </c>
      <c r="BZ220" s="53">
        <v>0.0</v>
      </c>
      <c r="CA220" s="11"/>
      <c r="CB220" s="11"/>
      <c r="CC220" s="11"/>
      <c r="CD220" s="11"/>
      <c r="CE220" s="11"/>
      <c r="CF220" s="11"/>
      <c r="CG220" s="11" t="s">
        <v>1012</v>
      </c>
      <c r="CH220" s="53">
        <v>0.0</v>
      </c>
      <c r="CI220" s="53">
        <v>0.0</v>
      </c>
      <c r="CJ220" s="53">
        <v>0.0</v>
      </c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 t="s">
        <v>1129</v>
      </c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 t="s">
        <v>1130</v>
      </c>
      <c r="BW221" s="11">
        <v>3910.828</v>
      </c>
      <c r="BX221" s="11">
        <v>6818.354</v>
      </c>
      <c r="BY221" s="11">
        <v>9815.746</v>
      </c>
      <c r="BZ221" s="11"/>
      <c r="CA221" s="11"/>
      <c r="CB221" s="11"/>
      <c r="CC221" s="11"/>
      <c r="CD221" s="11"/>
      <c r="CE221" s="11"/>
      <c r="CF221" s="11"/>
      <c r="CG221" s="11" t="s">
        <v>411</v>
      </c>
      <c r="CH221" s="11">
        <v>0.0</v>
      </c>
      <c r="CI221" s="11">
        <v>0.0</v>
      </c>
      <c r="CJ221" s="11">
        <v>0.0</v>
      </c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 t="s">
        <v>1028</v>
      </c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 t="s">
        <v>857</v>
      </c>
      <c r="BW222" s="11">
        <v>3910.828</v>
      </c>
      <c r="BX222" s="11">
        <v>6818.354</v>
      </c>
      <c r="BY222" s="11">
        <v>9815.746</v>
      </c>
      <c r="BZ222" s="11">
        <v>0.0</v>
      </c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 t="s">
        <v>1031</v>
      </c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 t="s">
        <v>794</v>
      </c>
      <c r="BW223" s="53">
        <v>0.0</v>
      </c>
      <c r="BX223" s="53">
        <v>0.0</v>
      </c>
      <c r="BY223" s="53">
        <v>0.0</v>
      </c>
      <c r="BZ223" s="53">
        <v>0.0</v>
      </c>
      <c r="CA223" s="11"/>
      <c r="CB223" s="11"/>
      <c r="CC223" s="11"/>
      <c r="CD223" s="11"/>
      <c r="CE223" s="11"/>
      <c r="CF223" s="11"/>
      <c r="CG223" s="11" t="s">
        <v>1022</v>
      </c>
      <c r="CH223" s="53">
        <v>0.0</v>
      </c>
      <c r="CI223" s="53">
        <v>0.0</v>
      </c>
      <c r="CJ223" s="53">
        <v>0.0</v>
      </c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 t="s">
        <v>411</v>
      </c>
      <c r="AZ224" s="11">
        <v>0.0</v>
      </c>
      <c r="BA224" s="11">
        <v>0.0</v>
      </c>
      <c r="BB224" s="11">
        <v>0.0</v>
      </c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 t="s">
        <v>1131</v>
      </c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 t="s">
        <v>1129</v>
      </c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 t="s">
        <v>1132</v>
      </c>
      <c r="BW225" s="11">
        <v>772134.72</v>
      </c>
      <c r="BX225" s="11">
        <v>812603.651</v>
      </c>
      <c r="BY225" s="11">
        <v>757739.853</v>
      </c>
      <c r="BZ225" s="11">
        <v>586954.60475</v>
      </c>
      <c r="CA225" s="11"/>
      <c r="CB225" s="11"/>
      <c r="CC225" s="11"/>
      <c r="CD225" s="11"/>
      <c r="CE225" s="11"/>
      <c r="CF225" s="11"/>
      <c r="CG225" s="11" t="s">
        <v>1028</v>
      </c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 t="s">
        <v>490</v>
      </c>
      <c r="BW226" s="11">
        <v>127713.24</v>
      </c>
      <c r="BX226" s="11">
        <v>123819.615</v>
      </c>
      <c r="BY226" s="11">
        <v>115167.442</v>
      </c>
      <c r="BZ226" s="11">
        <v>90394.38725</v>
      </c>
      <c r="CA226" s="11"/>
      <c r="CB226" s="11"/>
      <c r="CC226" s="11"/>
      <c r="CD226" s="11"/>
      <c r="CE226" s="11"/>
      <c r="CF226" s="11"/>
      <c r="CG226" s="11" t="s">
        <v>1031</v>
      </c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 t="s">
        <v>432</v>
      </c>
      <c r="BW227" s="11">
        <v>38595.6</v>
      </c>
      <c r="BX227" s="11">
        <v>39261.1</v>
      </c>
      <c r="BY227" s="11">
        <v>39942.848</v>
      </c>
      <c r="BZ227" s="11">
        <v>42383.92102</v>
      </c>
      <c r="CA227" s="11"/>
      <c r="CB227" s="11"/>
      <c r="CC227" s="11"/>
      <c r="CD227" s="11"/>
      <c r="CE227" s="11"/>
      <c r="CF227" s="11"/>
      <c r="CG227" s="11" t="s">
        <v>411</v>
      </c>
      <c r="CH227" s="11">
        <v>0.0</v>
      </c>
      <c r="CI227" s="11">
        <v>0.0</v>
      </c>
      <c r="CJ227" s="11">
        <v>0.0</v>
      </c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 t="s">
        <v>485</v>
      </c>
      <c r="BW228" s="11">
        <v>34736.04</v>
      </c>
      <c r="BX228" s="11">
        <v>35334.99</v>
      </c>
      <c r="BY228" s="11">
        <v>36428.517</v>
      </c>
      <c r="BZ228" s="11">
        <v>53943.75</v>
      </c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 t="s">
        <v>1133</v>
      </c>
      <c r="BW229" s="11">
        <v>73413.763</v>
      </c>
      <c r="BX229" s="11">
        <v>0.0</v>
      </c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 t="s">
        <v>1134</v>
      </c>
      <c r="BW230" s="11"/>
      <c r="BX230" s="11"/>
      <c r="BY230" s="11"/>
      <c r="BZ230" s="11">
        <v>215195.10469</v>
      </c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 t="s">
        <v>1135</v>
      </c>
      <c r="BW231" s="11"/>
      <c r="BX231" s="11"/>
      <c r="BY231" s="11"/>
      <c r="BZ231" s="11">
        <v>111013.93428</v>
      </c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 t="s">
        <v>1136</v>
      </c>
      <c r="BW232" s="11">
        <v>69472.08</v>
      </c>
      <c r="BX232" s="11">
        <v>70669.98</v>
      </c>
      <c r="BY232" s="11">
        <v>70443.18</v>
      </c>
      <c r="BZ232" s="11">
        <v>69356.25</v>
      </c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 t="s">
        <v>1137</v>
      </c>
      <c r="BW233" s="11">
        <v>45779.1</v>
      </c>
      <c r="BX233" s="11">
        <v>43917.777</v>
      </c>
      <c r="BY233" s="11">
        <v>40595.18</v>
      </c>
      <c r="BZ233" s="11">
        <v>36117.98665</v>
      </c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 t="s">
        <v>1138</v>
      </c>
      <c r="BW234" s="11">
        <v>33192.216</v>
      </c>
      <c r="BX234" s="11">
        <v>33764.546</v>
      </c>
      <c r="BY234" s="11">
        <v>33656.186</v>
      </c>
      <c r="BZ234" s="11">
        <v>33136.875</v>
      </c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 t="s">
        <v>1139</v>
      </c>
      <c r="BW235" s="11">
        <v>30644.906</v>
      </c>
      <c r="BX235" s="11">
        <v>28038.707</v>
      </c>
      <c r="BY235" s="11">
        <v>41612.19499999999</v>
      </c>
      <c r="BZ235" s="11">
        <v>5592.888</v>
      </c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 t="s">
        <v>439</v>
      </c>
      <c r="BW236" s="11">
        <v>0.0</v>
      </c>
      <c r="BX236" s="11">
        <v>21200.994</v>
      </c>
      <c r="BY236" s="11">
        <v>18784.848</v>
      </c>
      <c r="BZ236" s="11">
        <v>16439.99997</v>
      </c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 t="s">
        <v>485</v>
      </c>
      <c r="BW237" s="11">
        <v>15438.24</v>
      </c>
      <c r="BX237" s="11">
        <v>15704.44</v>
      </c>
      <c r="BY237" s="11">
        <v>23371.262</v>
      </c>
      <c r="BZ237" s="11">
        <v>30716.89619</v>
      </c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 t="s">
        <v>1140</v>
      </c>
      <c r="BW238" s="11">
        <v>11578.68</v>
      </c>
      <c r="BX238" s="11">
        <v>11778.33</v>
      </c>
      <c r="BY238" s="11">
        <v>11740.53</v>
      </c>
      <c r="BZ238" s="11">
        <v>21914.26313</v>
      </c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 t="s">
        <v>857</v>
      </c>
      <c r="BW239" s="11">
        <v>1252698.585</v>
      </c>
      <c r="BX239" s="11">
        <v>1236094.13</v>
      </c>
      <c r="BY239" s="11">
        <v>1189482.041</v>
      </c>
      <c r="BZ239" s="11">
        <v>1313160.86093</v>
      </c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 t="s">
        <v>411</v>
      </c>
      <c r="BW240" s="11">
        <v>1110126.439</v>
      </c>
      <c r="BX240" s="11">
        <v>1094198.233</v>
      </c>
      <c r="BY240" s="11">
        <v>1103397.817</v>
      </c>
      <c r="BZ240" s="11">
        <v>1097546.9678</v>
      </c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 t="s">
        <v>802</v>
      </c>
      <c r="BW242" s="11">
        <v>142572.146</v>
      </c>
      <c r="BX242" s="11">
        <v>141895.897</v>
      </c>
      <c r="BY242" s="11">
        <v>86084.224</v>
      </c>
      <c r="BZ242" s="11">
        <v>215613.89313</v>
      </c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 t="s">
        <v>397</v>
      </c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 t="s">
        <v>304</v>
      </c>
      <c r="BW244" s="53">
        <v>0.0</v>
      </c>
      <c r="BX244" s="53">
        <v>0.0</v>
      </c>
      <c r="BY244" s="53">
        <v>0.0</v>
      </c>
      <c r="BZ244" s="53">
        <v>0.0</v>
      </c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 t="s">
        <v>1141</v>
      </c>
      <c r="BW245" s="11">
        <v>11947.88</v>
      </c>
      <c r="BX245" s="11">
        <v>17729.954</v>
      </c>
      <c r="BY245" s="11">
        <v>22056.56</v>
      </c>
      <c r="BZ245" s="11">
        <v>39101.46768</v>
      </c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 t="s">
        <v>411</v>
      </c>
      <c r="BW246" s="11">
        <v>11947.88</v>
      </c>
      <c r="BX246" s="11">
        <v>17729.954</v>
      </c>
      <c r="BY246" s="11">
        <v>22056.56</v>
      </c>
      <c r="BZ246" s="11">
        <v>39101.46768</v>
      </c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 t="s">
        <v>331</v>
      </c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 t="s">
        <v>397</v>
      </c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 t="s">
        <v>715</v>
      </c>
      <c r="BW250" s="53">
        <v>0.0</v>
      </c>
      <c r="BX250" s="53">
        <v>0.0</v>
      </c>
      <c r="BY250" s="53">
        <v>0.0</v>
      </c>
      <c r="BZ250" s="53">
        <v>0.0</v>
      </c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 t="s">
        <v>332</v>
      </c>
      <c r="BW251" s="11">
        <v>134051.4</v>
      </c>
      <c r="BX251" s="11">
        <v>134051.4</v>
      </c>
      <c r="BY251" s="11">
        <v>134051.4</v>
      </c>
      <c r="BZ251" s="11">
        <v>134051.4</v>
      </c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 t="s">
        <v>333</v>
      </c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 t="s">
        <v>334</v>
      </c>
      <c r="BW253" s="11">
        <v>21884.101</v>
      </c>
      <c r="BX253" s="11">
        <v>22869.044</v>
      </c>
      <c r="BY253" s="11">
        <v>24625.769</v>
      </c>
      <c r="BZ253" s="11">
        <v>27650.698</v>
      </c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 t="s">
        <v>330</v>
      </c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 t="s">
        <v>834</v>
      </c>
      <c r="BW255" s="11">
        <v>827460.032</v>
      </c>
      <c r="BX255" s="11">
        <v>763600.524</v>
      </c>
      <c r="BY255" s="11">
        <v>641385.651</v>
      </c>
      <c r="BZ255" s="11">
        <v>406960.009</v>
      </c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 t="s">
        <v>1142</v>
      </c>
      <c r="BW256" s="11">
        <v>-61184.992</v>
      </c>
      <c r="BX256" s="11">
        <v>-58628.118</v>
      </c>
      <c r="BY256" s="11">
        <v>-23559.0997</v>
      </c>
      <c r="BZ256" s="11">
        <v>16100.362</v>
      </c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 t="s">
        <v>728</v>
      </c>
      <c r="BW257" s="11">
        <v>17644.689</v>
      </c>
      <c r="BX257" s="11">
        <v>28887.971</v>
      </c>
      <c r="BY257" s="11">
        <v>56780.545</v>
      </c>
      <c r="BZ257" s="11">
        <v>15202.981</v>
      </c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 t="s">
        <v>411</v>
      </c>
      <c r="BW258" s="11">
        <v>939855.2300000001</v>
      </c>
      <c r="BX258" s="11">
        <v>890780.821</v>
      </c>
      <c r="BY258" s="11">
        <v>833284.2653</v>
      </c>
      <c r="BZ258" s="11">
        <v>599965.4500000001</v>
      </c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 t="s">
        <v>394</v>
      </c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 t="s">
        <v>397</v>
      </c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 t="s">
        <v>347</v>
      </c>
      <c r="BW262" s="53">
        <v>0.0</v>
      </c>
      <c r="BX262" s="53">
        <v>0.0</v>
      </c>
      <c r="BY262" s="53">
        <v>0.0</v>
      </c>
      <c r="BZ262" s="53">
        <v>0.0</v>
      </c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 t="s">
        <v>1143</v>
      </c>
      <c r="BW263" s="11">
        <v>561683.488</v>
      </c>
      <c r="BX263" s="11">
        <v>689382.613</v>
      </c>
      <c r="BY263" s="11">
        <v>736618.041</v>
      </c>
      <c r="BZ263" s="11">
        <v>597454.054</v>
      </c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 t="s">
        <v>1144</v>
      </c>
      <c r="BW264" s="11">
        <v>175947.15</v>
      </c>
      <c r="BX264" s="11">
        <v>200183.749</v>
      </c>
      <c r="BY264" s="11">
        <v>209511.276</v>
      </c>
      <c r="BZ264" s="11">
        <v>203254.057</v>
      </c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 t="s">
        <v>881</v>
      </c>
      <c r="BW265" s="11">
        <v>69806.735</v>
      </c>
      <c r="BX265" s="11">
        <v>70915.55</v>
      </c>
      <c r="BY265" s="11">
        <v>52999.524</v>
      </c>
      <c r="BZ265" s="11">
        <v>53428.806</v>
      </c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 t="s">
        <v>911</v>
      </c>
      <c r="BW266" s="11">
        <v>13432.21</v>
      </c>
      <c r="BX266" s="11">
        <v>10586.785</v>
      </c>
      <c r="BY266" s="11">
        <v>21029.341</v>
      </c>
      <c r="BZ266" s="11">
        <v>32146.516</v>
      </c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 t="s">
        <v>1145</v>
      </c>
      <c r="BW267" s="11">
        <v>76747.511</v>
      </c>
      <c r="BX267" s="11">
        <v>99419.998</v>
      </c>
      <c r="BY267" s="11">
        <v>98129.782</v>
      </c>
      <c r="BZ267" s="11">
        <v>79639.376</v>
      </c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 t="s">
        <v>1146</v>
      </c>
      <c r="BW268" s="11">
        <v>-30974.472</v>
      </c>
      <c r="BX268" s="11">
        <v>-10300.292</v>
      </c>
      <c r="BY268" s="11">
        <v>-15835.307</v>
      </c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 t="s">
        <v>411</v>
      </c>
      <c r="BW269" s="11">
        <v>866642.6220000001</v>
      </c>
      <c r="BX269" s="11">
        <v>1060188.403</v>
      </c>
      <c r="BY269" s="11">
        <v>1102452.657</v>
      </c>
      <c r="BZ269" s="11">
        <v>965922.809</v>
      </c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 t="s">
        <v>397</v>
      </c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 t="s">
        <v>354</v>
      </c>
      <c r="BW272" s="53">
        <v>0.0</v>
      </c>
      <c r="BX272" s="53">
        <v>0.0</v>
      </c>
      <c r="BY272" s="53">
        <v>0.0</v>
      </c>
      <c r="BZ272" s="53">
        <v>0.0</v>
      </c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 t="s">
        <v>1143</v>
      </c>
      <c r="BW273" s="11">
        <v>496548.231</v>
      </c>
      <c r="BX273" s="11">
        <v>582783.073</v>
      </c>
      <c r="BY273" s="11">
        <v>601848.464</v>
      </c>
      <c r="BZ273" s="11">
        <v>495592.67</v>
      </c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 t="s">
        <v>1147</v>
      </c>
      <c r="BW274" s="11">
        <v>122723.001</v>
      </c>
      <c r="BX274" s="11">
        <v>159728.311</v>
      </c>
      <c r="BY274" s="11">
        <v>202795.684</v>
      </c>
      <c r="BZ274" s="11">
        <v>163595.548</v>
      </c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 t="s">
        <v>881</v>
      </c>
      <c r="BW275" s="11">
        <v>33360.959</v>
      </c>
      <c r="BX275" s="11">
        <v>29704.613</v>
      </c>
      <c r="BY275" s="11">
        <v>23515.929</v>
      </c>
      <c r="BZ275" s="11">
        <v>29530.0266</v>
      </c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 t="s">
        <v>1148</v>
      </c>
      <c r="BW276" s="11">
        <v>7436.309</v>
      </c>
      <c r="BX276" s="11">
        <v>5387.526</v>
      </c>
      <c r="BY276" s="11">
        <v>8493.937</v>
      </c>
      <c r="BZ276" s="11">
        <v>12140.48</v>
      </c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 t="s">
        <v>1145</v>
      </c>
      <c r="BW277" s="11">
        <v>57127.589</v>
      </c>
      <c r="BX277" s="11">
        <v>88000.614</v>
      </c>
      <c r="BY277" s="11">
        <v>72752.197</v>
      </c>
      <c r="BZ277" s="11">
        <v>69695.923</v>
      </c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 t="s">
        <v>411</v>
      </c>
      <c r="BW278" s="11">
        <v>717196.0890000002</v>
      </c>
      <c r="BX278" s="11">
        <v>865604.1369999999</v>
      </c>
      <c r="BY278" s="11">
        <v>909406.2110000001</v>
      </c>
      <c r="BZ278" s="11">
        <v>770554.6475999999</v>
      </c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 t="s">
        <v>982</v>
      </c>
      <c r="BW280" s="53">
        <v>0.0</v>
      </c>
      <c r="BX280" s="53">
        <v>0.0</v>
      </c>
      <c r="BY280" s="53">
        <v>0.0</v>
      </c>
      <c r="BZ280" s="53">
        <v>0.0</v>
      </c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 t="s">
        <v>1149</v>
      </c>
      <c r="BW281" s="11">
        <v>7849.534</v>
      </c>
      <c r="BX281" s="11">
        <v>11142.761</v>
      </c>
      <c r="BY281" s="11">
        <v>11588.778</v>
      </c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 t="s">
        <v>1150</v>
      </c>
      <c r="BW282" s="11">
        <v>9525.191</v>
      </c>
      <c r="BX282" s="11">
        <v>10466.547</v>
      </c>
      <c r="BY282" s="11">
        <v>11392.952</v>
      </c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 t="s">
        <v>1151</v>
      </c>
      <c r="BW283" s="11">
        <v>6278.614</v>
      </c>
      <c r="BX283" s="11">
        <v>8622.47</v>
      </c>
      <c r="BY283" s="11">
        <v>9839.018</v>
      </c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 t="s">
        <v>1152</v>
      </c>
      <c r="BW284" s="11">
        <v>7563.805</v>
      </c>
      <c r="BX284" s="11">
        <v>8340.398</v>
      </c>
      <c r="BY284" s="11">
        <v>8117.577</v>
      </c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 t="s">
        <v>1107</v>
      </c>
      <c r="BW285" s="11">
        <v>3384.712</v>
      </c>
      <c r="BX285" s="11">
        <v>3606.747</v>
      </c>
      <c r="BY285" s="11">
        <v>3381.788</v>
      </c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 t="s">
        <v>1153</v>
      </c>
      <c r="BW286" s="11">
        <v>1772.891</v>
      </c>
      <c r="BX286" s="11">
        <v>2227.319</v>
      </c>
      <c r="BY286" s="11">
        <v>2905.943</v>
      </c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 t="s">
        <v>1154</v>
      </c>
      <c r="BW287" s="11">
        <v>740.198</v>
      </c>
      <c r="BX287" s="11">
        <v>797.577</v>
      </c>
      <c r="BY287" s="11">
        <v>1090.324</v>
      </c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 t="s">
        <v>1155</v>
      </c>
      <c r="BW288" s="11">
        <v>772.748</v>
      </c>
      <c r="BX288" s="11">
        <v>784.371</v>
      </c>
      <c r="BY288" s="11">
        <v>748.199</v>
      </c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 t="s">
        <v>1156</v>
      </c>
      <c r="BW289" s="11">
        <v>749.898</v>
      </c>
      <c r="BX289" s="11">
        <v>548.346</v>
      </c>
      <c r="BY289" s="11">
        <v>524.113</v>
      </c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 t="s">
        <v>1157</v>
      </c>
      <c r="BW290" s="11">
        <v>373.302</v>
      </c>
      <c r="BX290" s="11">
        <v>501.592</v>
      </c>
      <c r="BY290" s="11">
        <v>325.984</v>
      </c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 t="s">
        <v>1158</v>
      </c>
      <c r="BW291" s="11">
        <v>478.44</v>
      </c>
      <c r="BX291" s="11">
        <v>499.456</v>
      </c>
      <c r="BY291" s="11">
        <v>372.15</v>
      </c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 t="s">
        <v>1159</v>
      </c>
      <c r="BW292" s="11">
        <v>453.63</v>
      </c>
      <c r="BX292" s="11">
        <v>346.844</v>
      </c>
      <c r="BY292" s="11">
        <v>703.043</v>
      </c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 t="s">
        <v>982</v>
      </c>
      <c r="BW293" s="11"/>
      <c r="BX293" s="11"/>
      <c r="BY293" s="11"/>
      <c r="BZ293" s="11">
        <v>66903.19</v>
      </c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 t="s">
        <v>411</v>
      </c>
      <c r="BW294" s="11">
        <v>39942.963</v>
      </c>
      <c r="BX294" s="11">
        <v>47884.42799999999</v>
      </c>
      <c r="BY294" s="11">
        <v>50989.86899999999</v>
      </c>
      <c r="BZ294" s="11">
        <v>66903.19</v>
      </c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 t="s">
        <v>991</v>
      </c>
      <c r="BW296" s="53">
        <v>0.0</v>
      </c>
      <c r="BX296" s="53">
        <v>0.0</v>
      </c>
      <c r="BY296" s="53">
        <v>0.0</v>
      </c>
      <c r="BZ296" s="53">
        <v>0.0</v>
      </c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 t="s">
        <v>1160</v>
      </c>
      <c r="BW297" s="11">
        <v>9548.66</v>
      </c>
      <c r="BX297" s="11">
        <v>12707.341</v>
      </c>
      <c r="BY297" s="11">
        <v>8750.396</v>
      </c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 t="s">
        <v>1161</v>
      </c>
      <c r="BW298" s="11">
        <v>8111.761</v>
      </c>
      <c r="BX298" s="11">
        <v>9516.228</v>
      </c>
      <c r="BY298" s="11">
        <v>10309.772</v>
      </c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 t="s">
        <v>1162</v>
      </c>
      <c r="BW299" s="11">
        <v>7292.835</v>
      </c>
      <c r="BX299" s="11">
        <v>6009.499</v>
      </c>
      <c r="BY299" s="11">
        <v>6905.751</v>
      </c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 t="s">
        <v>1163</v>
      </c>
      <c r="BW300" s="11">
        <v>3918.234</v>
      </c>
      <c r="BX300" s="11">
        <v>5495.471</v>
      </c>
      <c r="BY300" s="11">
        <v>5136.528</v>
      </c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 t="s">
        <v>1164</v>
      </c>
      <c r="BW301" s="11">
        <v>1392.503</v>
      </c>
      <c r="BX301" s="11">
        <v>1394.886</v>
      </c>
      <c r="BY301" s="11">
        <v>1413.784</v>
      </c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 t="s">
        <v>1165</v>
      </c>
      <c r="BW302" s="11">
        <v>1084.742</v>
      </c>
      <c r="BX302" s="11">
        <v>1305.493</v>
      </c>
      <c r="BY302" s="11">
        <v>478.262</v>
      </c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 t="s">
        <v>1166</v>
      </c>
      <c r="BW303" s="11">
        <v>1020.79</v>
      </c>
      <c r="BX303" s="11">
        <v>639.262</v>
      </c>
      <c r="BY303" s="11">
        <v>622.701</v>
      </c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 t="s">
        <v>1124</v>
      </c>
      <c r="BW304" s="11"/>
      <c r="BX304" s="11"/>
      <c r="BY304" s="11"/>
      <c r="BZ304" s="11">
        <v>24837.878</v>
      </c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 t="s">
        <v>411</v>
      </c>
      <c r="BW305" s="11">
        <v>32369.525</v>
      </c>
      <c r="BX305" s="11">
        <v>37068.18</v>
      </c>
      <c r="BY305" s="11">
        <v>33617.194</v>
      </c>
      <c r="BZ305" s="11">
        <v>24837.878</v>
      </c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 t="s">
        <v>1003</v>
      </c>
      <c r="BW307" s="53">
        <v>0.0</v>
      </c>
      <c r="BX307" s="53">
        <v>0.0</v>
      </c>
      <c r="BY307" s="53">
        <v>0.0</v>
      </c>
      <c r="BZ307" s="53">
        <v>0.0</v>
      </c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 t="s">
        <v>411</v>
      </c>
      <c r="BW308" s="11">
        <v>0.0</v>
      </c>
      <c r="BX308" s="11">
        <v>0.0</v>
      </c>
      <c r="BY308" s="11">
        <v>0.0</v>
      </c>
      <c r="BZ308" s="11">
        <v>0.0</v>
      </c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 t="s">
        <v>1012</v>
      </c>
      <c r="BW310" s="53">
        <v>0.0</v>
      </c>
      <c r="BX310" s="53">
        <v>0.0</v>
      </c>
      <c r="BY310" s="53">
        <v>0.0</v>
      </c>
      <c r="BZ310" s="53">
        <v>0.0</v>
      </c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 t="s">
        <v>411</v>
      </c>
      <c r="BW311" s="11">
        <v>0.0</v>
      </c>
      <c r="BX311" s="11">
        <v>0.0</v>
      </c>
      <c r="BY311" s="11">
        <v>0.0</v>
      </c>
      <c r="BZ311" s="11">
        <v>0.0</v>
      </c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 t="s">
        <v>1022</v>
      </c>
      <c r="BW313" s="53">
        <v>0.0</v>
      </c>
      <c r="BX313" s="53">
        <v>0.0</v>
      </c>
      <c r="BY313" s="53">
        <v>0.0</v>
      </c>
      <c r="BZ313" s="53">
        <v>0.0</v>
      </c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 t="s">
        <v>1129</v>
      </c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 t="s">
        <v>1028</v>
      </c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 t="s">
        <v>1031</v>
      </c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 t="s">
        <v>411</v>
      </c>
      <c r="BW317" s="11">
        <v>0.0</v>
      </c>
      <c r="BX317" s="11">
        <v>0.0</v>
      </c>
      <c r="BY317" s="11">
        <v>0.0</v>
      </c>
      <c r="BZ317" s="11">
        <v>0.0</v>
      </c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  <c r="CW414" s="11"/>
      <c r="CX414" s="11"/>
      <c r="CY414" s="11"/>
      <c r="C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11"/>
      <c r="CX418" s="11"/>
      <c r="CY418" s="11"/>
      <c r="C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11"/>
      <c r="CX420" s="11"/>
      <c r="CY420" s="11"/>
      <c r="C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  <c r="CW422" s="11"/>
      <c r="CX422" s="11"/>
      <c r="CY422" s="11"/>
      <c r="C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11"/>
      <c r="CX436" s="11"/>
      <c r="CY436" s="11"/>
      <c r="C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11"/>
      <c r="CX438" s="11"/>
      <c r="CY438" s="11"/>
      <c r="C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11"/>
      <c r="CX440" s="11"/>
      <c r="CY440" s="11"/>
      <c r="C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/>
      <c r="CW446" s="11"/>
      <c r="CX446" s="11"/>
      <c r="CY446" s="11"/>
      <c r="C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  <c r="CH448" s="11"/>
      <c r="CI448" s="11"/>
      <c r="CJ448" s="11"/>
      <c r="CK448" s="11"/>
      <c r="CL448" s="11"/>
      <c r="CM448" s="11"/>
      <c r="CN448" s="11"/>
      <c r="CO448" s="11"/>
      <c r="CP448" s="11"/>
      <c r="CQ448" s="11"/>
      <c r="CR448" s="11"/>
      <c r="CS448" s="11"/>
      <c r="CT448" s="11"/>
      <c r="CU448" s="11"/>
      <c r="CV448" s="11"/>
      <c r="CW448" s="11"/>
      <c r="CX448" s="11"/>
      <c r="CY448" s="11"/>
      <c r="C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  <c r="CM450" s="11"/>
      <c r="CN450" s="11"/>
      <c r="CO450" s="11"/>
      <c r="CP450" s="11"/>
      <c r="CQ450" s="11"/>
      <c r="CR450" s="11"/>
      <c r="CS450" s="11"/>
      <c r="CT450" s="11"/>
      <c r="CU450" s="11"/>
      <c r="CV450" s="11"/>
      <c r="CW450" s="11"/>
      <c r="CX450" s="11"/>
      <c r="CY450" s="11"/>
      <c r="C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  <c r="CD451" s="11"/>
      <c r="CE451" s="11"/>
      <c r="CF451" s="11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/>
      <c r="CG452" s="11"/>
      <c r="CH452" s="11"/>
      <c r="CI452" s="11"/>
      <c r="CJ452" s="11"/>
      <c r="CK452" s="11"/>
      <c r="CL452" s="11"/>
      <c r="CM452" s="11"/>
      <c r="CN452" s="11"/>
      <c r="CO452" s="11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  <c r="C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  <c r="CD453" s="11"/>
      <c r="CE453" s="11"/>
      <c r="CF453" s="11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  <c r="CM454" s="11"/>
      <c r="CN454" s="11"/>
      <c r="CO454" s="11"/>
      <c r="CP454" s="11"/>
      <c r="CQ454" s="11"/>
      <c r="CR454" s="11"/>
      <c r="CS454" s="11"/>
      <c r="CT454" s="11"/>
      <c r="CU454" s="11"/>
      <c r="CV454" s="11"/>
      <c r="CW454" s="11"/>
      <c r="CX454" s="11"/>
      <c r="CY454" s="11"/>
      <c r="C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11"/>
      <c r="CX472" s="11"/>
      <c r="CY472" s="11"/>
      <c r="C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11"/>
      <c r="CX474" s="11"/>
      <c r="CY474" s="11"/>
      <c r="C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  <c r="CM476" s="11"/>
      <c r="CN476" s="11"/>
      <c r="CO476" s="11"/>
      <c r="CP476" s="11"/>
      <c r="CQ476" s="11"/>
      <c r="CR476" s="11"/>
      <c r="CS476" s="11"/>
      <c r="CT476" s="11"/>
      <c r="CU476" s="11"/>
      <c r="CV476" s="11"/>
      <c r="CW476" s="11"/>
      <c r="CX476" s="11"/>
      <c r="CY476" s="11"/>
      <c r="C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11"/>
      <c r="CX480" s="11"/>
      <c r="CY480" s="11"/>
      <c r="C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11"/>
      <c r="CX484" s="11"/>
      <c r="CY484" s="11"/>
      <c r="C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/>
      <c r="CO486" s="11"/>
      <c r="CP486" s="11"/>
      <c r="CQ486" s="11"/>
      <c r="CR486" s="11"/>
      <c r="CS486" s="11"/>
      <c r="CT486" s="11"/>
      <c r="CU486" s="11"/>
      <c r="CV486" s="11"/>
      <c r="CW486" s="11"/>
      <c r="CX486" s="11"/>
      <c r="CY486" s="11"/>
      <c r="C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  <c r="CM488" s="11"/>
      <c r="CN488" s="11"/>
      <c r="CO488" s="11"/>
      <c r="CP488" s="11"/>
      <c r="CQ488" s="11"/>
      <c r="CR488" s="11"/>
      <c r="CS488" s="11"/>
      <c r="CT488" s="11"/>
      <c r="CU488" s="11"/>
      <c r="CV488" s="11"/>
      <c r="CW488" s="11"/>
      <c r="CX488" s="11"/>
      <c r="CY488" s="11"/>
      <c r="C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  <c r="CM490" s="11"/>
      <c r="CN490" s="11"/>
      <c r="CO490" s="11"/>
      <c r="CP490" s="11"/>
      <c r="CQ490" s="11"/>
      <c r="CR490" s="11"/>
      <c r="CS490" s="11"/>
      <c r="CT490" s="11"/>
      <c r="CU490" s="11"/>
      <c r="CV490" s="11"/>
      <c r="CW490" s="11"/>
      <c r="CX490" s="11"/>
      <c r="CY490" s="11"/>
      <c r="C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11"/>
      <c r="CX492" s="11"/>
      <c r="CY492" s="11"/>
      <c r="C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  <c r="CM494" s="11"/>
      <c r="CN494" s="11"/>
      <c r="CO494" s="11"/>
      <c r="CP494" s="11"/>
      <c r="CQ494" s="11"/>
      <c r="CR494" s="11"/>
      <c r="CS494" s="11"/>
      <c r="CT494" s="11"/>
      <c r="CU494" s="11"/>
      <c r="CV494" s="11"/>
      <c r="CW494" s="11"/>
      <c r="CX494" s="11"/>
      <c r="CY494" s="11"/>
      <c r="C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  <c r="CW498" s="11"/>
      <c r="CX498" s="11"/>
      <c r="CY498" s="11"/>
      <c r="C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11"/>
      <c r="CX500" s="11"/>
      <c r="CY500" s="11"/>
      <c r="C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  <c r="CM502" s="11"/>
      <c r="CN502" s="11"/>
      <c r="CO502" s="11"/>
      <c r="CP502" s="11"/>
      <c r="CQ502" s="11"/>
      <c r="CR502" s="11"/>
      <c r="CS502" s="11"/>
      <c r="CT502" s="11"/>
      <c r="CU502" s="11"/>
      <c r="CV502" s="11"/>
      <c r="CW502" s="11"/>
      <c r="CX502" s="11"/>
      <c r="CY502" s="11"/>
      <c r="C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  <c r="CD508" s="11"/>
      <c r="CE508" s="11"/>
      <c r="CF508" s="11"/>
      <c r="CG508" s="11"/>
      <c r="CH508" s="11"/>
      <c r="CI508" s="11"/>
      <c r="CJ508" s="11"/>
      <c r="CK508" s="11"/>
      <c r="CL508" s="11"/>
      <c r="CM508" s="11"/>
      <c r="CN508" s="11"/>
      <c r="CO508" s="11"/>
      <c r="CP508" s="11"/>
      <c r="CQ508" s="11"/>
      <c r="CR508" s="11"/>
      <c r="CS508" s="11"/>
      <c r="CT508" s="11"/>
      <c r="CU508" s="11"/>
      <c r="CV508" s="11"/>
      <c r="CW508" s="11"/>
      <c r="CX508" s="11"/>
      <c r="CY508" s="11"/>
      <c r="C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  <c r="CD509" s="11"/>
      <c r="CE509" s="11"/>
      <c r="CF509" s="11"/>
      <c r="CG509" s="11"/>
      <c r="CH509" s="11"/>
      <c r="CI509" s="11"/>
      <c r="CJ509" s="11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11"/>
      <c r="CX509" s="11"/>
      <c r="CY509" s="11"/>
      <c r="C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  <c r="CD511" s="11"/>
      <c r="CE511" s="11"/>
      <c r="CF511" s="11"/>
      <c r="CG511" s="11"/>
      <c r="CH511" s="11"/>
      <c r="CI511" s="11"/>
      <c r="CJ511" s="11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11"/>
      <c r="CX511" s="11"/>
      <c r="CY511" s="11"/>
      <c r="C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CH512" s="11"/>
      <c r="CI512" s="11"/>
      <c r="CJ512" s="11"/>
      <c r="CK512" s="11"/>
      <c r="CL512" s="11"/>
      <c r="CM512" s="11"/>
      <c r="CN512" s="11"/>
      <c r="CO512" s="11"/>
      <c r="CP512" s="11"/>
      <c r="CQ512" s="11"/>
      <c r="CR512" s="11"/>
      <c r="CS512" s="11"/>
      <c r="CT512" s="11"/>
      <c r="CU512" s="11"/>
      <c r="CV512" s="11"/>
      <c r="CW512" s="11"/>
      <c r="CX512" s="11"/>
      <c r="CY512" s="11"/>
      <c r="C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CH514" s="11"/>
      <c r="CI514" s="11"/>
      <c r="CJ514" s="11"/>
      <c r="CK514" s="11"/>
      <c r="CL514" s="11"/>
      <c r="CM514" s="11"/>
      <c r="CN514" s="11"/>
      <c r="CO514" s="11"/>
      <c r="CP514" s="11"/>
      <c r="CQ514" s="11"/>
      <c r="CR514" s="11"/>
      <c r="CS514" s="11"/>
      <c r="CT514" s="11"/>
      <c r="CU514" s="11"/>
      <c r="CV514" s="11"/>
      <c r="CW514" s="11"/>
      <c r="CX514" s="11"/>
      <c r="CY514" s="11"/>
      <c r="C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  <c r="CD515" s="11"/>
      <c r="CE515" s="11"/>
      <c r="CF515" s="11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  <c r="CD516" s="11"/>
      <c r="CE516" s="11"/>
      <c r="CF516" s="11"/>
      <c r="CG516" s="11"/>
      <c r="CH516" s="11"/>
      <c r="CI516" s="11"/>
      <c r="CJ516" s="11"/>
      <c r="CK516" s="11"/>
      <c r="CL516" s="11"/>
      <c r="CM516" s="11"/>
      <c r="CN516" s="11"/>
      <c r="CO516" s="11"/>
      <c r="CP516" s="11"/>
      <c r="CQ516" s="11"/>
      <c r="CR516" s="11"/>
      <c r="CS516" s="11"/>
      <c r="CT516" s="11"/>
      <c r="CU516" s="11"/>
      <c r="CV516" s="11"/>
      <c r="CW516" s="11"/>
      <c r="CX516" s="11"/>
      <c r="CY516" s="11"/>
      <c r="C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  <c r="CD517" s="11"/>
      <c r="CE517" s="11"/>
      <c r="CF517" s="11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  <c r="CD518" s="11"/>
      <c r="CE518" s="11"/>
      <c r="CF518" s="11"/>
      <c r="CG518" s="11"/>
      <c r="CH518" s="11"/>
      <c r="CI518" s="11"/>
      <c r="CJ518" s="11"/>
      <c r="CK518" s="11"/>
      <c r="CL518" s="11"/>
      <c r="CM518" s="11"/>
      <c r="CN518" s="11"/>
      <c r="CO518" s="11"/>
      <c r="CP518" s="11"/>
      <c r="CQ518" s="11"/>
      <c r="CR518" s="11"/>
      <c r="CS518" s="11"/>
      <c r="CT518" s="11"/>
      <c r="CU518" s="11"/>
      <c r="CV518" s="11"/>
      <c r="CW518" s="11"/>
      <c r="CX518" s="11"/>
      <c r="CY518" s="11"/>
      <c r="C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  <c r="CD520" s="11"/>
      <c r="CE520" s="11"/>
      <c r="CF520" s="11"/>
      <c r="CG520" s="11"/>
      <c r="CH520" s="11"/>
      <c r="CI520" s="11"/>
      <c r="CJ520" s="11"/>
      <c r="CK520" s="11"/>
      <c r="CL520" s="11"/>
      <c r="CM520" s="11"/>
      <c r="CN520" s="11"/>
      <c r="CO520" s="11"/>
      <c r="CP520" s="11"/>
      <c r="CQ520" s="11"/>
      <c r="CR520" s="11"/>
      <c r="CS520" s="11"/>
      <c r="CT520" s="11"/>
      <c r="CU520" s="11"/>
      <c r="CV520" s="11"/>
      <c r="CW520" s="11"/>
      <c r="CX520" s="11"/>
      <c r="CY520" s="11"/>
      <c r="C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  <c r="CD521" s="11"/>
      <c r="CE521" s="11"/>
      <c r="CF521" s="11"/>
      <c r="CG521" s="11"/>
      <c r="CH521" s="11"/>
      <c r="CI521" s="11"/>
      <c r="CJ521" s="11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  <c r="CD522" s="11"/>
      <c r="CE522" s="11"/>
      <c r="CF522" s="11"/>
      <c r="CG522" s="11"/>
      <c r="CH522" s="11"/>
      <c r="CI522" s="11"/>
      <c r="CJ522" s="11"/>
      <c r="CK522" s="11"/>
      <c r="CL522" s="11"/>
      <c r="CM522" s="11"/>
      <c r="CN522" s="11"/>
      <c r="CO522" s="11"/>
      <c r="CP522" s="11"/>
      <c r="CQ522" s="11"/>
      <c r="CR522" s="11"/>
      <c r="CS522" s="11"/>
      <c r="CT522" s="11"/>
      <c r="CU522" s="11"/>
      <c r="CV522" s="11"/>
      <c r="CW522" s="11"/>
      <c r="CX522" s="11"/>
      <c r="CY522" s="11"/>
      <c r="C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  <c r="CD524" s="11"/>
      <c r="CE524" s="11"/>
      <c r="CF524" s="11"/>
      <c r="CG524" s="11"/>
      <c r="CH524" s="11"/>
      <c r="CI524" s="11"/>
      <c r="CJ524" s="11"/>
      <c r="CK524" s="11"/>
      <c r="CL524" s="11"/>
      <c r="CM524" s="11"/>
      <c r="CN524" s="11"/>
      <c r="CO524" s="11"/>
      <c r="CP524" s="11"/>
      <c r="CQ524" s="11"/>
      <c r="CR524" s="11"/>
      <c r="CS524" s="11"/>
      <c r="CT524" s="11"/>
      <c r="CU524" s="11"/>
      <c r="CV524" s="11"/>
      <c r="CW524" s="11"/>
      <c r="CX524" s="11"/>
      <c r="CY524" s="11"/>
      <c r="C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  <c r="CK526" s="11"/>
      <c r="CL526" s="11"/>
      <c r="CM526" s="11"/>
      <c r="CN526" s="11"/>
      <c r="CO526" s="11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  <c r="CK530" s="11"/>
      <c r="CL530" s="11"/>
      <c r="CM530" s="11"/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CH532" s="11"/>
      <c r="CI532" s="11"/>
      <c r="CJ532" s="11"/>
      <c r="CK532" s="11"/>
      <c r="CL532" s="11"/>
      <c r="CM532" s="11"/>
      <c r="CN532" s="11"/>
      <c r="CO532" s="11"/>
      <c r="CP532" s="11"/>
      <c r="CQ532" s="11"/>
      <c r="CR532" s="11"/>
      <c r="CS532" s="11"/>
      <c r="CT532" s="11"/>
      <c r="CU532" s="11"/>
      <c r="CV532" s="11"/>
      <c r="CW532" s="11"/>
      <c r="CX532" s="11"/>
      <c r="CY532" s="11"/>
      <c r="C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  <c r="CD534" s="11"/>
      <c r="CE534" s="11"/>
      <c r="CF534" s="11"/>
      <c r="CG534" s="11"/>
      <c r="CH534" s="11"/>
      <c r="CI534" s="11"/>
      <c r="CJ534" s="11"/>
      <c r="CK534" s="11"/>
      <c r="CL534" s="11"/>
      <c r="CM534" s="11"/>
      <c r="CN534" s="11"/>
      <c r="CO534" s="11"/>
      <c r="CP534" s="11"/>
      <c r="CQ534" s="11"/>
      <c r="CR534" s="11"/>
      <c r="CS534" s="11"/>
      <c r="CT534" s="11"/>
      <c r="CU534" s="11"/>
      <c r="CV534" s="11"/>
      <c r="CW534" s="11"/>
      <c r="CX534" s="11"/>
      <c r="CY534" s="11"/>
      <c r="C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/>
      <c r="CG535" s="11"/>
      <c r="CH535" s="11"/>
      <c r="CI535" s="11"/>
      <c r="CJ535" s="11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11"/>
      <c r="CX535" s="11"/>
      <c r="CY535" s="11"/>
      <c r="C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  <c r="CD536" s="11"/>
      <c r="CE536" s="11"/>
      <c r="CF536" s="11"/>
      <c r="CG536" s="11"/>
      <c r="CH536" s="11"/>
      <c r="CI536" s="11"/>
      <c r="CJ536" s="11"/>
      <c r="CK536" s="11"/>
      <c r="CL536" s="11"/>
      <c r="CM536" s="11"/>
      <c r="CN536" s="11"/>
      <c r="CO536" s="11"/>
      <c r="CP536" s="11"/>
      <c r="CQ536" s="11"/>
      <c r="CR536" s="11"/>
      <c r="CS536" s="11"/>
      <c r="CT536" s="11"/>
      <c r="CU536" s="11"/>
      <c r="CV536" s="11"/>
      <c r="CW536" s="11"/>
      <c r="CX536" s="11"/>
      <c r="CY536" s="11"/>
      <c r="C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  <c r="CD537" s="11"/>
      <c r="CE537" s="11"/>
      <c r="CF537" s="11"/>
      <c r="CG537" s="11"/>
      <c r="CH537" s="11"/>
      <c r="CI537" s="11"/>
      <c r="CJ537" s="11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11"/>
      <c r="CX537" s="11"/>
      <c r="CY537" s="11"/>
      <c r="C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  <c r="CD538" s="11"/>
      <c r="CE538" s="11"/>
      <c r="CF538" s="11"/>
      <c r="CG538" s="11"/>
      <c r="CH538" s="11"/>
      <c r="CI538" s="11"/>
      <c r="CJ538" s="11"/>
      <c r="CK538" s="11"/>
      <c r="CL538" s="11"/>
      <c r="CM538" s="11"/>
      <c r="CN538" s="11"/>
      <c r="CO538" s="11"/>
      <c r="CP538" s="11"/>
      <c r="CQ538" s="11"/>
      <c r="CR538" s="11"/>
      <c r="CS538" s="11"/>
      <c r="CT538" s="11"/>
      <c r="CU538" s="11"/>
      <c r="CV538" s="11"/>
      <c r="CW538" s="11"/>
      <c r="CX538" s="11"/>
      <c r="CY538" s="11"/>
      <c r="C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11"/>
      <c r="CD539" s="11"/>
      <c r="CE539" s="11"/>
      <c r="CF539" s="11"/>
      <c r="CG539" s="11"/>
      <c r="CH539" s="11"/>
      <c r="CI539" s="11"/>
      <c r="CJ539" s="11"/>
      <c r="CK539" s="11"/>
      <c r="CL539" s="11"/>
      <c r="CM539" s="11"/>
      <c r="CN539" s="11"/>
      <c r="CO539" s="11"/>
      <c r="CP539" s="11"/>
      <c r="CQ539" s="11"/>
      <c r="CR539" s="11"/>
      <c r="CS539" s="11"/>
      <c r="CT539" s="11"/>
      <c r="CU539" s="11"/>
      <c r="CV539" s="11"/>
      <c r="CW539" s="11"/>
      <c r="CX539" s="11"/>
      <c r="CY539" s="11"/>
      <c r="C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  <c r="CD540" s="11"/>
      <c r="CE540" s="11"/>
      <c r="CF540" s="11"/>
      <c r="CG540" s="11"/>
      <c r="CH540" s="11"/>
      <c r="CI540" s="11"/>
      <c r="CJ540" s="11"/>
      <c r="CK540" s="11"/>
      <c r="CL540" s="11"/>
      <c r="CM540" s="11"/>
      <c r="CN540" s="11"/>
      <c r="CO540" s="11"/>
      <c r="CP540" s="11"/>
      <c r="CQ540" s="11"/>
      <c r="CR540" s="11"/>
      <c r="CS540" s="11"/>
      <c r="CT540" s="11"/>
      <c r="CU540" s="11"/>
      <c r="CV540" s="11"/>
      <c r="CW540" s="11"/>
      <c r="CX540" s="11"/>
      <c r="CY540" s="11"/>
      <c r="C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  <c r="CD541" s="11"/>
      <c r="CE541" s="11"/>
      <c r="CF541" s="11"/>
      <c r="CG541" s="11"/>
      <c r="CH541" s="11"/>
      <c r="CI541" s="11"/>
      <c r="CJ541" s="11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11"/>
      <c r="CX541" s="11"/>
      <c r="CY541" s="11"/>
      <c r="C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  <c r="CD542" s="11"/>
      <c r="CE542" s="11"/>
      <c r="CF542" s="11"/>
      <c r="CG542" s="11"/>
      <c r="CH542" s="11"/>
      <c r="CI542" s="11"/>
      <c r="CJ542" s="11"/>
      <c r="CK542" s="11"/>
      <c r="CL542" s="11"/>
      <c r="CM542" s="11"/>
      <c r="CN542" s="11"/>
      <c r="CO542" s="11"/>
      <c r="CP542" s="11"/>
      <c r="CQ542" s="11"/>
      <c r="CR542" s="11"/>
      <c r="CS542" s="11"/>
      <c r="CT542" s="11"/>
      <c r="CU542" s="11"/>
      <c r="CV542" s="11"/>
      <c r="CW542" s="11"/>
      <c r="CX542" s="11"/>
      <c r="CY542" s="11"/>
      <c r="C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  <c r="CD543" s="11"/>
      <c r="CE543" s="11"/>
      <c r="CF543" s="11"/>
      <c r="CG543" s="11"/>
      <c r="CH543" s="11"/>
      <c r="CI543" s="11"/>
      <c r="CJ543" s="11"/>
      <c r="CK543" s="11"/>
      <c r="CL543" s="11"/>
      <c r="CM543" s="11"/>
      <c r="CN543" s="11"/>
      <c r="CO543" s="11"/>
      <c r="CP543" s="11"/>
      <c r="CQ543" s="11"/>
      <c r="CR543" s="11"/>
      <c r="CS543" s="11"/>
      <c r="CT543" s="11"/>
      <c r="CU543" s="11"/>
      <c r="CV543" s="11"/>
      <c r="CW543" s="11"/>
      <c r="CX543" s="11"/>
      <c r="CY543" s="11"/>
      <c r="C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  <c r="CD546" s="11"/>
      <c r="CE546" s="11"/>
      <c r="CF546" s="11"/>
      <c r="CG546" s="11"/>
      <c r="CH546" s="11"/>
      <c r="CI546" s="11"/>
      <c r="CJ546" s="11"/>
      <c r="CK546" s="11"/>
      <c r="CL546" s="11"/>
      <c r="CM546" s="11"/>
      <c r="CN546" s="11"/>
      <c r="CO546" s="11"/>
      <c r="CP546" s="11"/>
      <c r="CQ546" s="11"/>
      <c r="CR546" s="11"/>
      <c r="CS546" s="11"/>
      <c r="CT546" s="11"/>
      <c r="CU546" s="11"/>
      <c r="CV546" s="11"/>
      <c r="CW546" s="11"/>
      <c r="CX546" s="11"/>
      <c r="CY546" s="11"/>
      <c r="C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  <c r="CD547" s="11"/>
      <c r="CE547" s="11"/>
      <c r="CF547" s="11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  <c r="CD548" s="11"/>
      <c r="CE548" s="11"/>
      <c r="CF548" s="11"/>
      <c r="CG548" s="11"/>
      <c r="CH548" s="11"/>
      <c r="CI548" s="11"/>
      <c r="CJ548" s="11"/>
      <c r="CK548" s="11"/>
      <c r="CL548" s="11"/>
      <c r="CM548" s="11"/>
      <c r="CN548" s="11"/>
      <c r="CO548" s="11"/>
      <c r="CP548" s="11"/>
      <c r="CQ548" s="11"/>
      <c r="CR548" s="11"/>
      <c r="CS548" s="11"/>
      <c r="CT548" s="11"/>
      <c r="CU548" s="11"/>
      <c r="CV548" s="11"/>
      <c r="CW548" s="11"/>
      <c r="CX548" s="11"/>
      <c r="CY548" s="11"/>
      <c r="C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11"/>
      <c r="CD549" s="11"/>
      <c r="CE549" s="11"/>
      <c r="CF549" s="11"/>
      <c r="CG549" s="11"/>
      <c r="CH549" s="11"/>
      <c r="CI549" s="11"/>
      <c r="CJ549" s="11"/>
      <c r="CK549" s="11"/>
      <c r="CL549" s="11"/>
      <c r="CM549" s="11"/>
      <c r="CN549" s="11"/>
      <c r="CO549" s="11"/>
      <c r="CP549" s="11"/>
      <c r="CQ549" s="11"/>
      <c r="CR549" s="11"/>
      <c r="CS549" s="11"/>
      <c r="CT549" s="11"/>
      <c r="CU549" s="11"/>
      <c r="CV549" s="11"/>
      <c r="CW549" s="11"/>
      <c r="CX549" s="11"/>
      <c r="CY549" s="11"/>
      <c r="C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  <c r="CD551" s="11"/>
      <c r="CE551" s="11"/>
      <c r="CF551" s="11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CH552" s="11"/>
      <c r="CI552" s="11"/>
      <c r="CJ552" s="11"/>
      <c r="CK552" s="11"/>
      <c r="CL552" s="11"/>
      <c r="CM552" s="11"/>
      <c r="CN552" s="11"/>
      <c r="CO552" s="11"/>
      <c r="CP552" s="11"/>
      <c r="CQ552" s="11"/>
      <c r="CR552" s="11"/>
      <c r="CS552" s="11"/>
      <c r="CT552" s="11"/>
      <c r="CU552" s="11"/>
      <c r="CV552" s="11"/>
      <c r="CW552" s="11"/>
      <c r="CX552" s="11"/>
      <c r="CY552" s="11"/>
      <c r="C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  <c r="CD553" s="11"/>
      <c r="CE553" s="11"/>
      <c r="CF553" s="11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11"/>
      <c r="CX553" s="11"/>
      <c r="CY553" s="11"/>
      <c r="C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  <c r="CD554" s="11"/>
      <c r="CE554" s="11"/>
      <c r="CF554" s="11"/>
      <c r="CG554" s="11"/>
      <c r="CH554" s="11"/>
      <c r="CI554" s="11"/>
      <c r="CJ554" s="11"/>
      <c r="CK554" s="11"/>
      <c r="CL554" s="11"/>
      <c r="CM554" s="11"/>
      <c r="CN554" s="11"/>
      <c r="CO554" s="11"/>
      <c r="CP554" s="11"/>
      <c r="CQ554" s="11"/>
      <c r="CR554" s="11"/>
      <c r="CS554" s="11"/>
      <c r="CT554" s="11"/>
      <c r="CU554" s="11"/>
      <c r="CV554" s="11"/>
      <c r="CW554" s="11"/>
      <c r="CX554" s="11"/>
      <c r="CY554" s="11"/>
      <c r="C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  <c r="CD555" s="11"/>
      <c r="CE555" s="11"/>
      <c r="CF555" s="11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11"/>
      <c r="CX555" s="11"/>
      <c r="CY555" s="11"/>
      <c r="C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  <c r="CW558" s="11"/>
      <c r="CX558" s="11"/>
      <c r="CY558" s="11"/>
      <c r="C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  <c r="CD560" s="11"/>
      <c r="CE560" s="11"/>
      <c r="CF560" s="11"/>
      <c r="CG560" s="11"/>
      <c r="CH560" s="11"/>
      <c r="CI560" s="11"/>
      <c r="CJ560" s="11"/>
      <c r="CK560" s="11"/>
      <c r="CL560" s="11"/>
      <c r="CM560" s="11"/>
      <c r="CN560" s="11"/>
      <c r="CO560" s="11"/>
      <c r="CP560" s="11"/>
      <c r="CQ560" s="11"/>
      <c r="CR560" s="11"/>
      <c r="CS560" s="11"/>
      <c r="CT560" s="11"/>
      <c r="CU560" s="11"/>
      <c r="CV560" s="11"/>
      <c r="CW560" s="11"/>
      <c r="CX560" s="11"/>
      <c r="CY560" s="11"/>
      <c r="C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  <c r="CD561" s="11"/>
      <c r="CE561" s="11"/>
      <c r="CF561" s="11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11"/>
      <c r="CX561" s="11"/>
      <c r="CY561" s="11"/>
      <c r="C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  <c r="CD562" s="11"/>
      <c r="CE562" s="11"/>
      <c r="CF562" s="11"/>
      <c r="CG562" s="11"/>
      <c r="CH562" s="11"/>
      <c r="CI562" s="11"/>
      <c r="CJ562" s="11"/>
      <c r="CK562" s="11"/>
      <c r="CL562" s="11"/>
      <c r="CM562" s="11"/>
      <c r="CN562" s="11"/>
      <c r="CO562" s="11"/>
      <c r="CP562" s="11"/>
      <c r="CQ562" s="11"/>
      <c r="CR562" s="11"/>
      <c r="CS562" s="11"/>
      <c r="CT562" s="11"/>
      <c r="CU562" s="11"/>
      <c r="CV562" s="11"/>
      <c r="CW562" s="11"/>
      <c r="CX562" s="11"/>
      <c r="CY562" s="11"/>
      <c r="C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  <c r="CD564" s="11"/>
      <c r="CE564" s="11"/>
      <c r="CF564" s="11"/>
      <c r="CG564" s="11"/>
      <c r="CH564" s="11"/>
      <c r="CI564" s="11"/>
      <c r="CJ564" s="11"/>
      <c r="CK564" s="11"/>
      <c r="CL564" s="11"/>
      <c r="CM564" s="11"/>
      <c r="CN564" s="11"/>
      <c r="CO564" s="11"/>
      <c r="CP564" s="11"/>
      <c r="CQ564" s="11"/>
      <c r="CR564" s="11"/>
      <c r="CS564" s="11"/>
      <c r="CT564" s="11"/>
      <c r="CU564" s="11"/>
      <c r="CV564" s="11"/>
      <c r="CW564" s="11"/>
      <c r="CX564" s="11"/>
      <c r="CY564" s="11"/>
      <c r="C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  <c r="CD565" s="11"/>
      <c r="CE565" s="11"/>
      <c r="CF565" s="11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  <c r="CD566" s="11"/>
      <c r="CE566" s="11"/>
      <c r="CF566" s="11"/>
      <c r="CG566" s="11"/>
      <c r="CH566" s="11"/>
      <c r="CI566" s="11"/>
      <c r="CJ566" s="11"/>
      <c r="CK566" s="11"/>
      <c r="CL566" s="11"/>
      <c r="CM566" s="11"/>
      <c r="CN566" s="11"/>
      <c r="CO566" s="11"/>
      <c r="CP566" s="11"/>
      <c r="CQ566" s="11"/>
      <c r="CR566" s="11"/>
      <c r="CS566" s="11"/>
      <c r="CT566" s="11"/>
      <c r="CU566" s="11"/>
      <c r="CV566" s="11"/>
      <c r="CW566" s="11"/>
      <c r="CX566" s="11"/>
      <c r="CY566" s="11"/>
      <c r="C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  <c r="CD567" s="11"/>
      <c r="CE567" s="11"/>
      <c r="CF567" s="11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  <c r="CW567" s="11"/>
      <c r="CX567" s="11"/>
      <c r="CY567" s="11"/>
      <c r="C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  <c r="CD568" s="11"/>
      <c r="CE568" s="11"/>
      <c r="CF568" s="11"/>
      <c r="CG568" s="11"/>
      <c r="CH568" s="11"/>
      <c r="CI568" s="11"/>
      <c r="CJ568" s="11"/>
      <c r="CK568" s="11"/>
      <c r="CL568" s="11"/>
      <c r="CM568" s="11"/>
      <c r="CN568" s="11"/>
      <c r="CO568" s="11"/>
      <c r="CP568" s="11"/>
      <c r="CQ568" s="11"/>
      <c r="CR568" s="11"/>
      <c r="CS568" s="11"/>
      <c r="CT568" s="11"/>
      <c r="CU568" s="11"/>
      <c r="CV568" s="11"/>
      <c r="CW568" s="11"/>
      <c r="CX568" s="11"/>
      <c r="CY568" s="11"/>
      <c r="C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  <c r="CD569" s="11"/>
      <c r="CE569" s="11"/>
      <c r="CF569" s="11"/>
      <c r="CG569" s="11"/>
      <c r="CH569" s="11"/>
      <c r="CI569" s="11"/>
      <c r="CJ569" s="11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  <c r="CW569" s="11"/>
      <c r="CX569" s="11"/>
      <c r="CY569" s="11"/>
      <c r="C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  <c r="CD570" s="11"/>
      <c r="CE570" s="11"/>
      <c r="CF570" s="11"/>
      <c r="CG570" s="11"/>
      <c r="CH570" s="11"/>
      <c r="CI570" s="11"/>
      <c r="CJ570" s="11"/>
      <c r="CK570" s="11"/>
      <c r="CL570" s="11"/>
      <c r="CM570" s="11"/>
      <c r="CN570" s="11"/>
      <c r="CO570" s="11"/>
      <c r="CP570" s="11"/>
      <c r="CQ570" s="11"/>
      <c r="CR570" s="11"/>
      <c r="CS570" s="11"/>
      <c r="CT570" s="11"/>
      <c r="CU570" s="11"/>
      <c r="CV570" s="11"/>
      <c r="CW570" s="11"/>
      <c r="CX570" s="11"/>
      <c r="CY570" s="11"/>
      <c r="C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  <c r="CD571" s="11"/>
      <c r="CE571" s="11"/>
      <c r="CF571" s="11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11"/>
      <c r="CX571" s="11"/>
      <c r="CY571" s="11"/>
      <c r="C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  <c r="CD572" s="11"/>
      <c r="CE572" s="11"/>
      <c r="CF572" s="11"/>
      <c r="CG572" s="11"/>
      <c r="CH572" s="11"/>
      <c r="CI572" s="11"/>
      <c r="CJ572" s="11"/>
      <c r="CK572" s="11"/>
      <c r="CL572" s="11"/>
      <c r="CM572" s="11"/>
      <c r="CN572" s="11"/>
      <c r="CO572" s="11"/>
      <c r="CP572" s="11"/>
      <c r="CQ572" s="11"/>
      <c r="CR572" s="11"/>
      <c r="CS572" s="11"/>
      <c r="CT572" s="11"/>
      <c r="CU572" s="11"/>
      <c r="CV572" s="11"/>
      <c r="CW572" s="11"/>
      <c r="CX572" s="11"/>
      <c r="CY572" s="11"/>
      <c r="C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  <c r="CD573" s="11"/>
      <c r="CE573" s="11"/>
      <c r="CF573" s="11"/>
      <c r="CG573" s="11"/>
      <c r="CH573" s="11"/>
      <c r="CI573" s="11"/>
      <c r="CJ573" s="11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  <c r="CW573" s="11"/>
      <c r="CX573" s="11"/>
      <c r="CY573" s="11"/>
      <c r="C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  <c r="CD574" s="11"/>
      <c r="CE574" s="11"/>
      <c r="CF574" s="11"/>
      <c r="CG574" s="11"/>
      <c r="CH574" s="11"/>
      <c r="CI574" s="11"/>
      <c r="CJ574" s="11"/>
      <c r="CK574" s="11"/>
      <c r="CL574" s="11"/>
      <c r="CM574" s="11"/>
      <c r="CN574" s="11"/>
      <c r="CO574" s="11"/>
      <c r="CP574" s="11"/>
      <c r="CQ574" s="11"/>
      <c r="CR574" s="11"/>
      <c r="CS574" s="11"/>
      <c r="CT574" s="11"/>
      <c r="CU574" s="11"/>
      <c r="CV574" s="11"/>
      <c r="CW574" s="11"/>
      <c r="CX574" s="11"/>
      <c r="CY574" s="11"/>
      <c r="C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  <c r="CD575" s="11"/>
      <c r="CE575" s="11"/>
      <c r="CF575" s="11"/>
      <c r="CG575" s="11"/>
      <c r="CH575" s="11"/>
      <c r="CI575" s="11"/>
      <c r="CJ575" s="11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  <c r="CW575" s="11"/>
      <c r="CX575" s="11"/>
      <c r="CY575" s="11"/>
      <c r="C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  <c r="CD576" s="11"/>
      <c r="CE576" s="11"/>
      <c r="CF576" s="11"/>
      <c r="CG576" s="11"/>
      <c r="CH576" s="11"/>
      <c r="CI576" s="11"/>
      <c r="CJ576" s="11"/>
      <c r="CK576" s="11"/>
      <c r="CL576" s="11"/>
      <c r="CM576" s="11"/>
      <c r="CN576" s="11"/>
      <c r="CO576" s="11"/>
      <c r="CP576" s="11"/>
      <c r="CQ576" s="11"/>
      <c r="CR576" s="11"/>
      <c r="CS576" s="11"/>
      <c r="CT576" s="11"/>
      <c r="CU576" s="11"/>
      <c r="CV576" s="11"/>
      <c r="CW576" s="11"/>
      <c r="CX576" s="11"/>
      <c r="CY576" s="11"/>
      <c r="C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  <c r="CD577" s="11"/>
      <c r="CE577" s="11"/>
      <c r="CF577" s="11"/>
      <c r="CG577" s="11"/>
      <c r="CH577" s="11"/>
      <c r="CI577" s="11"/>
      <c r="CJ577" s="11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  <c r="CW577" s="11"/>
      <c r="CX577" s="11"/>
      <c r="CY577" s="11"/>
      <c r="C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  <c r="CD578" s="11"/>
      <c r="CE578" s="11"/>
      <c r="CF578" s="11"/>
      <c r="CG578" s="11"/>
      <c r="CH578" s="11"/>
      <c r="CI578" s="11"/>
      <c r="CJ578" s="11"/>
      <c r="CK578" s="11"/>
      <c r="CL578" s="11"/>
      <c r="CM578" s="11"/>
      <c r="CN578" s="11"/>
      <c r="CO578" s="11"/>
      <c r="CP578" s="11"/>
      <c r="CQ578" s="11"/>
      <c r="CR578" s="11"/>
      <c r="CS578" s="11"/>
      <c r="CT578" s="11"/>
      <c r="CU578" s="11"/>
      <c r="CV578" s="11"/>
      <c r="CW578" s="11"/>
      <c r="CX578" s="11"/>
      <c r="CY578" s="11"/>
      <c r="C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  <c r="CD579" s="11"/>
      <c r="CE579" s="11"/>
      <c r="CF579" s="11"/>
      <c r="CG579" s="11"/>
      <c r="CH579" s="11"/>
      <c r="CI579" s="11"/>
      <c r="CJ579" s="11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  <c r="CW579" s="11"/>
      <c r="CX579" s="11"/>
      <c r="CY579" s="11"/>
      <c r="C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  <c r="CD580" s="11"/>
      <c r="CE580" s="11"/>
      <c r="CF580" s="11"/>
      <c r="CG580" s="11"/>
      <c r="CH580" s="11"/>
      <c r="CI580" s="11"/>
      <c r="CJ580" s="11"/>
      <c r="CK580" s="11"/>
      <c r="CL580" s="11"/>
      <c r="CM580" s="11"/>
      <c r="CN580" s="11"/>
      <c r="CO580" s="11"/>
      <c r="CP580" s="11"/>
      <c r="CQ580" s="11"/>
      <c r="CR580" s="11"/>
      <c r="CS580" s="11"/>
      <c r="CT580" s="11"/>
      <c r="CU580" s="11"/>
      <c r="CV580" s="11"/>
      <c r="CW580" s="11"/>
      <c r="CX580" s="11"/>
      <c r="CY580" s="11"/>
      <c r="C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  <c r="CD581" s="11"/>
      <c r="CE581" s="11"/>
      <c r="CF581" s="11"/>
      <c r="CG581" s="11"/>
      <c r="CH581" s="11"/>
      <c r="CI581" s="11"/>
      <c r="CJ581" s="11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  <c r="CW581" s="11"/>
      <c r="CX581" s="11"/>
      <c r="CY581" s="11"/>
      <c r="C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  <c r="CD582" s="11"/>
      <c r="CE582" s="11"/>
      <c r="CF582" s="11"/>
      <c r="CG582" s="11"/>
      <c r="CH582" s="11"/>
      <c r="CI582" s="11"/>
      <c r="CJ582" s="11"/>
      <c r="CK582" s="11"/>
      <c r="CL582" s="11"/>
      <c r="CM582" s="11"/>
      <c r="CN582" s="11"/>
      <c r="CO582" s="11"/>
      <c r="CP582" s="11"/>
      <c r="CQ582" s="11"/>
      <c r="CR582" s="11"/>
      <c r="CS582" s="11"/>
      <c r="CT582" s="11"/>
      <c r="CU582" s="11"/>
      <c r="CV582" s="11"/>
      <c r="CW582" s="11"/>
      <c r="CX582" s="11"/>
      <c r="CY582" s="11"/>
      <c r="C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  <c r="CD583" s="11"/>
      <c r="CE583" s="11"/>
      <c r="CF583" s="11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11"/>
      <c r="CX583" s="11"/>
      <c r="CY583" s="11"/>
      <c r="C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  <c r="CD586" s="11"/>
      <c r="CE586" s="11"/>
      <c r="CF586" s="11"/>
      <c r="CG586" s="11"/>
      <c r="CH586" s="11"/>
      <c r="CI586" s="11"/>
      <c r="CJ586" s="11"/>
      <c r="CK586" s="11"/>
      <c r="CL586" s="11"/>
      <c r="CM586" s="11"/>
      <c r="CN586" s="11"/>
      <c r="CO586" s="11"/>
      <c r="CP586" s="11"/>
      <c r="CQ586" s="11"/>
      <c r="CR586" s="11"/>
      <c r="CS586" s="11"/>
      <c r="CT586" s="11"/>
      <c r="CU586" s="11"/>
      <c r="CV586" s="11"/>
      <c r="CW586" s="11"/>
      <c r="CX586" s="11"/>
      <c r="CY586" s="11"/>
      <c r="C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  <c r="CD587" s="11"/>
      <c r="CE587" s="11"/>
      <c r="CF587" s="11"/>
      <c r="CG587" s="11"/>
      <c r="CH587" s="11"/>
      <c r="CI587" s="11"/>
      <c r="CJ587" s="11"/>
      <c r="CK587" s="11"/>
      <c r="CL587" s="11"/>
      <c r="CM587" s="11"/>
      <c r="CN587" s="11"/>
      <c r="CO587" s="11"/>
      <c r="CP587" s="11"/>
      <c r="CQ587" s="11"/>
      <c r="CR587" s="11"/>
      <c r="CS587" s="11"/>
      <c r="CT587" s="11"/>
      <c r="CU587" s="11"/>
      <c r="CV587" s="11"/>
      <c r="CW587" s="11"/>
      <c r="CX587" s="11"/>
      <c r="CY587" s="11"/>
      <c r="C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  <c r="CD588" s="11"/>
      <c r="CE588" s="11"/>
      <c r="CF588" s="11"/>
      <c r="CG588" s="11"/>
      <c r="CH588" s="11"/>
      <c r="CI588" s="11"/>
      <c r="CJ588" s="11"/>
      <c r="CK588" s="11"/>
      <c r="CL588" s="11"/>
      <c r="CM588" s="11"/>
      <c r="CN588" s="11"/>
      <c r="CO588" s="11"/>
      <c r="CP588" s="11"/>
      <c r="CQ588" s="11"/>
      <c r="CR588" s="11"/>
      <c r="CS588" s="11"/>
      <c r="CT588" s="11"/>
      <c r="CU588" s="11"/>
      <c r="CV588" s="11"/>
      <c r="CW588" s="11"/>
      <c r="CX588" s="11"/>
      <c r="CY588" s="11"/>
      <c r="C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  <c r="CD589" s="11"/>
      <c r="CE589" s="11"/>
      <c r="CF589" s="11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  <c r="CD591" s="11"/>
      <c r="CE591" s="11"/>
      <c r="CF591" s="11"/>
      <c r="CG591" s="11"/>
      <c r="CH591" s="11"/>
      <c r="CI591" s="11"/>
      <c r="CJ591" s="11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  <c r="CW591" s="11"/>
      <c r="CX591" s="11"/>
      <c r="CY591" s="11"/>
      <c r="C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  <c r="CD592" s="11"/>
      <c r="CE592" s="11"/>
      <c r="CF592" s="11"/>
      <c r="CG592" s="11"/>
      <c r="CH592" s="11"/>
      <c r="CI592" s="11"/>
      <c r="CJ592" s="11"/>
      <c r="CK592" s="11"/>
      <c r="CL592" s="11"/>
      <c r="CM592" s="11"/>
      <c r="CN592" s="11"/>
      <c r="CO592" s="11"/>
      <c r="CP592" s="11"/>
      <c r="CQ592" s="11"/>
      <c r="CR592" s="11"/>
      <c r="CS592" s="11"/>
      <c r="CT592" s="11"/>
      <c r="CU592" s="11"/>
      <c r="CV592" s="11"/>
      <c r="CW592" s="11"/>
      <c r="CX592" s="11"/>
      <c r="CY592" s="11"/>
      <c r="C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  <c r="CD593" s="11"/>
      <c r="CE593" s="11"/>
      <c r="CF593" s="11"/>
      <c r="CG593" s="11"/>
      <c r="CH593" s="11"/>
      <c r="CI593" s="11"/>
      <c r="CJ593" s="11"/>
      <c r="CK593" s="11"/>
      <c r="CL593" s="11"/>
      <c r="CM593" s="11"/>
      <c r="CN593" s="11"/>
      <c r="CO593" s="11"/>
      <c r="CP593" s="11"/>
      <c r="CQ593" s="11"/>
      <c r="CR593" s="11"/>
      <c r="CS593" s="11"/>
      <c r="CT593" s="11"/>
      <c r="CU593" s="11"/>
      <c r="CV593" s="11"/>
      <c r="CW593" s="11"/>
      <c r="CX593" s="11"/>
      <c r="CY593" s="11"/>
      <c r="C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  <c r="CD594" s="11"/>
      <c r="CE594" s="11"/>
      <c r="CF594" s="11"/>
      <c r="CG594" s="11"/>
      <c r="CH594" s="11"/>
      <c r="CI594" s="11"/>
      <c r="CJ594" s="11"/>
      <c r="CK594" s="11"/>
      <c r="CL594" s="11"/>
      <c r="CM594" s="11"/>
      <c r="CN594" s="11"/>
      <c r="CO594" s="11"/>
      <c r="CP594" s="11"/>
      <c r="CQ594" s="11"/>
      <c r="CR594" s="11"/>
      <c r="CS594" s="11"/>
      <c r="CT594" s="11"/>
      <c r="CU594" s="11"/>
      <c r="CV594" s="11"/>
      <c r="CW594" s="11"/>
      <c r="CX594" s="11"/>
      <c r="CY594" s="11"/>
      <c r="C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  <c r="CD596" s="11"/>
      <c r="CE596" s="11"/>
      <c r="CF596" s="11"/>
      <c r="CG596" s="11"/>
      <c r="CH596" s="11"/>
      <c r="CI596" s="11"/>
      <c r="CJ596" s="11"/>
      <c r="CK596" s="11"/>
      <c r="CL596" s="11"/>
      <c r="CM596" s="11"/>
      <c r="CN596" s="11"/>
      <c r="CO596" s="11"/>
      <c r="CP596" s="11"/>
      <c r="CQ596" s="11"/>
      <c r="CR596" s="11"/>
      <c r="CS596" s="11"/>
      <c r="CT596" s="11"/>
      <c r="CU596" s="11"/>
      <c r="CV596" s="11"/>
      <c r="CW596" s="11"/>
      <c r="CX596" s="11"/>
      <c r="CY596" s="11"/>
      <c r="C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  <c r="CD597" s="11"/>
      <c r="CE597" s="11"/>
      <c r="CF597" s="11"/>
      <c r="CG597" s="11"/>
      <c r="CH597" s="11"/>
      <c r="CI597" s="11"/>
      <c r="CJ597" s="11"/>
      <c r="CK597" s="11"/>
      <c r="CL597" s="11"/>
      <c r="CM597" s="11"/>
      <c r="CN597" s="11"/>
      <c r="CO597" s="11"/>
      <c r="CP597" s="11"/>
      <c r="CQ597" s="11"/>
      <c r="CR597" s="11"/>
      <c r="CS597" s="11"/>
      <c r="CT597" s="11"/>
      <c r="CU597" s="11"/>
      <c r="CV597" s="11"/>
      <c r="CW597" s="11"/>
      <c r="CX597" s="11"/>
      <c r="CY597" s="11"/>
      <c r="C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/>
      <c r="CG598" s="11"/>
      <c r="CH598" s="11"/>
      <c r="CI598" s="11"/>
      <c r="CJ598" s="11"/>
      <c r="CK598" s="11"/>
      <c r="CL598" s="11"/>
      <c r="CM598" s="11"/>
      <c r="CN598" s="11"/>
      <c r="CO598" s="11"/>
      <c r="CP598" s="11"/>
      <c r="CQ598" s="11"/>
      <c r="CR598" s="11"/>
      <c r="CS598" s="11"/>
      <c r="CT598" s="11"/>
      <c r="CU598" s="11"/>
      <c r="CV598" s="11"/>
      <c r="CW598" s="11"/>
      <c r="CX598" s="11"/>
      <c r="CY598" s="11"/>
      <c r="C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  <c r="CD599" s="11"/>
      <c r="CE599" s="11"/>
      <c r="CF599" s="11"/>
      <c r="CG599" s="11"/>
      <c r="CH599" s="11"/>
      <c r="CI599" s="11"/>
      <c r="CJ599" s="11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  <c r="CD600" s="11"/>
      <c r="CE600" s="11"/>
      <c r="CF600" s="11"/>
      <c r="CG600" s="11"/>
      <c r="CH600" s="11"/>
      <c r="CI600" s="11"/>
      <c r="CJ600" s="11"/>
      <c r="CK600" s="11"/>
      <c r="CL600" s="11"/>
      <c r="CM600" s="11"/>
      <c r="CN600" s="11"/>
      <c r="CO600" s="11"/>
      <c r="CP600" s="11"/>
      <c r="CQ600" s="11"/>
      <c r="CR600" s="11"/>
      <c r="CS600" s="11"/>
      <c r="CT600" s="11"/>
      <c r="CU600" s="11"/>
      <c r="CV600" s="11"/>
      <c r="CW600" s="11"/>
      <c r="CX600" s="11"/>
      <c r="CY600" s="11"/>
      <c r="C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  <c r="CD601" s="11"/>
      <c r="CE601" s="11"/>
      <c r="CF601" s="11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11"/>
      <c r="CX601" s="11"/>
      <c r="CY601" s="11"/>
      <c r="C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  <c r="CD602" s="11"/>
      <c r="CE602" s="11"/>
      <c r="CF602" s="11"/>
      <c r="CG602" s="11"/>
      <c r="CH602" s="11"/>
      <c r="CI602" s="11"/>
      <c r="CJ602" s="11"/>
      <c r="CK602" s="11"/>
      <c r="CL602" s="11"/>
      <c r="CM602" s="11"/>
      <c r="CN602" s="11"/>
      <c r="CO602" s="11"/>
      <c r="CP602" s="11"/>
      <c r="CQ602" s="11"/>
      <c r="CR602" s="11"/>
      <c r="CS602" s="11"/>
      <c r="CT602" s="11"/>
      <c r="CU602" s="11"/>
      <c r="CV602" s="11"/>
      <c r="CW602" s="11"/>
      <c r="CX602" s="11"/>
      <c r="CY602" s="11"/>
      <c r="C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  <c r="CD603" s="11"/>
      <c r="CE603" s="11"/>
      <c r="CF603" s="11"/>
      <c r="CG603" s="11"/>
      <c r="CH603" s="11"/>
      <c r="CI603" s="11"/>
      <c r="CJ603" s="11"/>
      <c r="CK603" s="11"/>
      <c r="CL603" s="11"/>
      <c r="CM603" s="11"/>
      <c r="CN603" s="11"/>
      <c r="CO603" s="11"/>
      <c r="CP603" s="11"/>
      <c r="CQ603" s="11"/>
      <c r="CR603" s="11"/>
      <c r="CS603" s="11"/>
      <c r="CT603" s="11"/>
      <c r="CU603" s="11"/>
      <c r="CV603" s="11"/>
      <c r="CW603" s="11"/>
      <c r="CX603" s="11"/>
      <c r="CY603" s="11"/>
      <c r="C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  <c r="CD604" s="11"/>
      <c r="CE604" s="11"/>
      <c r="CF604" s="11"/>
      <c r="CG604" s="11"/>
      <c r="CH604" s="11"/>
      <c r="CI604" s="11"/>
      <c r="CJ604" s="11"/>
      <c r="CK604" s="11"/>
      <c r="CL604" s="11"/>
      <c r="CM604" s="11"/>
      <c r="CN604" s="11"/>
      <c r="CO604" s="11"/>
      <c r="CP604" s="11"/>
      <c r="CQ604" s="11"/>
      <c r="CR604" s="11"/>
      <c r="CS604" s="11"/>
      <c r="CT604" s="11"/>
      <c r="CU604" s="11"/>
      <c r="CV604" s="11"/>
      <c r="CW604" s="11"/>
      <c r="CX604" s="11"/>
      <c r="CY604" s="11"/>
      <c r="C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  <c r="CD605" s="11"/>
      <c r="CE605" s="11"/>
      <c r="CF605" s="11"/>
      <c r="CG605" s="11"/>
      <c r="CH605" s="11"/>
      <c r="CI605" s="11"/>
      <c r="CJ605" s="11"/>
      <c r="CK605" s="11"/>
      <c r="CL605" s="11"/>
      <c r="CM605" s="11"/>
      <c r="CN605" s="11"/>
      <c r="CO605" s="11"/>
      <c r="CP605" s="11"/>
      <c r="CQ605" s="11"/>
      <c r="CR605" s="11"/>
      <c r="CS605" s="11"/>
      <c r="CT605" s="11"/>
      <c r="CU605" s="11"/>
      <c r="CV605" s="11"/>
      <c r="CW605" s="11"/>
      <c r="CX605" s="11"/>
      <c r="CY605" s="11"/>
      <c r="C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  <c r="CD606" s="11"/>
      <c r="CE606" s="11"/>
      <c r="CF606" s="11"/>
      <c r="CG606" s="11"/>
      <c r="CH606" s="11"/>
      <c r="CI606" s="11"/>
      <c r="CJ606" s="11"/>
      <c r="CK606" s="11"/>
      <c r="CL606" s="11"/>
      <c r="CM606" s="11"/>
      <c r="CN606" s="11"/>
      <c r="CO606" s="11"/>
      <c r="CP606" s="11"/>
      <c r="CQ606" s="11"/>
      <c r="CR606" s="11"/>
      <c r="CS606" s="11"/>
      <c r="CT606" s="11"/>
      <c r="CU606" s="11"/>
      <c r="CV606" s="11"/>
      <c r="CW606" s="11"/>
      <c r="CX606" s="11"/>
      <c r="CY606" s="11"/>
      <c r="C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  <c r="CD607" s="11"/>
      <c r="CE607" s="11"/>
      <c r="CF607" s="11"/>
      <c r="CG607" s="11"/>
      <c r="CH607" s="11"/>
      <c r="CI607" s="11"/>
      <c r="CJ607" s="11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  <c r="CU607" s="11"/>
      <c r="CV607" s="11"/>
      <c r="CW607" s="11"/>
      <c r="CX607" s="11"/>
      <c r="CY607" s="11"/>
      <c r="C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  <c r="CD608" s="11"/>
      <c r="CE608" s="11"/>
      <c r="CF608" s="11"/>
      <c r="CG608" s="11"/>
      <c r="CH608" s="11"/>
      <c r="CI608" s="11"/>
      <c r="CJ608" s="11"/>
      <c r="CK608" s="11"/>
      <c r="CL608" s="11"/>
      <c r="CM608" s="11"/>
      <c r="CN608" s="11"/>
      <c r="CO608" s="11"/>
      <c r="CP608" s="11"/>
      <c r="CQ608" s="11"/>
      <c r="CR608" s="11"/>
      <c r="CS608" s="11"/>
      <c r="CT608" s="11"/>
      <c r="CU608" s="11"/>
      <c r="CV608" s="11"/>
      <c r="CW608" s="11"/>
      <c r="CX608" s="11"/>
      <c r="CY608" s="11"/>
      <c r="C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  <c r="CW609" s="11"/>
      <c r="CX609" s="11"/>
      <c r="CY609" s="11"/>
      <c r="C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  <c r="CD610" s="11"/>
      <c r="CE610" s="11"/>
      <c r="CF610" s="11"/>
      <c r="CG610" s="11"/>
      <c r="CH610" s="11"/>
      <c r="CI610" s="11"/>
      <c r="CJ610" s="11"/>
      <c r="CK610" s="11"/>
      <c r="CL610" s="11"/>
      <c r="CM610" s="11"/>
      <c r="CN610" s="11"/>
      <c r="CO610" s="11"/>
      <c r="CP610" s="11"/>
      <c r="CQ610" s="11"/>
      <c r="CR610" s="11"/>
      <c r="CS610" s="11"/>
      <c r="CT610" s="11"/>
      <c r="CU610" s="11"/>
      <c r="CV610" s="11"/>
      <c r="CW610" s="11"/>
      <c r="CX610" s="11"/>
      <c r="CY610" s="11"/>
      <c r="C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  <c r="CD611" s="11"/>
      <c r="CE611" s="11"/>
      <c r="CF611" s="11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  <c r="CW611" s="11"/>
      <c r="CX611" s="11"/>
      <c r="CY611" s="11"/>
      <c r="C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  <c r="CD612" s="11"/>
      <c r="CE612" s="11"/>
      <c r="CF612" s="11"/>
      <c r="CG612" s="11"/>
      <c r="CH612" s="11"/>
      <c r="CI612" s="11"/>
      <c r="CJ612" s="11"/>
      <c r="CK612" s="11"/>
      <c r="CL612" s="11"/>
      <c r="CM612" s="11"/>
      <c r="CN612" s="11"/>
      <c r="CO612" s="11"/>
      <c r="CP612" s="11"/>
      <c r="CQ612" s="11"/>
      <c r="CR612" s="11"/>
      <c r="CS612" s="11"/>
      <c r="CT612" s="11"/>
      <c r="CU612" s="11"/>
      <c r="CV612" s="11"/>
      <c r="CW612" s="11"/>
      <c r="CX612" s="11"/>
      <c r="CY612" s="11"/>
      <c r="C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  <c r="CD614" s="11"/>
      <c r="CE614" s="11"/>
      <c r="CF614" s="11"/>
      <c r="CG614" s="11"/>
      <c r="CH614" s="11"/>
      <c r="CI614" s="11"/>
      <c r="CJ614" s="11"/>
      <c r="CK614" s="11"/>
      <c r="CL614" s="11"/>
      <c r="CM614" s="11"/>
      <c r="CN614" s="11"/>
      <c r="CO614" s="11"/>
      <c r="CP614" s="11"/>
      <c r="CQ614" s="11"/>
      <c r="CR614" s="11"/>
      <c r="CS614" s="11"/>
      <c r="CT614" s="11"/>
      <c r="CU614" s="11"/>
      <c r="CV614" s="11"/>
      <c r="CW614" s="11"/>
      <c r="CX614" s="11"/>
      <c r="CY614" s="11"/>
      <c r="C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  <c r="CD615" s="11"/>
      <c r="CE615" s="11"/>
      <c r="CF615" s="11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CX615" s="11"/>
      <c r="CY615" s="11"/>
      <c r="C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  <c r="CD616" s="11"/>
      <c r="CE616" s="11"/>
      <c r="CF616" s="11"/>
      <c r="CG616" s="11"/>
      <c r="CH616" s="11"/>
      <c r="CI616" s="11"/>
      <c r="CJ616" s="11"/>
      <c r="CK616" s="11"/>
      <c r="CL616" s="11"/>
      <c r="CM616" s="11"/>
      <c r="CN616" s="11"/>
      <c r="CO616" s="11"/>
      <c r="CP616" s="11"/>
      <c r="CQ616" s="11"/>
      <c r="CR616" s="11"/>
      <c r="CS616" s="11"/>
      <c r="CT616" s="11"/>
      <c r="CU616" s="11"/>
      <c r="CV616" s="11"/>
      <c r="CW616" s="11"/>
      <c r="CX616" s="11"/>
      <c r="CY616" s="11"/>
      <c r="C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  <c r="CD617" s="11"/>
      <c r="CE617" s="11"/>
      <c r="CF617" s="11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C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/>
      <c r="CG618" s="11"/>
      <c r="CH618" s="11"/>
      <c r="CI618" s="11"/>
      <c r="CJ618" s="11"/>
      <c r="CK618" s="11"/>
      <c r="CL618" s="11"/>
      <c r="CM618" s="11"/>
      <c r="CN618" s="11"/>
      <c r="CO618" s="11"/>
      <c r="CP618" s="11"/>
      <c r="CQ618" s="11"/>
      <c r="CR618" s="11"/>
      <c r="CS618" s="11"/>
      <c r="CT618" s="11"/>
      <c r="CU618" s="11"/>
      <c r="CV618" s="11"/>
      <c r="CW618" s="11"/>
      <c r="CX618" s="11"/>
      <c r="CY618" s="11"/>
      <c r="C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  <c r="CH620" s="11"/>
      <c r="CI620" s="11"/>
      <c r="CJ620" s="11"/>
      <c r="CK620" s="11"/>
      <c r="CL620" s="11"/>
      <c r="CM620" s="11"/>
      <c r="CN620" s="11"/>
      <c r="CO620" s="11"/>
      <c r="CP620" s="11"/>
      <c r="CQ620" s="11"/>
      <c r="CR620" s="11"/>
      <c r="CS620" s="11"/>
      <c r="CT620" s="11"/>
      <c r="CU620" s="11"/>
      <c r="CV620" s="11"/>
      <c r="CW620" s="11"/>
      <c r="CX620" s="11"/>
      <c r="CY620" s="11"/>
      <c r="C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  <c r="CD621" s="11"/>
      <c r="CE621" s="11"/>
      <c r="CF621" s="11"/>
      <c r="CG621" s="11"/>
      <c r="CH621" s="11"/>
      <c r="CI621" s="11"/>
      <c r="CJ621" s="11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  <c r="CW621" s="11"/>
      <c r="CX621" s="11"/>
      <c r="CY621" s="11"/>
      <c r="C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  <c r="CD622" s="11"/>
      <c r="CE622" s="11"/>
      <c r="CF622" s="11"/>
      <c r="CG622" s="11"/>
      <c r="CH622" s="11"/>
      <c r="CI622" s="11"/>
      <c r="CJ622" s="11"/>
      <c r="CK622" s="11"/>
      <c r="CL622" s="11"/>
      <c r="CM622" s="11"/>
      <c r="CN622" s="11"/>
      <c r="CO622" s="11"/>
      <c r="CP622" s="11"/>
      <c r="CQ622" s="11"/>
      <c r="CR622" s="11"/>
      <c r="CS622" s="11"/>
      <c r="CT622" s="11"/>
      <c r="CU622" s="11"/>
      <c r="CV622" s="11"/>
      <c r="CW622" s="11"/>
      <c r="CX622" s="11"/>
      <c r="CY622" s="11"/>
      <c r="C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  <c r="CD623" s="11"/>
      <c r="CE623" s="11"/>
      <c r="CF623" s="11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11"/>
      <c r="CX623" s="11"/>
      <c r="CY623" s="11"/>
      <c r="C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  <c r="CD626" s="11"/>
      <c r="CE626" s="11"/>
      <c r="CF626" s="11"/>
      <c r="CG626" s="11"/>
      <c r="CH626" s="11"/>
      <c r="CI626" s="11"/>
      <c r="CJ626" s="11"/>
      <c r="CK626" s="11"/>
      <c r="CL626" s="11"/>
      <c r="CM626" s="11"/>
      <c r="CN626" s="11"/>
      <c r="CO626" s="11"/>
      <c r="CP626" s="11"/>
      <c r="CQ626" s="11"/>
      <c r="CR626" s="11"/>
      <c r="CS626" s="11"/>
      <c r="CT626" s="11"/>
      <c r="CU626" s="11"/>
      <c r="CV626" s="11"/>
      <c r="CW626" s="11"/>
      <c r="CX626" s="11"/>
      <c r="CY626" s="11"/>
      <c r="C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  <c r="CD627" s="11"/>
      <c r="CE627" s="11"/>
      <c r="CF627" s="11"/>
      <c r="CG627" s="11"/>
      <c r="CH627" s="11"/>
      <c r="CI627" s="11"/>
      <c r="CJ627" s="11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  <c r="CW627" s="11"/>
      <c r="CX627" s="11"/>
      <c r="CY627" s="11"/>
      <c r="C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  <c r="CD628" s="11"/>
      <c r="CE628" s="11"/>
      <c r="CF628" s="11"/>
      <c r="CG628" s="11"/>
      <c r="CH628" s="11"/>
      <c r="CI628" s="11"/>
      <c r="CJ628" s="11"/>
      <c r="CK628" s="11"/>
      <c r="CL628" s="11"/>
      <c r="CM628" s="11"/>
      <c r="CN628" s="11"/>
      <c r="CO628" s="11"/>
      <c r="CP628" s="11"/>
      <c r="CQ628" s="11"/>
      <c r="CR628" s="11"/>
      <c r="CS628" s="11"/>
      <c r="CT628" s="11"/>
      <c r="CU628" s="11"/>
      <c r="CV628" s="11"/>
      <c r="CW628" s="11"/>
      <c r="CX628" s="11"/>
      <c r="CY628" s="11"/>
      <c r="C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  <c r="CD629" s="11"/>
      <c r="CE629" s="11"/>
      <c r="CF629" s="11"/>
      <c r="CG629" s="11"/>
      <c r="CH629" s="11"/>
      <c r="CI629" s="11"/>
      <c r="CJ629" s="11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  <c r="CW629" s="11"/>
      <c r="CX629" s="11"/>
      <c r="CY629" s="11"/>
      <c r="C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  <c r="CD631" s="11"/>
      <c r="CE631" s="11"/>
      <c r="CF631" s="11"/>
      <c r="CG631" s="11"/>
      <c r="CH631" s="11"/>
      <c r="CI631" s="11"/>
      <c r="CJ631" s="11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  <c r="CW631" s="11"/>
      <c r="CX631" s="11"/>
      <c r="CY631" s="11"/>
      <c r="C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  <c r="CD632" s="11"/>
      <c r="CE632" s="11"/>
      <c r="CF632" s="11"/>
      <c r="CG632" s="11"/>
      <c r="CH632" s="11"/>
      <c r="CI632" s="11"/>
      <c r="CJ632" s="11"/>
      <c r="CK632" s="11"/>
      <c r="CL632" s="11"/>
      <c r="CM632" s="11"/>
      <c r="CN632" s="11"/>
      <c r="CO632" s="11"/>
      <c r="CP632" s="11"/>
      <c r="CQ632" s="11"/>
      <c r="CR632" s="11"/>
      <c r="CS632" s="11"/>
      <c r="CT632" s="11"/>
      <c r="CU632" s="11"/>
      <c r="CV632" s="11"/>
      <c r="CW632" s="11"/>
      <c r="CX632" s="11"/>
      <c r="CY632" s="11"/>
      <c r="C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  <c r="CD634" s="11"/>
      <c r="CE634" s="11"/>
      <c r="CF634" s="11"/>
      <c r="CG634" s="11"/>
      <c r="CH634" s="11"/>
      <c r="CI634" s="11"/>
      <c r="CJ634" s="11"/>
      <c r="CK634" s="11"/>
      <c r="CL634" s="11"/>
      <c r="CM634" s="11"/>
      <c r="CN634" s="11"/>
      <c r="CO634" s="11"/>
      <c r="CP634" s="11"/>
      <c r="CQ634" s="11"/>
      <c r="CR634" s="11"/>
      <c r="CS634" s="11"/>
      <c r="CT634" s="11"/>
      <c r="CU634" s="11"/>
      <c r="CV634" s="11"/>
      <c r="CW634" s="11"/>
      <c r="CX634" s="11"/>
      <c r="CY634" s="11"/>
      <c r="C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  <c r="CD635" s="11"/>
      <c r="CE635" s="11"/>
      <c r="CF635" s="11"/>
      <c r="CG635" s="11"/>
      <c r="CH635" s="11"/>
      <c r="CI635" s="11"/>
      <c r="CJ635" s="11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  <c r="CW635" s="11"/>
      <c r="CX635" s="11"/>
      <c r="CY635" s="11"/>
      <c r="C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  <c r="CD636" s="11"/>
      <c r="CE636" s="11"/>
      <c r="CF636" s="11"/>
      <c r="CG636" s="11"/>
      <c r="CH636" s="11"/>
      <c r="CI636" s="11"/>
      <c r="CJ636" s="11"/>
      <c r="CK636" s="11"/>
      <c r="CL636" s="11"/>
      <c r="CM636" s="11"/>
      <c r="CN636" s="11"/>
      <c r="CO636" s="11"/>
      <c r="CP636" s="11"/>
      <c r="CQ636" s="11"/>
      <c r="CR636" s="11"/>
      <c r="CS636" s="11"/>
      <c r="CT636" s="11"/>
      <c r="CU636" s="11"/>
      <c r="CV636" s="11"/>
      <c r="CW636" s="11"/>
      <c r="CX636" s="11"/>
      <c r="CY636" s="11"/>
      <c r="C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  <c r="CD637" s="11"/>
      <c r="CE637" s="11"/>
      <c r="CF637" s="11"/>
      <c r="CG637" s="11"/>
      <c r="CH637" s="11"/>
      <c r="CI637" s="11"/>
      <c r="CJ637" s="11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  <c r="CW637" s="11"/>
      <c r="CX637" s="11"/>
      <c r="CY637" s="11"/>
      <c r="C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11"/>
      <c r="CD638" s="11"/>
      <c r="CE638" s="11"/>
      <c r="CF638" s="11"/>
      <c r="CG638" s="11"/>
      <c r="CH638" s="11"/>
      <c r="CI638" s="11"/>
      <c r="CJ638" s="11"/>
      <c r="CK638" s="11"/>
      <c r="CL638" s="11"/>
      <c r="CM638" s="11"/>
      <c r="CN638" s="11"/>
      <c r="CO638" s="11"/>
      <c r="CP638" s="11"/>
      <c r="CQ638" s="11"/>
      <c r="CR638" s="11"/>
      <c r="CS638" s="11"/>
      <c r="CT638" s="11"/>
      <c r="CU638" s="11"/>
      <c r="CV638" s="11"/>
      <c r="CW638" s="11"/>
      <c r="CX638" s="11"/>
      <c r="CY638" s="11"/>
      <c r="C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  <c r="CD639" s="11"/>
      <c r="CE639" s="11"/>
      <c r="CF639" s="11"/>
      <c r="CG639" s="11"/>
      <c r="CH639" s="11"/>
      <c r="CI639" s="11"/>
      <c r="CJ639" s="11"/>
      <c r="CK639" s="11"/>
      <c r="CL639" s="11"/>
      <c r="CM639" s="11"/>
      <c r="CN639" s="11"/>
      <c r="CO639" s="11"/>
      <c r="CP639" s="11"/>
      <c r="CQ639" s="11"/>
      <c r="CR639" s="11"/>
      <c r="CS639" s="11"/>
      <c r="CT639" s="11"/>
      <c r="CU639" s="11"/>
      <c r="CV639" s="11"/>
      <c r="CW639" s="11"/>
      <c r="CX639" s="11"/>
      <c r="CY639" s="11"/>
      <c r="C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  <c r="CD640" s="11"/>
      <c r="CE640" s="11"/>
      <c r="CF640" s="11"/>
      <c r="CG640" s="11"/>
      <c r="CH640" s="11"/>
      <c r="CI640" s="11"/>
      <c r="CJ640" s="11"/>
      <c r="CK640" s="11"/>
      <c r="CL640" s="11"/>
      <c r="CM640" s="11"/>
      <c r="CN640" s="11"/>
      <c r="CO640" s="11"/>
      <c r="CP640" s="11"/>
      <c r="CQ640" s="11"/>
      <c r="CR640" s="11"/>
      <c r="CS640" s="11"/>
      <c r="CT640" s="11"/>
      <c r="CU640" s="11"/>
      <c r="CV640" s="11"/>
      <c r="CW640" s="11"/>
      <c r="CX640" s="11"/>
      <c r="CY640" s="11"/>
      <c r="C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  <c r="CD641" s="11"/>
      <c r="CE641" s="11"/>
      <c r="CF641" s="11"/>
      <c r="CG641" s="11"/>
      <c r="CH641" s="11"/>
      <c r="CI641" s="11"/>
      <c r="CJ641" s="11"/>
      <c r="CK641" s="11"/>
      <c r="CL641" s="11"/>
      <c r="CM641" s="11"/>
      <c r="CN641" s="11"/>
      <c r="CO641" s="11"/>
      <c r="CP641" s="11"/>
      <c r="CQ641" s="11"/>
      <c r="CR641" s="11"/>
      <c r="CS641" s="11"/>
      <c r="CT641" s="11"/>
      <c r="CU641" s="11"/>
      <c r="CV641" s="11"/>
      <c r="CW641" s="11"/>
      <c r="CX641" s="11"/>
      <c r="CY641" s="11"/>
      <c r="C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  <c r="CD642" s="11"/>
      <c r="CE642" s="11"/>
      <c r="CF642" s="11"/>
      <c r="CG642" s="11"/>
      <c r="CH642" s="11"/>
      <c r="CI642" s="11"/>
      <c r="CJ642" s="11"/>
      <c r="CK642" s="11"/>
      <c r="CL642" s="11"/>
      <c r="CM642" s="11"/>
      <c r="CN642" s="11"/>
      <c r="CO642" s="11"/>
      <c r="CP642" s="11"/>
      <c r="CQ642" s="11"/>
      <c r="CR642" s="11"/>
      <c r="CS642" s="11"/>
      <c r="CT642" s="11"/>
      <c r="CU642" s="11"/>
      <c r="CV642" s="11"/>
      <c r="CW642" s="11"/>
      <c r="CX642" s="11"/>
      <c r="CY642" s="11"/>
      <c r="C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1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11"/>
      <c r="CX643" s="11"/>
      <c r="CY643" s="11"/>
      <c r="C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  <c r="CD644" s="11"/>
      <c r="CE644" s="11"/>
      <c r="CF644" s="11"/>
      <c r="CG644" s="11"/>
      <c r="CH644" s="11"/>
      <c r="CI644" s="11"/>
      <c r="CJ644" s="11"/>
      <c r="CK644" s="11"/>
      <c r="CL644" s="11"/>
      <c r="CM644" s="11"/>
      <c r="CN644" s="11"/>
      <c r="CO644" s="11"/>
      <c r="CP644" s="11"/>
      <c r="CQ644" s="11"/>
      <c r="CR644" s="11"/>
      <c r="CS644" s="11"/>
      <c r="CT644" s="11"/>
      <c r="CU644" s="11"/>
      <c r="CV644" s="11"/>
      <c r="CW644" s="11"/>
      <c r="CX644" s="11"/>
      <c r="CY644" s="11"/>
      <c r="C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  <c r="CD645" s="11"/>
      <c r="CE645" s="11"/>
      <c r="CF645" s="11"/>
      <c r="CG645" s="11"/>
      <c r="CH645" s="11"/>
      <c r="CI645" s="11"/>
      <c r="CJ645" s="11"/>
      <c r="CK645" s="11"/>
      <c r="CL645" s="11"/>
      <c r="CM645" s="11"/>
      <c r="CN645" s="11"/>
      <c r="CO645" s="11"/>
      <c r="CP645" s="11"/>
      <c r="CQ645" s="11"/>
      <c r="CR645" s="11"/>
      <c r="CS645" s="11"/>
      <c r="CT645" s="11"/>
      <c r="CU645" s="11"/>
      <c r="CV645" s="11"/>
      <c r="CW645" s="11"/>
      <c r="CX645" s="11"/>
      <c r="CY645" s="11"/>
      <c r="C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  <c r="CD646" s="11"/>
      <c r="CE646" s="11"/>
      <c r="CF646" s="11"/>
      <c r="CG646" s="11"/>
      <c r="CH646" s="11"/>
      <c r="CI646" s="11"/>
      <c r="CJ646" s="11"/>
      <c r="CK646" s="11"/>
      <c r="CL646" s="11"/>
      <c r="CM646" s="11"/>
      <c r="CN646" s="11"/>
      <c r="CO646" s="11"/>
      <c r="CP646" s="11"/>
      <c r="CQ646" s="11"/>
      <c r="CR646" s="11"/>
      <c r="CS646" s="11"/>
      <c r="CT646" s="11"/>
      <c r="CU646" s="11"/>
      <c r="CV646" s="11"/>
      <c r="CW646" s="11"/>
      <c r="CX646" s="11"/>
      <c r="CY646" s="11"/>
      <c r="C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  <c r="CD647" s="11"/>
      <c r="CE647" s="11"/>
      <c r="CF647" s="11"/>
      <c r="CG647" s="11"/>
      <c r="CH647" s="11"/>
      <c r="CI647" s="11"/>
      <c r="CJ647" s="11"/>
      <c r="CK647" s="11"/>
      <c r="CL647" s="11"/>
      <c r="CM647" s="11"/>
      <c r="CN647" s="11"/>
      <c r="CO647" s="11"/>
      <c r="CP647" s="11"/>
      <c r="CQ647" s="11"/>
      <c r="CR647" s="11"/>
      <c r="CS647" s="11"/>
      <c r="CT647" s="11"/>
      <c r="CU647" s="11"/>
      <c r="CV647" s="11"/>
      <c r="CW647" s="11"/>
      <c r="CX647" s="11"/>
      <c r="CY647" s="11"/>
      <c r="C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1"/>
      <c r="CG648" s="11"/>
      <c r="CH648" s="11"/>
      <c r="CI648" s="11"/>
      <c r="CJ648" s="11"/>
      <c r="CK648" s="11"/>
      <c r="CL648" s="11"/>
      <c r="CM648" s="11"/>
      <c r="CN648" s="11"/>
      <c r="CO648" s="11"/>
      <c r="CP648" s="11"/>
      <c r="CQ648" s="11"/>
      <c r="CR648" s="11"/>
      <c r="CS648" s="11"/>
      <c r="CT648" s="11"/>
      <c r="CU648" s="11"/>
      <c r="CV648" s="11"/>
      <c r="CW648" s="11"/>
      <c r="CX648" s="11"/>
      <c r="CY648" s="11"/>
      <c r="C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  <c r="CD649" s="11"/>
      <c r="CE649" s="11"/>
      <c r="CF649" s="11"/>
      <c r="CG649" s="11"/>
      <c r="CH649" s="11"/>
      <c r="CI649" s="11"/>
      <c r="CJ649" s="11"/>
      <c r="CK649" s="11"/>
      <c r="CL649" s="11"/>
      <c r="CM649" s="11"/>
      <c r="CN649" s="11"/>
      <c r="CO649" s="11"/>
      <c r="CP649" s="11"/>
      <c r="CQ649" s="11"/>
      <c r="CR649" s="11"/>
      <c r="CS649" s="11"/>
      <c r="CT649" s="11"/>
      <c r="CU649" s="11"/>
      <c r="CV649" s="11"/>
      <c r="CW649" s="11"/>
      <c r="CX649" s="11"/>
      <c r="CY649" s="11"/>
      <c r="C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  <c r="CD650" s="11"/>
      <c r="CE650" s="11"/>
      <c r="CF650" s="11"/>
      <c r="CG650" s="11"/>
      <c r="CH650" s="11"/>
      <c r="CI650" s="11"/>
      <c r="CJ650" s="11"/>
      <c r="CK650" s="11"/>
      <c r="CL650" s="11"/>
      <c r="CM650" s="11"/>
      <c r="CN650" s="11"/>
      <c r="CO650" s="11"/>
      <c r="CP650" s="11"/>
      <c r="CQ650" s="11"/>
      <c r="CR650" s="11"/>
      <c r="CS650" s="11"/>
      <c r="CT650" s="11"/>
      <c r="CU650" s="11"/>
      <c r="CV650" s="11"/>
      <c r="CW650" s="11"/>
      <c r="CX650" s="11"/>
      <c r="CY650" s="11"/>
      <c r="C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  <c r="CD651" s="11"/>
      <c r="CE651" s="11"/>
      <c r="CF651" s="11"/>
      <c r="CG651" s="11"/>
      <c r="CH651" s="11"/>
      <c r="CI651" s="11"/>
      <c r="CJ651" s="11"/>
      <c r="CK651" s="11"/>
      <c r="CL651" s="11"/>
      <c r="CM651" s="11"/>
      <c r="CN651" s="11"/>
      <c r="CO651" s="11"/>
      <c r="CP651" s="11"/>
      <c r="CQ651" s="11"/>
      <c r="CR651" s="11"/>
      <c r="CS651" s="11"/>
      <c r="CT651" s="11"/>
      <c r="CU651" s="11"/>
      <c r="CV651" s="11"/>
      <c r="CW651" s="11"/>
      <c r="CX651" s="11"/>
      <c r="CY651" s="11"/>
      <c r="C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11"/>
      <c r="CD652" s="11"/>
      <c r="CE652" s="11"/>
      <c r="CF652" s="11"/>
      <c r="CG652" s="11"/>
      <c r="CH652" s="11"/>
      <c r="CI652" s="11"/>
      <c r="CJ652" s="11"/>
      <c r="CK652" s="11"/>
      <c r="CL652" s="11"/>
      <c r="CM652" s="11"/>
      <c r="CN652" s="11"/>
      <c r="CO652" s="11"/>
      <c r="CP652" s="11"/>
      <c r="CQ652" s="11"/>
      <c r="CR652" s="11"/>
      <c r="CS652" s="11"/>
      <c r="CT652" s="11"/>
      <c r="CU652" s="11"/>
      <c r="CV652" s="11"/>
      <c r="CW652" s="11"/>
      <c r="CX652" s="11"/>
      <c r="CY652" s="11"/>
      <c r="C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  <c r="CD653" s="11"/>
      <c r="CE653" s="11"/>
      <c r="CF653" s="11"/>
      <c r="CG653" s="11"/>
      <c r="CH653" s="11"/>
      <c r="CI653" s="11"/>
      <c r="CJ653" s="11"/>
      <c r="CK653" s="11"/>
      <c r="CL653" s="11"/>
      <c r="CM653" s="11"/>
      <c r="CN653" s="11"/>
      <c r="CO653" s="11"/>
      <c r="CP653" s="11"/>
      <c r="CQ653" s="11"/>
      <c r="CR653" s="11"/>
      <c r="CS653" s="11"/>
      <c r="CT653" s="11"/>
      <c r="CU653" s="11"/>
      <c r="CV653" s="11"/>
      <c r="CW653" s="11"/>
      <c r="CX653" s="11"/>
      <c r="CY653" s="11"/>
      <c r="C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  <c r="CD654" s="11"/>
      <c r="CE654" s="11"/>
      <c r="CF654" s="11"/>
      <c r="CG654" s="11"/>
      <c r="CH654" s="11"/>
      <c r="CI654" s="11"/>
      <c r="CJ654" s="11"/>
      <c r="CK654" s="11"/>
      <c r="CL654" s="11"/>
      <c r="CM654" s="11"/>
      <c r="CN654" s="11"/>
      <c r="CO654" s="11"/>
      <c r="CP654" s="11"/>
      <c r="CQ654" s="11"/>
      <c r="CR654" s="11"/>
      <c r="CS654" s="11"/>
      <c r="CT654" s="11"/>
      <c r="CU654" s="11"/>
      <c r="CV654" s="11"/>
      <c r="CW654" s="11"/>
      <c r="CX654" s="11"/>
      <c r="CY654" s="11"/>
      <c r="C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  <c r="CD655" s="11"/>
      <c r="CE655" s="11"/>
      <c r="CF655" s="11"/>
      <c r="CG655" s="11"/>
      <c r="CH655" s="11"/>
      <c r="CI655" s="11"/>
      <c r="CJ655" s="11"/>
      <c r="CK655" s="11"/>
      <c r="CL655" s="11"/>
      <c r="CM655" s="11"/>
      <c r="CN655" s="11"/>
      <c r="CO655" s="11"/>
      <c r="CP655" s="11"/>
      <c r="CQ655" s="11"/>
      <c r="CR655" s="11"/>
      <c r="CS655" s="11"/>
      <c r="CT655" s="11"/>
      <c r="CU655" s="11"/>
      <c r="CV655" s="11"/>
      <c r="CW655" s="11"/>
      <c r="CX655" s="11"/>
      <c r="CY655" s="11"/>
      <c r="C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11"/>
      <c r="CD656" s="11"/>
      <c r="CE656" s="11"/>
      <c r="CF656" s="11"/>
      <c r="CG656" s="11"/>
      <c r="CH656" s="11"/>
      <c r="CI656" s="11"/>
      <c r="CJ656" s="11"/>
      <c r="CK656" s="11"/>
      <c r="CL656" s="11"/>
      <c r="CM656" s="11"/>
      <c r="CN656" s="11"/>
      <c r="CO656" s="11"/>
      <c r="CP656" s="11"/>
      <c r="CQ656" s="11"/>
      <c r="CR656" s="11"/>
      <c r="CS656" s="11"/>
      <c r="CT656" s="11"/>
      <c r="CU656" s="11"/>
      <c r="CV656" s="11"/>
      <c r="CW656" s="11"/>
      <c r="CX656" s="11"/>
      <c r="CY656" s="11"/>
      <c r="C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  <c r="CD657" s="11"/>
      <c r="CE657" s="11"/>
      <c r="CF657" s="11"/>
      <c r="CG657" s="11"/>
      <c r="CH657" s="11"/>
      <c r="CI657" s="11"/>
      <c r="CJ657" s="11"/>
      <c r="CK657" s="11"/>
      <c r="CL657" s="11"/>
      <c r="CM657" s="11"/>
      <c r="CN657" s="11"/>
      <c r="CO657" s="11"/>
      <c r="CP657" s="11"/>
      <c r="CQ657" s="11"/>
      <c r="CR657" s="11"/>
      <c r="CS657" s="11"/>
      <c r="CT657" s="11"/>
      <c r="CU657" s="11"/>
      <c r="CV657" s="11"/>
      <c r="CW657" s="11"/>
      <c r="CX657" s="11"/>
      <c r="CY657" s="11"/>
      <c r="C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  <c r="CH658" s="11"/>
      <c r="CI658" s="11"/>
      <c r="CJ658" s="11"/>
      <c r="CK658" s="11"/>
      <c r="CL658" s="11"/>
      <c r="CM658" s="11"/>
      <c r="CN658" s="11"/>
      <c r="CO658" s="11"/>
      <c r="CP658" s="11"/>
      <c r="CQ658" s="11"/>
      <c r="CR658" s="11"/>
      <c r="CS658" s="11"/>
      <c r="CT658" s="11"/>
      <c r="CU658" s="11"/>
      <c r="CV658" s="11"/>
      <c r="CW658" s="11"/>
      <c r="CX658" s="11"/>
      <c r="CY658" s="11"/>
      <c r="C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11"/>
      <c r="CD659" s="11"/>
      <c r="CE659" s="11"/>
      <c r="CF659" s="11"/>
      <c r="CG659" s="11"/>
      <c r="CH659" s="11"/>
      <c r="CI659" s="11"/>
      <c r="CJ659" s="11"/>
      <c r="CK659" s="11"/>
      <c r="CL659" s="11"/>
      <c r="CM659" s="11"/>
      <c r="CN659" s="11"/>
      <c r="CO659" s="11"/>
      <c r="CP659" s="11"/>
      <c r="CQ659" s="11"/>
      <c r="CR659" s="11"/>
      <c r="CS659" s="11"/>
      <c r="CT659" s="11"/>
      <c r="CU659" s="11"/>
      <c r="CV659" s="11"/>
      <c r="CW659" s="11"/>
      <c r="CX659" s="11"/>
      <c r="CY659" s="11"/>
      <c r="C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11"/>
      <c r="CD660" s="11"/>
      <c r="CE660" s="11"/>
      <c r="CF660" s="11"/>
      <c r="CG660" s="11"/>
      <c r="CH660" s="11"/>
      <c r="CI660" s="11"/>
      <c r="CJ660" s="11"/>
      <c r="CK660" s="11"/>
      <c r="CL660" s="11"/>
      <c r="CM660" s="11"/>
      <c r="CN660" s="11"/>
      <c r="CO660" s="11"/>
      <c r="CP660" s="11"/>
      <c r="CQ660" s="11"/>
      <c r="CR660" s="11"/>
      <c r="CS660" s="11"/>
      <c r="CT660" s="11"/>
      <c r="CU660" s="11"/>
      <c r="CV660" s="11"/>
      <c r="CW660" s="11"/>
      <c r="CX660" s="11"/>
      <c r="CY660" s="11"/>
      <c r="C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11"/>
      <c r="CD661" s="11"/>
      <c r="CE661" s="11"/>
      <c r="CF661" s="11"/>
      <c r="CG661" s="11"/>
      <c r="CH661" s="11"/>
      <c r="CI661" s="11"/>
      <c r="CJ661" s="11"/>
      <c r="CK661" s="11"/>
      <c r="CL661" s="11"/>
      <c r="CM661" s="11"/>
      <c r="CN661" s="11"/>
      <c r="CO661" s="11"/>
      <c r="CP661" s="11"/>
      <c r="CQ661" s="11"/>
      <c r="CR661" s="11"/>
      <c r="CS661" s="11"/>
      <c r="CT661" s="11"/>
      <c r="CU661" s="11"/>
      <c r="CV661" s="11"/>
      <c r="CW661" s="11"/>
      <c r="CX661" s="11"/>
      <c r="CY661" s="11"/>
      <c r="C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  <c r="CD662" s="11"/>
      <c r="CE662" s="11"/>
      <c r="CF662" s="11"/>
      <c r="CG662" s="11"/>
      <c r="CH662" s="11"/>
      <c r="CI662" s="11"/>
      <c r="CJ662" s="11"/>
      <c r="CK662" s="11"/>
      <c r="CL662" s="11"/>
      <c r="CM662" s="11"/>
      <c r="CN662" s="11"/>
      <c r="CO662" s="11"/>
      <c r="CP662" s="11"/>
      <c r="CQ662" s="11"/>
      <c r="CR662" s="11"/>
      <c r="CS662" s="11"/>
      <c r="CT662" s="11"/>
      <c r="CU662" s="11"/>
      <c r="CV662" s="11"/>
      <c r="CW662" s="11"/>
      <c r="CX662" s="11"/>
      <c r="CY662" s="11"/>
      <c r="C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  <c r="CD663" s="11"/>
      <c r="CE663" s="11"/>
      <c r="CF663" s="11"/>
      <c r="CG663" s="11"/>
      <c r="CH663" s="11"/>
      <c r="CI663" s="11"/>
      <c r="CJ663" s="11"/>
      <c r="CK663" s="11"/>
      <c r="CL663" s="11"/>
      <c r="CM663" s="11"/>
      <c r="CN663" s="11"/>
      <c r="CO663" s="11"/>
      <c r="CP663" s="11"/>
      <c r="CQ663" s="11"/>
      <c r="CR663" s="11"/>
      <c r="CS663" s="11"/>
      <c r="CT663" s="11"/>
      <c r="CU663" s="11"/>
      <c r="CV663" s="11"/>
      <c r="CW663" s="11"/>
      <c r="CX663" s="11"/>
      <c r="CY663" s="11"/>
      <c r="C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  <c r="CD666" s="11"/>
      <c r="CE666" s="11"/>
      <c r="CF666" s="11"/>
      <c r="CG666" s="11"/>
      <c r="CH666" s="11"/>
      <c r="CI666" s="11"/>
      <c r="CJ666" s="11"/>
      <c r="CK666" s="11"/>
      <c r="CL666" s="11"/>
      <c r="CM666" s="11"/>
      <c r="CN666" s="11"/>
      <c r="CO666" s="11"/>
      <c r="CP666" s="11"/>
      <c r="CQ666" s="11"/>
      <c r="CR666" s="11"/>
      <c r="CS666" s="11"/>
      <c r="CT666" s="11"/>
      <c r="CU666" s="11"/>
      <c r="CV666" s="11"/>
      <c r="CW666" s="11"/>
      <c r="CX666" s="11"/>
      <c r="CY666" s="11"/>
      <c r="C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  <c r="CD667" s="11"/>
      <c r="CE667" s="11"/>
      <c r="CF667" s="11"/>
      <c r="CG667" s="11"/>
      <c r="CH667" s="11"/>
      <c r="CI667" s="11"/>
      <c r="CJ667" s="11"/>
      <c r="CK667" s="11"/>
      <c r="CL667" s="11"/>
      <c r="CM667" s="11"/>
      <c r="CN667" s="11"/>
      <c r="CO667" s="11"/>
      <c r="CP667" s="11"/>
      <c r="CQ667" s="11"/>
      <c r="CR667" s="11"/>
      <c r="CS667" s="11"/>
      <c r="CT667" s="11"/>
      <c r="CU667" s="11"/>
      <c r="CV667" s="11"/>
      <c r="CW667" s="11"/>
      <c r="CX667" s="11"/>
      <c r="CY667" s="11"/>
      <c r="C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  <c r="CD668" s="11"/>
      <c r="CE668" s="11"/>
      <c r="CF668" s="11"/>
      <c r="CG668" s="11"/>
      <c r="CH668" s="11"/>
      <c r="CI668" s="11"/>
      <c r="CJ668" s="11"/>
      <c r="CK668" s="11"/>
      <c r="CL668" s="11"/>
      <c r="CM668" s="11"/>
      <c r="CN668" s="11"/>
      <c r="CO668" s="11"/>
      <c r="CP668" s="11"/>
      <c r="CQ668" s="11"/>
      <c r="CR668" s="11"/>
      <c r="CS668" s="11"/>
      <c r="CT668" s="11"/>
      <c r="CU668" s="11"/>
      <c r="CV668" s="11"/>
      <c r="CW668" s="11"/>
      <c r="CX668" s="11"/>
      <c r="CY668" s="11"/>
      <c r="C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  <c r="CD669" s="11"/>
      <c r="CE669" s="11"/>
      <c r="CF669" s="11"/>
      <c r="CG669" s="11"/>
      <c r="CH669" s="11"/>
      <c r="CI669" s="11"/>
      <c r="CJ669" s="11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  <c r="CD672" s="11"/>
      <c r="CE672" s="11"/>
      <c r="CF672" s="11"/>
      <c r="CG672" s="11"/>
      <c r="CH672" s="11"/>
      <c r="CI672" s="11"/>
      <c r="CJ672" s="11"/>
      <c r="CK672" s="11"/>
      <c r="CL672" s="11"/>
      <c r="CM672" s="11"/>
      <c r="CN672" s="11"/>
      <c r="CO672" s="11"/>
      <c r="CP672" s="11"/>
      <c r="CQ672" s="11"/>
      <c r="CR672" s="11"/>
      <c r="CS672" s="11"/>
      <c r="CT672" s="11"/>
      <c r="CU672" s="11"/>
      <c r="CV672" s="11"/>
      <c r="CW672" s="11"/>
      <c r="CX672" s="11"/>
      <c r="CY672" s="11"/>
      <c r="C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  <c r="CH673" s="11"/>
      <c r="CI673" s="11"/>
      <c r="CJ673" s="11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  <c r="CD674" s="11"/>
      <c r="CE674" s="11"/>
      <c r="CF674" s="11"/>
      <c r="CG674" s="11"/>
      <c r="CH674" s="11"/>
      <c r="CI674" s="11"/>
      <c r="CJ674" s="11"/>
      <c r="CK674" s="11"/>
      <c r="CL674" s="11"/>
      <c r="CM674" s="11"/>
      <c r="CN674" s="11"/>
      <c r="CO674" s="11"/>
      <c r="CP674" s="11"/>
      <c r="CQ674" s="11"/>
      <c r="CR674" s="11"/>
      <c r="CS674" s="11"/>
      <c r="CT674" s="11"/>
      <c r="CU674" s="11"/>
      <c r="CV674" s="11"/>
      <c r="CW674" s="11"/>
      <c r="CX674" s="11"/>
      <c r="CY674" s="11"/>
      <c r="C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  <c r="CD675" s="11"/>
      <c r="CE675" s="11"/>
      <c r="CF675" s="11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11"/>
      <c r="CX675" s="11"/>
      <c r="CY675" s="11"/>
      <c r="C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  <c r="CW676" s="11"/>
      <c r="CX676" s="11"/>
      <c r="CY676" s="11"/>
      <c r="C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  <c r="CD677" s="11"/>
      <c r="CE677" s="11"/>
      <c r="CF677" s="11"/>
      <c r="CG677" s="11"/>
      <c r="CH677" s="11"/>
      <c r="CI677" s="11"/>
      <c r="CJ677" s="11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  <c r="CW677" s="11"/>
      <c r="CX677" s="11"/>
      <c r="CY677" s="11"/>
      <c r="C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CH678" s="11"/>
      <c r="CI678" s="11"/>
      <c r="CJ678" s="11"/>
      <c r="CK678" s="11"/>
      <c r="CL678" s="11"/>
      <c r="CM678" s="11"/>
      <c r="CN678" s="11"/>
      <c r="CO678" s="11"/>
      <c r="CP678" s="11"/>
      <c r="CQ678" s="11"/>
      <c r="CR678" s="11"/>
      <c r="CS678" s="11"/>
      <c r="CT678" s="11"/>
      <c r="CU678" s="11"/>
      <c r="CV678" s="11"/>
      <c r="CW678" s="11"/>
      <c r="CX678" s="11"/>
      <c r="CY678" s="11"/>
      <c r="C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  <c r="CD679" s="11"/>
      <c r="CE679" s="11"/>
      <c r="CF679" s="11"/>
      <c r="CG679" s="11"/>
      <c r="CH679" s="11"/>
      <c r="CI679" s="11"/>
      <c r="CJ679" s="11"/>
      <c r="CK679" s="11"/>
      <c r="CL679" s="11"/>
      <c r="CM679" s="11"/>
      <c r="CN679" s="11"/>
      <c r="CO679" s="11"/>
      <c r="CP679" s="11"/>
      <c r="CQ679" s="11"/>
      <c r="CR679" s="11"/>
      <c r="CS679" s="11"/>
      <c r="CT679" s="11"/>
      <c r="CU679" s="11"/>
      <c r="CV679" s="11"/>
      <c r="CW679" s="11"/>
      <c r="CX679" s="11"/>
      <c r="CY679" s="11"/>
      <c r="C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  <c r="CD680" s="11"/>
      <c r="CE680" s="11"/>
      <c r="CF680" s="11"/>
      <c r="CG680" s="11"/>
      <c r="CH680" s="11"/>
      <c r="CI680" s="11"/>
      <c r="CJ680" s="11"/>
      <c r="CK680" s="11"/>
      <c r="CL680" s="11"/>
      <c r="CM680" s="11"/>
      <c r="CN680" s="11"/>
      <c r="CO680" s="11"/>
      <c r="CP680" s="11"/>
      <c r="CQ680" s="11"/>
      <c r="CR680" s="11"/>
      <c r="CS680" s="11"/>
      <c r="CT680" s="11"/>
      <c r="CU680" s="11"/>
      <c r="CV680" s="11"/>
      <c r="CW680" s="11"/>
      <c r="CX680" s="11"/>
      <c r="CY680" s="11"/>
      <c r="C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  <c r="CD681" s="11"/>
      <c r="CE681" s="11"/>
      <c r="CF681" s="11"/>
      <c r="CG681" s="11"/>
      <c r="CH681" s="11"/>
      <c r="CI681" s="11"/>
      <c r="CJ681" s="11"/>
      <c r="CK681" s="11"/>
      <c r="CL681" s="11"/>
      <c r="CM681" s="11"/>
      <c r="CN681" s="11"/>
      <c r="CO681" s="11"/>
      <c r="CP681" s="11"/>
      <c r="CQ681" s="11"/>
      <c r="CR681" s="11"/>
      <c r="CS681" s="11"/>
      <c r="CT681" s="11"/>
      <c r="CU681" s="11"/>
      <c r="CV681" s="11"/>
      <c r="CW681" s="11"/>
      <c r="CX681" s="11"/>
      <c r="CY681" s="11"/>
      <c r="C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  <c r="CD682" s="11"/>
      <c r="CE682" s="11"/>
      <c r="CF682" s="11"/>
      <c r="CG682" s="11"/>
      <c r="CH682" s="11"/>
      <c r="CI682" s="11"/>
      <c r="CJ682" s="11"/>
      <c r="CK682" s="11"/>
      <c r="CL682" s="11"/>
      <c r="CM682" s="11"/>
      <c r="CN682" s="11"/>
      <c r="CO682" s="11"/>
      <c r="CP682" s="11"/>
      <c r="CQ682" s="11"/>
      <c r="CR682" s="11"/>
      <c r="CS682" s="11"/>
      <c r="CT682" s="11"/>
      <c r="CU682" s="11"/>
      <c r="CV682" s="11"/>
      <c r="CW682" s="11"/>
      <c r="CX682" s="11"/>
      <c r="CY682" s="11"/>
      <c r="C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/>
      <c r="CG683" s="11"/>
      <c r="CH683" s="11"/>
      <c r="CI683" s="11"/>
      <c r="CJ683" s="11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  <c r="CW683" s="11"/>
      <c r="CX683" s="11"/>
      <c r="CY683" s="11"/>
      <c r="C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  <c r="CD684" s="11"/>
      <c r="CE684" s="11"/>
      <c r="CF684" s="11"/>
      <c r="CG684" s="11"/>
      <c r="CH684" s="11"/>
      <c r="CI684" s="11"/>
      <c r="CJ684" s="11"/>
      <c r="CK684" s="11"/>
      <c r="CL684" s="11"/>
      <c r="CM684" s="11"/>
      <c r="CN684" s="11"/>
      <c r="CO684" s="11"/>
      <c r="CP684" s="11"/>
      <c r="CQ684" s="11"/>
      <c r="CR684" s="11"/>
      <c r="CS684" s="11"/>
      <c r="CT684" s="11"/>
      <c r="CU684" s="11"/>
      <c r="CV684" s="11"/>
      <c r="CW684" s="11"/>
      <c r="CX684" s="11"/>
      <c r="CY684" s="11"/>
      <c r="C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  <c r="CD685" s="11"/>
      <c r="CE685" s="11"/>
      <c r="CF685" s="11"/>
      <c r="CG685" s="11"/>
      <c r="CH685" s="11"/>
      <c r="CI685" s="11"/>
      <c r="CJ685" s="11"/>
      <c r="CK685" s="11"/>
      <c r="CL685" s="11"/>
      <c r="CM685" s="11"/>
      <c r="CN685" s="11"/>
      <c r="CO685" s="11"/>
      <c r="CP685" s="11"/>
      <c r="CQ685" s="11"/>
      <c r="CR685" s="11"/>
      <c r="CS685" s="11"/>
      <c r="CT685" s="11"/>
      <c r="CU685" s="11"/>
      <c r="CV685" s="11"/>
      <c r="CW685" s="11"/>
      <c r="CX685" s="11"/>
      <c r="CY685" s="11"/>
      <c r="C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  <c r="CD686" s="11"/>
      <c r="CE686" s="11"/>
      <c r="CF686" s="11"/>
      <c r="CG686" s="11"/>
      <c r="CH686" s="11"/>
      <c r="CI686" s="11"/>
      <c r="CJ686" s="11"/>
      <c r="CK686" s="11"/>
      <c r="CL686" s="11"/>
      <c r="CM686" s="11"/>
      <c r="CN686" s="11"/>
      <c r="CO686" s="11"/>
      <c r="CP686" s="11"/>
      <c r="CQ686" s="11"/>
      <c r="CR686" s="11"/>
      <c r="CS686" s="11"/>
      <c r="CT686" s="11"/>
      <c r="CU686" s="11"/>
      <c r="CV686" s="11"/>
      <c r="CW686" s="11"/>
      <c r="CX686" s="11"/>
      <c r="CY686" s="11"/>
      <c r="C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  <c r="CD687" s="11"/>
      <c r="CE687" s="11"/>
      <c r="CF687" s="11"/>
      <c r="CG687" s="11"/>
      <c r="CH687" s="11"/>
      <c r="CI687" s="11"/>
      <c r="CJ687" s="11"/>
      <c r="CK687" s="11"/>
      <c r="CL687" s="11"/>
      <c r="CM687" s="11"/>
      <c r="CN687" s="11"/>
      <c r="CO687" s="11"/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  <c r="CD688" s="11"/>
      <c r="CE688" s="11"/>
      <c r="CF688" s="11"/>
      <c r="CG688" s="11"/>
      <c r="CH688" s="11"/>
      <c r="CI688" s="11"/>
      <c r="CJ688" s="11"/>
      <c r="CK688" s="11"/>
      <c r="CL688" s="11"/>
      <c r="CM688" s="11"/>
      <c r="CN688" s="11"/>
      <c r="CO688" s="11"/>
      <c r="CP688" s="11"/>
      <c r="CQ688" s="11"/>
      <c r="CR688" s="11"/>
      <c r="CS688" s="11"/>
      <c r="CT688" s="11"/>
      <c r="CU688" s="11"/>
      <c r="CV688" s="11"/>
      <c r="CW688" s="11"/>
      <c r="CX688" s="11"/>
      <c r="CY688" s="11"/>
      <c r="C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/>
      <c r="CG689" s="11"/>
      <c r="CH689" s="11"/>
      <c r="CI689" s="11"/>
      <c r="CJ689" s="11"/>
      <c r="CK689" s="11"/>
      <c r="CL689" s="11"/>
      <c r="CM689" s="11"/>
      <c r="CN689" s="11"/>
      <c r="CO689" s="11"/>
      <c r="CP689" s="11"/>
      <c r="CQ689" s="11"/>
      <c r="CR689" s="11"/>
      <c r="CS689" s="11"/>
      <c r="CT689" s="11"/>
      <c r="CU689" s="11"/>
      <c r="CV689" s="11"/>
      <c r="CW689" s="11"/>
      <c r="CX689" s="11"/>
      <c r="CY689" s="11"/>
      <c r="C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/>
      <c r="CG690" s="11"/>
      <c r="CH690" s="11"/>
      <c r="CI690" s="11"/>
      <c r="CJ690" s="11"/>
      <c r="CK690" s="11"/>
      <c r="CL690" s="11"/>
      <c r="CM690" s="11"/>
      <c r="CN690" s="11"/>
      <c r="CO690" s="11"/>
      <c r="CP690" s="11"/>
      <c r="CQ690" s="11"/>
      <c r="CR690" s="11"/>
      <c r="CS690" s="11"/>
      <c r="CT690" s="11"/>
      <c r="CU690" s="11"/>
      <c r="CV690" s="11"/>
      <c r="CW690" s="11"/>
      <c r="CX690" s="11"/>
      <c r="CY690" s="11"/>
      <c r="C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  <c r="CD691" s="11"/>
      <c r="CE691" s="11"/>
      <c r="CF691" s="11"/>
      <c r="CG691" s="11"/>
      <c r="CH691" s="11"/>
      <c r="CI691" s="11"/>
      <c r="CJ691" s="11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  <c r="CW691" s="11"/>
      <c r="CX691" s="11"/>
      <c r="CY691" s="11"/>
      <c r="C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  <c r="CD692" s="11"/>
      <c r="CE692" s="11"/>
      <c r="CF692" s="11"/>
      <c r="CG692" s="11"/>
      <c r="CH692" s="11"/>
      <c r="CI692" s="11"/>
      <c r="CJ692" s="11"/>
      <c r="CK692" s="11"/>
      <c r="CL692" s="11"/>
      <c r="CM692" s="11"/>
      <c r="CN692" s="11"/>
      <c r="CO692" s="11"/>
      <c r="CP692" s="11"/>
      <c r="CQ692" s="11"/>
      <c r="CR692" s="11"/>
      <c r="CS692" s="11"/>
      <c r="CT692" s="11"/>
      <c r="CU692" s="11"/>
      <c r="CV692" s="11"/>
      <c r="CW692" s="11"/>
      <c r="CX692" s="11"/>
      <c r="CY692" s="11"/>
      <c r="C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  <c r="CD693" s="11"/>
      <c r="CE693" s="11"/>
      <c r="CF693" s="11"/>
      <c r="CG693" s="11"/>
      <c r="CH693" s="11"/>
      <c r="CI693" s="11"/>
      <c r="CJ693" s="11"/>
      <c r="CK693" s="11"/>
      <c r="CL693" s="11"/>
      <c r="CM693" s="11"/>
      <c r="CN693" s="11"/>
      <c r="CO693" s="11"/>
      <c r="CP693" s="11"/>
      <c r="CQ693" s="11"/>
      <c r="CR693" s="11"/>
      <c r="CS693" s="11"/>
      <c r="CT693" s="11"/>
      <c r="CU693" s="11"/>
      <c r="CV693" s="11"/>
      <c r="CW693" s="11"/>
      <c r="CX693" s="11"/>
      <c r="CY693" s="11"/>
      <c r="C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  <c r="CD694" s="11"/>
      <c r="CE694" s="11"/>
      <c r="CF694" s="11"/>
      <c r="CG694" s="11"/>
      <c r="CH694" s="11"/>
      <c r="CI694" s="11"/>
      <c r="CJ694" s="11"/>
      <c r="CK694" s="11"/>
      <c r="CL694" s="11"/>
      <c r="CM694" s="11"/>
      <c r="CN694" s="11"/>
      <c r="CO694" s="11"/>
      <c r="CP694" s="11"/>
      <c r="CQ694" s="11"/>
      <c r="CR694" s="11"/>
      <c r="CS694" s="11"/>
      <c r="CT694" s="11"/>
      <c r="CU694" s="11"/>
      <c r="CV694" s="11"/>
      <c r="CW694" s="11"/>
      <c r="CX694" s="11"/>
      <c r="CY694" s="11"/>
      <c r="C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  <c r="CD695" s="11"/>
      <c r="CE695" s="11"/>
      <c r="CF695" s="11"/>
      <c r="CG695" s="11"/>
      <c r="CH695" s="11"/>
      <c r="CI695" s="11"/>
      <c r="CJ695" s="11"/>
      <c r="CK695" s="11"/>
      <c r="CL695" s="11"/>
      <c r="CM695" s="11"/>
      <c r="CN695" s="11"/>
      <c r="CO695" s="11"/>
      <c r="CP695" s="11"/>
      <c r="CQ695" s="11"/>
      <c r="CR695" s="11"/>
      <c r="CS695" s="11"/>
      <c r="CT695" s="11"/>
      <c r="CU695" s="11"/>
      <c r="CV695" s="11"/>
      <c r="CW695" s="11"/>
      <c r="CX695" s="11"/>
      <c r="CY695" s="11"/>
      <c r="C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  <c r="CD696" s="11"/>
      <c r="CE696" s="11"/>
      <c r="CF696" s="11"/>
      <c r="CG696" s="11"/>
      <c r="CH696" s="11"/>
      <c r="CI696" s="11"/>
      <c r="CJ696" s="11"/>
      <c r="CK696" s="11"/>
      <c r="CL696" s="11"/>
      <c r="CM696" s="11"/>
      <c r="CN696" s="11"/>
      <c r="CO696" s="11"/>
      <c r="CP696" s="11"/>
      <c r="CQ696" s="11"/>
      <c r="CR696" s="11"/>
      <c r="CS696" s="11"/>
      <c r="CT696" s="11"/>
      <c r="CU696" s="11"/>
      <c r="CV696" s="11"/>
      <c r="CW696" s="11"/>
      <c r="CX696" s="11"/>
      <c r="CY696" s="11"/>
      <c r="C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  <c r="CD697" s="11"/>
      <c r="CE697" s="11"/>
      <c r="CF697" s="11"/>
      <c r="CG697" s="11"/>
      <c r="CH697" s="11"/>
      <c r="CI697" s="11"/>
      <c r="CJ697" s="11"/>
      <c r="CK697" s="11"/>
      <c r="CL697" s="11"/>
      <c r="CM697" s="11"/>
      <c r="CN697" s="11"/>
      <c r="CO697" s="11"/>
      <c r="CP697" s="11"/>
      <c r="CQ697" s="11"/>
      <c r="CR697" s="11"/>
      <c r="CS697" s="11"/>
      <c r="CT697" s="11"/>
      <c r="CU697" s="11"/>
      <c r="CV697" s="11"/>
      <c r="CW697" s="11"/>
      <c r="CX697" s="11"/>
      <c r="CY697" s="11"/>
      <c r="C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  <c r="CD698" s="11"/>
      <c r="CE698" s="11"/>
      <c r="CF698" s="11"/>
      <c r="CG698" s="11"/>
      <c r="CH698" s="11"/>
      <c r="CI698" s="11"/>
      <c r="CJ698" s="11"/>
      <c r="CK698" s="11"/>
      <c r="CL698" s="11"/>
      <c r="CM698" s="11"/>
      <c r="CN698" s="11"/>
      <c r="CO698" s="11"/>
      <c r="CP698" s="11"/>
      <c r="CQ698" s="11"/>
      <c r="CR698" s="11"/>
      <c r="CS698" s="11"/>
      <c r="CT698" s="11"/>
      <c r="CU698" s="11"/>
      <c r="CV698" s="11"/>
      <c r="CW698" s="11"/>
      <c r="CX698" s="11"/>
      <c r="CY698" s="11"/>
      <c r="C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  <c r="CD699" s="11"/>
      <c r="CE699" s="11"/>
      <c r="CF699" s="11"/>
      <c r="CG699" s="11"/>
      <c r="CH699" s="11"/>
      <c r="CI699" s="11"/>
      <c r="CJ699" s="11"/>
      <c r="CK699" s="11"/>
      <c r="CL699" s="11"/>
      <c r="CM699" s="11"/>
      <c r="CN699" s="11"/>
      <c r="CO699" s="11"/>
      <c r="CP699" s="11"/>
      <c r="CQ699" s="11"/>
      <c r="CR699" s="11"/>
      <c r="CS699" s="11"/>
      <c r="CT699" s="11"/>
      <c r="CU699" s="11"/>
      <c r="CV699" s="11"/>
      <c r="CW699" s="11"/>
      <c r="CX699" s="11"/>
      <c r="CY699" s="11"/>
      <c r="C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  <c r="CD700" s="11"/>
      <c r="CE700" s="11"/>
      <c r="CF700" s="11"/>
      <c r="CG700" s="11"/>
      <c r="CH700" s="11"/>
      <c r="CI700" s="11"/>
      <c r="CJ700" s="11"/>
      <c r="CK700" s="11"/>
      <c r="CL700" s="11"/>
      <c r="CM700" s="11"/>
      <c r="CN700" s="11"/>
      <c r="CO700" s="11"/>
      <c r="CP700" s="11"/>
      <c r="CQ700" s="11"/>
      <c r="CR700" s="11"/>
      <c r="CS700" s="11"/>
      <c r="CT700" s="11"/>
      <c r="CU700" s="11"/>
      <c r="CV700" s="11"/>
      <c r="CW700" s="11"/>
      <c r="CX700" s="11"/>
      <c r="CY700" s="11"/>
      <c r="C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  <c r="CD701" s="11"/>
      <c r="CE701" s="11"/>
      <c r="CF701" s="11"/>
      <c r="CG701" s="11"/>
      <c r="CH701" s="11"/>
      <c r="CI701" s="11"/>
      <c r="CJ701" s="11"/>
      <c r="CK701" s="11"/>
      <c r="CL701" s="11"/>
      <c r="CM701" s="11"/>
      <c r="CN701" s="11"/>
      <c r="CO701" s="11"/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  <c r="CD702" s="11"/>
      <c r="CE702" s="11"/>
      <c r="CF702" s="11"/>
      <c r="CG702" s="11"/>
      <c r="CH702" s="11"/>
      <c r="CI702" s="11"/>
      <c r="CJ702" s="11"/>
      <c r="CK702" s="11"/>
      <c r="CL702" s="11"/>
      <c r="CM702" s="11"/>
      <c r="CN702" s="11"/>
      <c r="CO702" s="11"/>
      <c r="CP702" s="11"/>
      <c r="CQ702" s="11"/>
      <c r="CR702" s="11"/>
      <c r="CS702" s="11"/>
      <c r="CT702" s="11"/>
      <c r="CU702" s="11"/>
      <c r="CV702" s="11"/>
      <c r="CW702" s="11"/>
      <c r="CX702" s="11"/>
      <c r="CY702" s="11"/>
      <c r="C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  <c r="CD703" s="11"/>
      <c r="CE703" s="11"/>
      <c r="CF703" s="11"/>
      <c r="CG703" s="11"/>
      <c r="CH703" s="11"/>
      <c r="CI703" s="11"/>
      <c r="CJ703" s="11"/>
      <c r="CK703" s="11"/>
      <c r="CL703" s="11"/>
      <c r="CM703" s="11"/>
      <c r="CN703" s="11"/>
      <c r="CO703" s="11"/>
      <c r="CP703" s="11"/>
      <c r="CQ703" s="11"/>
      <c r="CR703" s="11"/>
      <c r="CS703" s="11"/>
      <c r="CT703" s="11"/>
      <c r="CU703" s="11"/>
      <c r="CV703" s="11"/>
      <c r="CW703" s="11"/>
      <c r="CX703" s="11"/>
      <c r="CY703" s="11"/>
      <c r="C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  <c r="CD706" s="11"/>
      <c r="CE706" s="11"/>
      <c r="CF706" s="11"/>
      <c r="CG706" s="11"/>
      <c r="CH706" s="11"/>
      <c r="CI706" s="11"/>
      <c r="CJ706" s="11"/>
      <c r="CK706" s="11"/>
      <c r="CL706" s="11"/>
      <c r="CM706" s="11"/>
      <c r="CN706" s="11"/>
      <c r="CO706" s="11"/>
      <c r="CP706" s="11"/>
      <c r="CQ706" s="11"/>
      <c r="CR706" s="11"/>
      <c r="CS706" s="11"/>
      <c r="CT706" s="11"/>
      <c r="CU706" s="11"/>
      <c r="CV706" s="11"/>
      <c r="CW706" s="11"/>
      <c r="CX706" s="11"/>
      <c r="CY706" s="11"/>
      <c r="C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11"/>
      <c r="CD707" s="11"/>
      <c r="CE707" s="11"/>
      <c r="CF707" s="11"/>
      <c r="CG707" s="11"/>
      <c r="CH707" s="11"/>
      <c r="CI707" s="11"/>
      <c r="CJ707" s="11"/>
      <c r="CK707" s="11"/>
      <c r="CL707" s="11"/>
      <c r="CM707" s="11"/>
      <c r="CN707" s="11"/>
      <c r="CO707" s="11"/>
      <c r="CP707" s="11"/>
      <c r="CQ707" s="11"/>
      <c r="CR707" s="11"/>
      <c r="CS707" s="11"/>
      <c r="CT707" s="11"/>
      <c r="CU707" s="11"/>
      <c r="CV707" s="11"/>
      <c r="CW707" s="11"/>
      <c r="CX707" s="11"/>
      <c r="CY707" s="11"/>
      <c r="C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  <c r="CD708" s="11"/>
      <c r="CE708" s="11"/>
      <c r="CF708" s="11"/>
      <c r="CG708" s="11"/>
      <c r="CH708" s="11"/>
      <c r="CI708" s="11"/>
      <c r="CJ708" s="11"/>
      <c r="CK708" s="11"/>
      <c r="CL708" s="11"/>
      <c r="CM708" s="11"/>
      <c r="CN708" s="11"/>
      <c r="CO708" s="11"/>
      <c r="CP708" s="11"/>
      <c r="CQ708" s="11"/>
      <c r="CR708" s="11"/>
      <c r="CS708" s="11"/>
      <c r="CT708" s="11"/>
      <c r="CU708" s="11"/>
      <c r="CV708" s="11"/>
      <c r="CW708" s="11"/>
      <c r="CX708" s="11"/>
      <c r="CY708" s="11"/>
      <c r="C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  <c r="CC711" s="11"/>
      <c r="CD711" s="11"/>
      <c r="CE711" s="11"/>
      <c r="CF711" s="11"/>
      <c r="CG711" s="11"/>
      <c r="CH711" s="11"/>
      <c r="CI711" s="11"/>
      <c r="CJ711" s="11"/>
      <c r="CK711" s="11"/>
      <c r="CL711" s="11"/>
      <c r="CM711" s="11"/>
      <c r="CN711" s="11"/>
      <c r="CO711" s="11"/>
      <c r="CP711" s="11"/>
      <c r="CQ711" s="11"/>
      <c r="CR711" s="11"/>
      <c r="CS711" s="11"/>
      <c r="CT711" s="11"/>
      <c r="CU711" s="11"/>
      <c r="CV711" s="11"/>
      <c r="CW711" s="11"/>
      <c r="CX711" s="11"/>
      <c r="CY711" s="11"/>
      <c r="C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  <c r="CD712" s="11"/>
      <c r="CE712" s="11"/>
      <c r="CF712" s="11"/>
      <c r="CG712" s="11"/>
      <c r="CH712" s="11"/>
      <c r="CI712" s="11"/>
      <c r="CJ712" s="11"/>
      <c r="CK712" s="11"/>
      <c r="CL712" s="11"/>
      <c r="CM712" s="11"/>
      <c r="CN712" s="11"/>
      <c r="CO712" s="11"/>
      <c r="CP712" s="11"/>
      <c r="CQ712" s="11"/>
      <c r="CR712" s="11"/>
      <c r="CS712" s="11"/>
      <c r="CT712" s="11"/>
      <c r="CU712" s="11"/>
      <c r="CV712" s="11"/>
      <c r="CW712" s="11"/>
      <c r="CX712" s="11"/>
      <c r="CY712" s="11"/>
      <c r="C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  <c r="CD713" s="11"/>
      <c r="CE713" s="11"/>
      <c r="CF713" s="11"/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1"/>
      <c r="CW713" s="11"/>
      <c r="CX713" s="11"/>
      <c r="CY713" s="11"/>
      <c r="C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  <c r="CD714" s="11"/>
      <c r="CE714" s="11"/>
      <c r="CF714" s="11"/>
      <c r="CG714" s="11"/>
      <c r="CH714" s="11"/>
      <c r="CI714" s="11"/>
      <c r="CJ714" s="11"/>
      <c r="CK714" s="11"/>
      <c r="CL714" s="11"/>
      <c r="CM714" s="11"/>
      <c r="CN714" s="11"/>
      <c r="CO714" s="11"/>
      <c r="CP714" s="11"/>
      <c r="CQ714" s="11"/>
      <c r="CR714" s="11"/>
      <c r="CS714" s="11"/>
      <c r="CT714" s="11"/>
      <c r="CU714" s="11"/>
      <c r="CV714" s="11"/>
      <c r="CW714" s="11"/>
      <c r="CX714" s="11"/>
      <c r="CY714" s="11"/>
      <c r="C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  <c r="CD715" s="11"/>
      <c r="CE715" s="11"/>
      <c r="CF715" s="11"/>
      <c r="CG715" s="11"/>
      <c r="CH715" s="11"/>
      <c r="CI715" s="11"/>
      <c r="CJ715" s="11"/>
      <c r="CK715" s="11"/>
      <c r="CL715" s="11"/>
      <c r="CM715" s="11"/>
      <c r="CN715" s="11"/>
      <c r="CO715" s="11"/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11"/>
      <c r="CD716" s="11"/>
      <c r="CE716" s="11"/>
      <c r="CF716" s="11"/>
      <c r="CG716" s="11"/>
      <c r="CH716" s="11"/>
      <c r="CI716" s="11"/>
      <c r="CJ716" s="11"/>
      <c r="CK716" s="11"/>
      <c r="CL716" s="11"/>
      <c r="CM716" s="11"/>
      <c r="CN716" s="11"/>
      <c r="CO716" s="11"/>
      <c r="CP716" s="11"/>
      <c r="CQ716" s="11"/>
      <c r="CR716" s="11"/>
      <c r="CS716" s="11"/>
      <c r="CT716" s="11"/>
      <c r="CU716" s="11"/>
      <c r="CV716" s="11"/>
      <c r="CW716" s="11"/>
      <c r="CX716" s="11"/>
      <c r="CY716" s="11"/>
      <c r="C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11"/>
      <c r="CD717" s="11"/>
      <c r="CE717" s="11"/>
      <c r="CF717" s="11"/>
      <c r="CG717" s="11"/>
      <c r="CH717" s="11"/>
      <c r="CI717" s="11"/>
      <c r="CJ717" s="11"/>
      <c r="CK717" s="11"/>
      <c r="CL717" s="11"/>
      <c r="CM717" s="11"/>
      <c r="CN717" s="11"/>
      <c r="CO717" s="11"/>
      <c r="CP717" s="11"/>
      <c r="CQ717" s="11"/>
      <c r="CR717" s="11"/>
      <c r="CS717" s="11"/>
      <c r="CT717" s="11"/>
      <c r="CU717" s="11"/>
      <c r="CV717" s="11"/>
      <c r="CW717" s="11"/>
      <c r="CX717" s="11"/>
      <c r="CY717" s="11"/>
      <c r="C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  <c r="CD718" s="11"/>
      <c r="CE718" s="11"/>
      <c r="CF718" s="11"/>
      <c r="CG718" s="11"/>
      <c r="CH718" s="11"/>
      <c r="CI718" s="11"/>
      <c r="CJ718" s="11"/>
      <c r="CK718" s="11"/>
      <c r="CL718" s="11"/>
      <c r="CM718" s="11"/>
      <c r="CN718" s="11"/>
      <c r="CO718" s="11"/>
      <c r="CP718" s="11"/>
      <c r="CQ718" s="11"/>
      <c r="CR718" s="11"/>
      <c r="CS718" s="11"/>
      <c r="CT718" s="11"/>
      <c r="CU718" s="11"/>
      <c r="CV718" s="11"/>
      <c r="CW718" s="11"/>
      <c r="CX718" s="11"/>
      <c r="CY718" s="11"/>
      <c r="C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  <c r="CC719" s="11"/>
      <c r="CD719" s="11"/>
      <c r="CE719" s="11"/>
      <c r="CF719" s="11"/>
      <c r="CG719" s="11"/>
      <c r="CH719" s="11"/>
      <c r="CI719" s="11"/>
      <c r="CJ719" s="11"/>
      <c r="CK719" s="11"/>
      <c r="CL719" s="11"/>
      <c r="CM719" s="11"/>
      <c r="CN719" s="11"/>
      <c r="CO719" s="11"/>
      <c r="CP719" s="11"/>
      <c r="CQ719" s="11"/>
      <c r="CR719" s="11"/>
      <c r="CS719" s="11"/>
      <c r="CT719" s="11"/>
      <c r="CU719" s="11"/>
      <c r="CV719" s="11"/>
      <c r="CW719" s="11"/>
      <c r="CX719" s="11"/>
      <c r="CY719" s="11"/>
      <c r="C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11"/>
      <c r="CD720" s="11"/>
      <c r="CE720" s="11"/>
      <c r="CF720" s="11"/>
      <c r="CG720" s="11"/>
      <c r="CH720" s="11"/>
      <c r="CI720" s="11"/>
      <c r="CJ720" s="11"/>
      <c r="CK720" s="11"/>
      <c r="CL720" s="11"/>
      <c r="CM720" s="11"/>
      <c r="CN720" s="11"/>
      <c r="CO720" s="11"/>
      <c r="CP720" s="11"/>
      <c r="CQ720" s="11"/>
      <c r="CR720" s="11"/>
      <c r="CS720" s="11"/>
      <c r="CT720" s="11"/>
      <c r="CU720" s="11"/>
      <c r="CV720" s="11"/>
      <c r="CW720" s="11"/>
      <c r="CX720" s="11"/>
      <c r="CY720" s="11"/>
      <c r="C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  <c r="CD721" s="11"/>
      <c r="CE721" s="11"/>
      <c r="CF721" s="11"/>
      <c r="CG721" s="11"/>
      <c r="CH721" s="11"/>
      <c r="CI721" s="11"/>
      <c r="CJ721" s="11"/>
      <c r="CK721" s="11"/>
      <c r="CL721" s="11"/>
      <c r="CM721" s="11"/>
      <c r="CN721" s="11"/>
      <c r="CO721" s="11"/>
      <c r="CP721" s="11"/>
      <c r="CQ721" s="11"/>
      <c r="CR721" s="11"/>
      <c r="CS721" s="11"/>
      <c r="CT721" s="11"/>
      <c r="CU721" s="11"/>
      <c r="CV721" s="11"/>
      <c r="CW721" s="11"/>
      <c r="CX721" s="11"/>
      <c r="CY721" s="11"/>
      <c r="C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  <c r="CD722" s="11"/>
      <c r="CE722" s="11"/>
      <c r="CF722" s="11"/>
      <c r="CG722" s="11"/>
      <c r="CH722" s="11"/>
      <c r="CI722" s="11"/>
      <c r="CJ722" s="11"/>
      <c r="CK722" s="11"/>
      <c r="CL722" s="11"/>
      <c r="CM722" s="11"/>
      <c r="CN722" s="11"/>
      <c r="CO722" s="11"/>
      <c r="CP722" s="11"/>
      <c r="CQ722" s="11"/>
      <c r="CR722" s="11"/>
      <c r="CS722" s="11"/>
      <c r="CT722" s="11"/>
      <c r="CU722" s="11"/>
      <c r="CV722" s="11"/>
      <c r="CW722" s="11"/>
      <c r="CX722" s="11"/>
      <c r="CY722" s="11"/>
      <c r="C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  <c r="CD723" s="11"/>
      <c r="CE723" s="11"/>
      <c r="CF723" s="11"/>
      <c r="CG723" s="11"/>
      <c r="CH723" s="11"/>
      <c r="CI723" s="11"/>
      <c r="CJ723" s="11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11"/>
      <c r="CD724" s="11"/>
      <c r="CE724" s="11"/>
      <c r="CF724" s="11"/>
      <c r="CG724" s="11"/>
      <c r="CH724" s="11"/>
      <c r="CI724" s="11"/>
      <c r="CJ724" s="11"/>
      <c r="CK724" s="11"/>
      <c r="CL724" s="11"/>
      <c r="CM724" s="11"/>
      <c r="CN724" s="11"/>
      <c r="CO724" s="11"/>
      <c r="CP724" s="11"/>
      <c r="CQ724" s="11"/>
      <c r="CR724" s="11"/>
      <c r="CS724" s="11"/>
      <c r="CT724" s="11"/>
      <c r="CU724" s="11"/>
      <c r="CV724" s="11"/>
      <c r="CW724" s="11"/>
      <c r="CX724" s="11"/>
      <c r="CY724" s="11"/>
      <c r="C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  <c r="CC725" s="11"/>
      <c r="CD725" s="11"/>
      <c r="CE725" s="11"/>
      <c r="CF725" s="11"/>
      <c r="CG725" s="11"/>
      <c r="CH725" s="11"/>
      <c r="CI725" s="11"/>
      <c r="CJ725" s="11"/>
      <c r="CK725" s="11"/>
      <c r="CL725" s="11"/>
      <c r="CM725" s="11"/>
      <c r="CN725" s="11"/>
      <c r="CO725" s="11"/>
      <c r="CP725" s="11"/>
      <c r="CQ725" s="11"/>
      <c r="CR725" s="11"/>
      <c r="CS725" s="11"/>
      <c r="CT725" s="11"/>
      <c r="CU725" s="11"/>
      <c r="CV725" s="11"/>
      <c r="CW725" s="11"/>
      <c r="CX725" s="11"/>
      <c r="CY725" s="11"/>
      <c r="C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11"/>
      <c r="CD726" s="11"/>
      <c r="CE726" s="11"/>
      <c r="CF726" s="11"/>
      <c r="CG726" s="11"/>
      <c r="CH726" s="11"/>
      <c r="CI726" s="11"/>
      <c r="CJ726" s="11"/>
      <c r="CK726" s="11"/>
      <c r="CL726" s="11"/>
      <c r="CM726" s="11"/>
      <c r="CN726" s="11"/>
      <c r="CO726" s="11"/>
      <c r="CP726" s="11"/>
      <c r="CQ726" s="11"/>
      <c r="CR726" s="11"/>
      <c r="CS726" s="11"/>
      <c r="CT726" s="11"/>
      <c r="CU726" s="11"/>
      <c r="CV726" s="11"/>
      <c r="CW726" s="11"/>
      <c r="CX726" s="11"/>
      <c r="CY726" s="11"/>
      <c r="C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  <c r="CD727" s="11"/>
      <c r="CE727" s="11"/>
      <c r="CF727" s="11"/>
      <c r="CG727" s="11"/>
      <c r="CH727" s="11"/>
      <c r="CI727" s="11"/>
      <c r="CJ727" s="11"/>
      <c r="CK727" s="11"/>
      <c r="CL727" s="11"/>
      <c r="CM727" s="11"/>
      <c r="CN727" s="11"/>
      <c r="CO727" s="11"/>
      <c r="CP727" s="11"/>
      <c r="CQ727" s="11"/>
      <c r="CR727" s="11"/>
      <c r="CS727" s="11"/>
      <c r="CT727" s="11"/>
      <c r="CU727" s="11"/>
      <c r="CV727" s="11"/>
      <c r="CW727" s="11"/>
      <c r="CX727" s="11"/>
      <c r="CY727" s="11"/>
      <c r="C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11"/>
      <c r="CD728" s="11"/>
      <c r="CE728" s="11"/>
      <c r="CF728" s="11"/>
      <c r="CG728" s="11"/>
      <c r="CH728" s="11"/>
      <c r="CI728" s="11"/>
      <c r="CJ728" s="11"/>
      <c r="CK728" s="11"/>
      <c r="CL728" s="11"/>
      <c r="CM728" s="11"/>
      <c r="CN728" s="11"/>
      <c r="CO728" s="11"/>
      <c r="CP728" s="11"/>
      <c r="CQ728" s="11"/>
      <c r="CR728" s="11"/>
      <c r="CS728" s="11"/>
      <c r="CT728" s="11"/>
      <c r="CU728" s="11"/>
      <c r="CV728" s="11"/>
      <c r="CW728" s="11"/>
      <c r="CX728" s="11"/>
      <c r="CY728" s="11"/>
      <c r="C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  <c r="CC729" s="11"/>
      <c r="CD729" s="11"/>
      <c r="CE729" s="11"/>
      <c r="CF729" s="11"/>
      <c r="CG729" s="11"/>
      <c r="CH729" s="11"/>
      <c r="CI729" s="11"/>
      <c r="CJ729" s="11"/>
      <c r="CK729" s="11"/>
      <c r="CL729" s="11"/>
      <c r="CM729" s="11"/>
      <c r="CN729" s="11"/>
      <c r="CO729" s="11"/>
      <c r="CP729" s="11"/>
      <c r="CQ729" s="11"/>
      <c r="CR729" s="11"/>
      <c r="CS729" s="11"/>
      <c r="CT729" s="11"/>
      <c r="CU729" s="11"/>
      <c r="CV729" s="11"/>
      <c r="CW729" s="11"/>
      <c r="CX729" s="11"/>
      <c r="CY729" s="11"/>
      <c r="C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11"/>
      <c r="CD730" s="11"/>
      <c r="CE730" s="11"/>
      <c r="CF730" s="11"/>
      <c r="CG730" s="11"/>
      <c r="CH730" s="11"/>
      <c r="CI730" s="11"/>
      <c r="CJ730" s="11"/>
      <c r="CK730" s="11"/>
      <c r="CL730" s="11"/>
      <c r="CM730" s="11"/>
      <c r="CN730" s="11"/>
      <c r="CO730" s="11"/>
      <c r="CP730" s="11"/>
      <c r="CQ730" s="11"/>
      <c r="CR730" s="11"/>
      <c r="CS730" s="11"/>
      <c r="CT730" s="11"/>
      <c r="CU730" s="11"/>
      <c r="CV730" s="11"/>
      <c r="CW730" s="11"/>
      <c r="CX730" s="11"/>
      <c r="CY730" s="11"/>
      <c r="C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11"/>
      <c r="CD731" s="11"/>
      <c r="CE731" s="11"/>
      <c r="CF731" s="11"/>
      <c r="CG731" s="11"/>
      <c r="CH731" s="11"/>
      <c r="CI731" s="11"/>
      <c r="CJ731" s="11"/>
      <c r="CK731" s="11"/>
      <c r="CL731" s="11"/>
      <c r="CM731" s="11"/>
      <c r="CN731" s="11"/>
      <c r="CO731" s="11"/>
      <c r="CP731" s="11"/>
      <c r="CQ731" s="11"/>
      <c r="CR731" s="11"/>
      <c r="CS731" s="11"/>
      <c r="CT731" s="11"/>
      <c r="CU731" s="11"/>
      <c r="CV731" s="11"/>
      <c r="CW731" s="11"/>
      <c r="CX731" s="11"/>
      <c r="CY731" s="11"/>
      <c r="C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  <c r="CC732" s="11"/>
      <c r="CD732" s="11"/>
      <c r="CE732" s="11"/>
      <c r="CF732" s="11"/>
      <c r="CG732" s="11"/>
      <c r="CH732" s="11"/>
      <c r="CI732" s="11"/>
      <c r="CJ732" s="11"/>
      <c r="CK732" s="11"/>
      <c r="CL732" s="11"/>
      <c r="CM732" s="11"/>
      <c r="CN732" s="11"/>
      <c r="CO732" s="11"/>
      <c r="CP732" s="11"/>
      <c r="CQ732" s="11"/>
      <c r="CR732" s="11"/>
      <c r="CS732" s="11"/>
      <c r="CT732" s="11"/>
      <c r="CU732" s="11"/>
      <c r="CV732" s="11"/>
      <c r="CW732" s="11"/>
      <c r="CX732" s="11"/>
      <c r="CY732" s="11"/>
      <c r="C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  <c r="CC733" s="11"/>
      <c r="CD733" s="11"/>
      <c r="CE733" s="11"/>
      <c r="CF733" s="11"/>
      <c r="CG733" s="11"/>
      <c r="CH733" s="11"/>
      <c r="CI733" s="11"/>
      <c r="CJ733" s="11"/>
      <c r="CK733" s="11"/>
      <c r="CL733" s="11"/>
      <c r="CM733" s="11"/>
      <c r="CN733" s="11"/>
      <c r="CO733" s="11"/>
      <c r="CP733" s="11"/>
      <c r="CQ733" s="11"/>
      <c r="CR733" s="11"/>
      <c r="CS733" s="11"/>
      <c r="CT733" s="11"/>
      <c r="CU733" s="11"/>
      <c r="CV733" s="11"/>
      <c r="CW733" s="11"/>
      <c r="CX733" s="11"/>
      <c r="CY733" s="11"/>
      <c r="C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11"/>
      <c r="CD734" s="11"/>
      <c r="CE734" s="11"/>
      <c r="CF734" s="11"/>
      <c r="CG734" s="11"/>
      <c r="CH734" s="11"/>
      <c r="CI734" s="11"/>
      <c r="CJ734" s="11"/>
      <c r="CK734" s="11"/>
      <c r="CL734" s="11"/>
      <c r="CM734" s="11"/>
      <c r="CN734" s="11"/>
      <c r="CO734" s="11"/>
      <c r="CP734" s="11"/>
      <c r="CQ734" s="11"/>
      <c r="CR734" s="11"/>
      <c r="CS734" s="11"/>
      <c r="CT734" s="11"/>
      <c r="CU734" s="11"/>
      <c r="CV734" s="11"/>
      <c r="CW734" s="11"/>
      <c r="CX734" s="11"/>
      <c r="CY734" s="11"/>
      <c r="C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11"/>
      <c r="CD735" s="11"/>
      <c r="CE735" s="11"/>
      <c r="CF735" s="11"/>
      <c r="CG735" s="11"/>
      <c r="CH735" s="11"/>
      <c r="CI735" s="11"/>
      <c r="CJ735" s="11"/>
      <c r="CK735" s="11"/>
      <c r="CL735" s="11"/>
      <c r="CM735" s="11"/>
      <c r="CN735" s="11"/>
      <c r="CO735" s="11"/>
      <c r="CP735" s="11"/>
      <c r="CQ735" s="11"/>
      <c r="CR735" s="11"/>
      <c r="CS735" s="11"/>
      <c r="CT735" s="11"/>
      <c r="CU735" s="11"/>
      <c r="CV735" s="11"/>
      <c r="CW735" s="11"/>
      <c r="CX735" s="11"/>
      <c r="CY735" s="11"/>
      <c r="C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  <c r="CD736" s="11"/>
      <c r="CE736" s="11"/>
      <c r="CF736" s="11"/>
      <c r="CG736" s="11"/>
      <c r="CH736" s="11"/>
      <c r="CI736" s="11"/>
      <c r="CJ736" s="11"/>
      <c r="CK736" s="11"/>
      <c r="CL736" s="11"/>
      <c r="CM736" s="11"/>
      <c r="CN736" s="11"/>
      <c r="CO736" s="11"/>
      <c r="CP736" s="11"/>
      <c r="CQ736" s="11"/>
      <c r="CR736" s="11"/>
      <c r="CS736" s="11"/>
      <c r="CT736" s="11"/>
      <c r="CU736" s="11"/>
      <c r="CV736" s="11"/>
      <c r="CW736" s="11"/>
      <c r="CX736" s="11"/>
      <c r="CY736" s="11"/>
      <c r="C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  <c r="CD737" s="11"/>
      <c r="CE737" s="11"/>
      <c r="CF737" s="11"/>
      <c r="CG737" s="11"/>
      <c r="CH737" s="11"/>
      <c r="CI737" s="11"/>
      <c r="CJ737" s="11"/>
      <c r="CK737" s="11"/>
      <c r="CL737" s="11"/>
      <c r="CM737" s="11"/>
      <c r="CN737" s="11"/>
      <c r="CO737" s="11"/>
      <c r="CP737" s="11"/>
      <c r="CQ737" s="11"/>
      <c r="CR737" s="11"/>
      <c r="CS737" s="11"/>
      <c r="CT737" s="11"/>
      <c r="CU737" s="11"/>
      <c r="CV737" s="11"/>
      <c r="CW737" s="11"/>
      <c r="CX737" s="11"/>
      <c r="CY737" s="11"/>
      <c r="C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  <c r="CD738" s="11"/>
      <c r="CE738" s="11"/>
      <c r="CF738" s="11"/>
      <c r="CG738" s="11"/>
      <c r="CH738" s="11"/>
      <c r="CI738" s="11"/>
      <c r="CJ738" s="11"/>
      <c r="CK738" s="11"/>
      <c r="CL738" s="11"/>
      <c r="CM738" s="11"/>
      <c r="CN738" s="11"/>
      <c r="CO738" s="11"/>
      <c r="CP738" s="11"/>
      <c r="CQ738" s="11"/>
      <c r="CR738" s="11"/>
      <c r="CS738" s="11"/>
      <c r="CT738" s="11"/>
      <c r="CU738" s="11"/>
      <c r="CV738" s="11"/>
      <c r="CW738" s="11"/>
      <c r="CX738" s="11"/>
      <c r="CY738" s="11"/>
      <c r="C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  <c r="CD739" s="11"/>
      <c r="CE739" s="11"/>
      <c r="CF739" s="11"/>
      <c r="CG739" s="11"/>
      <c r="CH739" s="11"/>
      <c r="CI739" s="11"/>
      <c r="CJ739" s="11"/>
      <c r="CK739" s="11"/>
      <c r="CL739" s="11"/>
      <c r="CM739" s="11"/>
      <c r="CN739" s="11"/>
      <c r="CO739" s="11"/>
      <c r="CP739" s="11"/>
      <c r="CQ739" s="11"/>
      <c r="CR739" s="11"/>
      <c r="CS739" s="11"/>
      <c r="CT739" s="11"/>
      <c r="CU739" s="11"/>
      <c r="CV739" s="11"/>
      <c r="CW739" s="11"/>
      <c r="CX739" s="11"/>
      <c r="CY739" s="11"/>
      <c r="C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11"/>
      <c r="CD740" s="11"/>
      <c r="CE740" s="11"/>
      <c r="CF740" s="11"/>
      <c r="CG740" s="11"/>
      <c r="CH740" s="11"/>
      <c r="CI740" s="11"/>
      <c r="CJ740" s="11"/>
      <c r="CK740" s="11"/>
      <c r="CL740" s="11"/>
      <c r="CM740" s="11"/>
      <c r="CN740" s="11"/>
      <c r="CO740" s="11"/>
      <c r="CP740" s="11"/>
      <c r="CQ740" s="11"/>
      <c r="CR740" s="11"/>
      <c r="CS740" s="11"/>
      <c r="CT740" s="11"/>
      <c r="CU740" s="11"/>
      <c r="CV740" s="11"/>
      <c r="CW740" s="11"/>
      <c r="CX740" s="11"/>
      <c r="CY740" s="11"/>
      <c r="C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  <c r="CD741" s="11"/>
      <c r="CE741" s="11"/>
      <c r="CF741" s="11"/>
      <c r="CG741" s="11"/>
      <c r="CH741" s="11"/>
      <c r="CI741" s="11"/>
      <c r="CJ741" s="11"/>
      <c r="CK741" s="11"/>
      <c r="CL741" s="11"/>
      <c r="CM741" s="11"/>
      <c r="CN741" s="11"/>
      <c r="CO741" s="11"/>
      <c r="CP741" s="11"/>
      <c r="CQ741" s="11"/>
      <c r="CR741" s="11"/>
      <c r="CS741" s="11"/>
      <c r="CT741" s="11"/>
      <c r="CU741" s="11"/>
      <c r="CV741" s="11"/>
      <c r="CW741" s="11"/>
      <c r="CX741" s="11"/>
      <c r="CY741" s="11"/>
      <c r="C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11"/>
      <c r="CD742" s="11"/>
      <c r="CE742" s="11"/>
      <c r="CF742" s="11"/>
      <c r="CG742" s="11"/>
      <c r="CH742" s="11"/>
      <c r="CI742" s="11"/>
      <c r="CJ742" s="11"/>
      <c r="CK742" s="11"/>
      <c r="CL742" s="11"/>
      <c r="CM742" s="11"/>
      <c r="CN742" s="11"/>
      <c r="CO742" s="11"/>
      <c r="CP742" s="11"/>
      <c r="CQ742" s="11"/>
      <c r="CR742" s="11"/>
      <c r="CS742" s="11"/>
      <c r="CT742" s="11"/>
      <c r="CU742" s="11"/>
      <c r="CV742" s="11"/>
      <c r="CW742" s="11"/>
      <c r="CX742" s="11"/>
      <c r="CY742" s="11"/>
      <c r="C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  <c r="CC743" s="11"/>
      <c r="CD743" s="11"/>
      <c r="CE743" s="11"/>
      <c r="CF743" s="11"/>
      <c r="CG743" s="11"/>
      <c r="CH743" s="11"/>
      <c r="CI743" s="11"/>
      <c r="CJ743" s="11"/>
      <c r="CK743" s="11"/>
      <c r="CL743" s="11"/>
      <c r="CM743" s="11"/>
      <c r="CN743" s="11"/>
      <c r="CO743" s="11"/>
      <c r="CP743" s="11"/>
      <c r="CQ743" s="11"/>
      <c r="CR743" s="11"/>
      <c r="CS743" s="11"/>
      <c r="CT743" s="11"/>
      <c r="CU743" s="11"/>
      <c r="CV743" s="11"/>
      <c r="CW743" s="11"/>
      <c r="CX743" s="11"/>
      <c r="CY743" s="11"/>
      <c r="C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  <c r="CA746" s="11"/>
      <c r="CB746" s="11"/>
      <c r="CC746" s="11"/>
      <c r="CD746" s="11"/>
      <c r="CE746" s="11"/>
      <c r="CF746" s="11"/>
      <c r="CG746" s="11"/>
      <c r="CH746" s="11"/>
      <c r="CI746" s="11"/>
      <c r="CJ746" s="11"/>
      <c r="CK746" s="11"/>
      <c r="CL746" s="11"/>
      <c r="CM746" s="11"/>
      <c r="CN746" s="11"/>
      <c r="CO746" s="11"/>
      <c r="CP746" s="11"/>
      <c r="CQ746" s="11"/>
      <c r="CR746" s="11"/>
      <c r="CS746" s="11"/>
      <c r="CT746" s="11"/>
      <c r="CU746" s="11"/>
      <c r="CV746" s="11"/>
      <c r="CW746" s="11"/>
      <c r="CX746" s="11"/>
      <c r="CY746" s="11"/>
      <c r="C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  <c r="CA748" s="11"/>
      <c r="CB748" s="11"/>
      <c r="CC748" s="11"/>
      <c r="CD748" s="11"/>
      <c r="CE748" s="11"/>
      <c r="CF748" s="11"/>
      <c r="CG748" s="11"/>
      <c r="CH748" s="11"/>
      <c r="CI748" s="11"/>
      <c r="CJ748" s="11"/>
      <c r="CK748" s="11"/>
      <c r="CL748" s="11"/>
      <c r="CM748" s="11"/>
      <c r="CN748" s="11"/>
      <c r="CO748" s="11"/>
      <c r="CP748" s="11"/>
      <c r="CQ748" s="11"/>
      <c r="CR748" s="11"/>
      <c r="CS748" s="11"/>
      <c r="CT748" s="11"/>
      <c r="CU748" s="11"/>
      <c r="CV748" s="11"/>
      <c r="CW748" s="11"/>
      <c r="CX748" s="11"/>
      <c r="CY748" s="11"/>
      <c r="C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11"/>
      <c r="CD749" s="11"/>
      <c r="CE749" s="11"/>
      <c r="CF749" s="11"/>
      <c r="CG749" s="11"/>
      <c r="CH749" s="11"/>
      <c r="CI749" s="11"/>
      <c r="CJ749" s="11"/>
      <c r="CK749" s="11"/>
      <c r="CL749" s="11"/>
      <c r="CM749" s="11"/>
      <c r="CN749" s="11"/>
      <c r="CO749" s="11"/>
      <c r="CP749" s="11"/>
      <c r="CQ749" s="11"/>
      <c r="CR749" s="11"/>
      <c r="CS749" s="11"/>
      <c r="CT749" s="11"/>
      <c r="CU749" s="11"/>
      <c r="CV749" s="11"/>
      <c r="CW749" s="11"/>
      <c r="CX749" s="11"/>
      <c r="CY749" s="11"/>
      <c r="C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  <c r="CD751" s="11"/>
      <c r="CE751" s="11"/>
      <c r="CF751" s="11"/>
      <c r="CG751" s="11"/>
      <c r="CH751" s="11"/>
      <c r="CI751" s="11"/>
      <c r="CJ751" s="11"/>
      <c r="CK751" s="11"/>
      <c r="CL751" s="11"/>
      <c r="CM751" s="11"/>
      <c r="CN751" s="11"/>
      <c r="CO751" s="11"/>
      <c r="CP751" s="11"/>
      <c r="CQ751" s="11"/>
      <c r="CR751" s="11"/>
      <c r="CS751" s="11"/>
      <c r="CT751" s="11"/>
      <c r="CU751" s="11"/>
      <c r="CV751" s="11"/>
      <c r="CW751" s="11"/>
      <c r="CX751" s="11"/>
      <c r="CY751" s="11"/>
      <c r="C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11"/>
      <c r="CD752" s="11"/>
      <c r="CE752" s="11"/>
      <c r="CF752" s="11"/>
      <c r="CG752" s="11"/>
      <c r="CH752" s="11"/>
      <c r="CI752" s="11"/>
      <c r="CJ752" s="11"/>
      <c r="CK752" s="11"/>
      <c r="CL752" s="11"/>
      <c r="CM752" s="11"/>
      <c r="CN752" s="11"/>
      <c r="CO752" s="11"/>
      <c r="CP752" s="11"/>
      <c r="CQ752" s="11"/>
      <c r="CR752" s="11"/>
      <c r="CS752" s="11"/>
      <c r="CT752" s="11"/>
      <c r="CU752" s="11"/>
      <c r="CV752" s="11"/>
      <c r="CW752" s="11"/>
      <c r="CX752" s="11"/>
      <c r="CY752" s="11"/>
      <c r="C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  <c r="CA753" s="11"/>
      <c r="CB753" s="11"/>
      <c r="CC753" s="11"/>
      <c r="CD753" s="11"/>
      <c r="CE753" s="11"/>
      <c r="CF753" s="11"/>
      <c r="CG753" s="11"/>
      <c r="CH753" s="11"/>
      <c r="CI753" s="11"/>
      <c r="CJ753" s="11"/>
      <c r="CK753" s="11"/>
      <c r="CL753" s="11"/>
      <c r="CM753" s="11"/>
      <c r="CN753" s="11"/>
      <c r="CO753" s="11"/>
      <c r="CP753" s="11"/>
      <c r="CQ753" s="11"/>
      <c r="CR753" s="11"/>
      <c r="CS753" s="11"/>
      <c r="CT753" s="11"/>
      <c r="CU753" s="11"/>
      <c r="CV753" s="11"/>
      <c r="CW753" s="11"/>
      <c r="CX753" s="11"/>
      <c r="CY753" s="11"/>
      <c r="C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  <c r="CC754" s="11"/>
      <c r="CD754" s="11"/>
      <c r="CE754" s="11"/>
      <c r="CF754" s="11"/>
      <c r="CG754" s="11"/>
      <c r="CH754" s="11"/>
      <c r="CI754" s="11"/>
      <c r="CJ754" s="11"/>
      <c r="CK754" s="11"/>
      <c r="CL754" s="11"/>
      <c r="CM754" s="11"/>
      <c r="CN754" s="11"/>
      <c r="CO754" s="11"/>
      <c r="CP754" s="11"/>
      <c r="CQ754" s="11"/>
      <c r="CR754" s="11"/>
      <c r="CS754" s="11"/>
      <c r="CT754" s="11"/>
      <c r="CU754" s="11"/>
      <c r="CV754" s="11"/>
      <c r="CW754" s="11"/>
      <c r="CX754" s="11"/>
      <c r="CY754" s="11"/>
      <c r="C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  <c r="CC755" s="11"/>
      <c r="CD755" s="11"/>
      <c r="CE755" s="11"/>
      <c r="CF755" s="11"/>
      <c r="CG755" s="11"/>
      <c r="CH755" s="11"/>
      <c r="CI755" s="11"/>
      <c r="CJ755" s="11"/>
      <c r="CK755" s="11"/>
      <c r="CL755" s="11"/>
      <c r="CM755" s="11"/>
      <c r="CN755" s="11"/>
      <c r="CO755" s="11"/>
      <c r="CP755" s="11"/>
      <c r="CQ755" s="11"/>
      <c r="CR755" s="11"/>
      <c r="CS755" s="11"/>
      <c r="CT755" s="11"/>
      <c r="CU755" s="11"/>
      <c r="CV755" s="11"/>
      <c r="CW755" s="11"/>
      <c r="CX755" s="11"/>
      <c r="CY755" s="11"/>
      <c r="C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  <c r="CC756" s="11"/>
      <c r="CD756" s="11"/>
      <c r="CE756" s="11"/>
      <c r="CF756" s="11"/>
      <c r="CG756" s="11"/>
      <c r="CH756" s="11"/>
      <c r="CI756" s="11"/>
      <c r="CJ756" s="11"/>
      <c r="CK756" s="11"/>
      <c r="CL756" s="11"/>
      <c r="CM756" s="11"/>
      <c r="CN756" s="11"/>
      <c r="CO756" s="11"/>
      <c r="CP756" s="11"/>
      <c r="CQ756" s="11"/>
      <c r="CR756" s="11"/>
      <c r="CS756" s="11"/>
      <c r="CT756" s="11"/>
      <c r="CU756" s="11"/>
      <c r="CV756" s="11"/>
      <c r="CW756" s="11"/>
      <c r="CX756" s="11"/>
      <c r="CY756" s="11"/>
      <c r="C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11"/>
      <c r="CD757" s="11"/>
      <c r="CE757" s="11"/>
      <c r="CF757" s="11"/>
      <c r="CG757" s="11"/>
      <c r="CH757" s="11"/>
      <c r="CI757" s="11"/>
      <c r="CJ757" s="11"/>
      <c r="CK757" s="11"/>
      <c r="CL757" s="11"/>
      <c r="CM757" s="11"/>
      <c r="CN757" s="11"/>
      <c r="CO757" s="11"/>
      <c r="CP757" s="11"/>
      <c r="CQ757" s="11"/>
      <c r="CR757" s="11"/>
      <c r="CS757" s="11"/>
      <c r="CT757" s="11"/>
      <c r="CU757" s="11"/>
      <c r="CV757" s="11"/>
      <c r="CW757" s="11"/>
      <c r="CX757" s="11"/>
      <c r="CY757" s="11"/>
      <c r="C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11"/>
      <c r="CD758" s="11"/>
      <c r="CE758" s="11"/>
      <c r="CF758" s="11"/>
      <c r="CG758" s="11"/>
      <c r="CH758" s="11"/>
      <c r="CI758" s="11"/>
      <c r="CJ758" s="11"/>
      <c r="CK758" s="11"/>
      <c r="CL758" s="11"/>
      <c r="CM758" s="11"/>
      <c r="CN758" s="11"/>
      <c r="CO758" s="11"/>
      <c r="CP758" s="11"/>
      <c r="CQ758" s="11"/>
      <c r="CR758" s="11"/>
      <c r="CS758" s="11"/>
      <c r="CT758" s="11"/>
      <c r="CU758" s="11"/>
      <c r="CV758" s="11"/>
      <c r="CW758" s="11"/>
      <c r="CX758" s="11"/>
      <c r="CY758" s="11"/>
      <c r="C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  <c r="CC759" s="11"/>
      <c r="CD759" s="11"/>
      <c r="CE759" s="11"/>
      <c r="CF759" s="11"/>
      <c r="CG759" s="11"/>
      <c r="CH759" s="11"/>
      <c r="CI759" s="11"/>
      <c r="CJ759" s="11"/>
      <c r="CK759" s="11"/>
      <c r="CL759" s="11"/>
      <c r="CM759" s="11"/>
      <c r="CN759" s="11"/>
      <c r="CO759" s="11"/>
      <c r="CP759" s="11"/>
      <c r="CQ759" s="11"/>
      <c r="CR759" s="11"/>
      <c r="CS759" s="11"/>
      <c r="CT759" s="11"/>
      <c r="CU759" s="11"/>
      <c r="CV759" s="11"/>
      <c r="CW759" s="11"/>
      <c r="CX759" s="11"/>
      <c r="CY759" s="11"/>
      <c r="C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  <c r="CC760" s="11"/>
      <c r="CD760" s="11"/>
      <c r="CE760" s="11"/>
      <c r="CF760" s="11"/>
      <c r="CG760" s="11"/>
      <c r="CH760" s="11"/>
      <c r="CI760" s="11"/>
      <c r="CJ760" s="11"/>
      <c r="CK760" s="11"/>
      <c r="CL760" s="11"/>
      <c r="CM760" s="11"/>
      <c r="CN760" s="11"/>
      <c r="CO760" s="11"/>
      <c r="CP760" s="11"/>
      <c r="CQ760" s="11"/>
      <c r="CR760" s="11"/>
      <c r="CS760" s="11"/>
      <c r="CT760" s="11"/>
      <c r="CU760" s="11"/>
      <c r="CV760" s="11"/>
      <c r="CW760" s="11"/>
      <c r="CX760" s="11"/>
      <c r="CY760" s="11"/>
      <c r="C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  <c r="CC761" s="11"/>
      <c r="CD761" s="11"/>
      <c r="CE761" s="11"/>
      <c r="CF761" s="11"/>
      <c r="CG761" s="11"/>
      <c r="CH761" s="11"/>
      <c r="CI761" s="11"/>
      <c r="CJ761" s="11"/>
      <c r="CK761" s="11"/>
      <c r="CL761" s="11"/>
      <c r="CM761" s="11"/>
      <c r="CN761" s="11"/>
      <c r="CO761" s="11"/>
      <c r="CP761" s="11"/>
      <c r="CQ761" s="11"/>
      <c r="CR761" s="11"/>
      <c r="CS761" s="11"/>
      <c r="CT761" s="11"/>
      <c r="CU761" s="11"/>
      <c r="CV761" s="11"/>
      <c r="CW761" s="11"/>
      <c r="CX761" s="11"/>
      <c r="CY761" s="11"/>
      <c r="C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11"/>
      <c r="CD762" s="11"/>
      <c r="CE762" s="11"/>
      <c r="CF762" s="11"/>
      <c r="CG762" s="11"/>
      <c r="CH762" s="11"/>
      <c r="CI762" s="11"/>
      <c r="CJ762" s="11"/>
      <c r="CK762" s="11"/>
      <c r="CL762" s="11"/>
      <c r="CM762" s="11"/>
      <c r="CN762" s="11"/>
      <c r="CO762" s="11"/>
      <c r="CP762" s="11"/>
      <c r="CQ762" s="11"/>
      <c r="CR762" s="11"/>
      <c r="CS762" s="11"/>
      <c r="CT762" s="11"/>
      <c r="CU762" s="11"/>
      <c r="CV762" s="11"/>
      <c r="CW762" s="11"/>
      <c r="CX762" s="11"/>
      <c r="CY762" s="11"/>
      <c r="C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B763" s="11"/>
      <c r="CC763" s="11"/>
      <c r="CD763" s="11"/>
      <c r="CE763" s="11"/>
      <c r="CF763" s="11"/>
      <c r="CG763" s="11"/>
      <c r="CH763" s="11"/>
      <c r="CI763" s="11"/>
      <c r="CJ763" s="11"/>
      <c r="CK763" s="11"/>
      <c r="CL763" s="11"/>
      <c r="CM763" s="11"/>
      <c r="CN763" s="11"/>
      <c r="CO763" s="11"/>
      <c r="CP763" s="11"/>
      <c r="CQ763" s="11"/>
      <c r="CR763" s="11"/>
      <c r="CS763" s="11"/>
      <c r="CT763" s="11"/>
      <c r="CU763" s="11"/>
      <c r="CV763" s="11"/>
      <c r="CW763" s="11"/>
      <c r="CX763" s="11"/>
      <c r="CY763" s="11"/>
      <c r="C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  <c r="CC764" s="11"/>
      <c r="CD764" s="11"/>
      <c r="CE764" s="11"/>
      <c r="CF764" s="11"/>
      <c r="CG764" s="11"/>
      <c r="CH764" s="11"/>
      <c r="CI764" s="11"/>
      <c r="CJ764" s="11"/>
      <c r="CK764" s="11"/>
      <c r="CL764" s="11"/>
      <c r="CM764" s="11"/>
      <c r="CN764" s="11"/>
      <c r="CO764" s="11"/>
      <c r="CP764" s="11"/>
      <c r="CQ764" s="11"/>
      <c r="CR764" s="11"/>
      <c r="CS764" s="11"/>
      <c r="CT764" s="11"/>
      <c r="CU764" s="11"/>
      <c r="CV764" s="11"/>
      <c r="CW764" s="11"/>
      <c r="CX764" s="11"/>
      <c r="CY764" s="11"/>
      <c r="C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  <c r="CC765" s="11"/>
      <c r="CD765" s="11"/>
      <c r="CE765" s="11"/>
      <c r="CF765" s="11"/>
      <c r="CG765" s="11"/>
      <c r="CH765" s="11"/>
      <c r="CI765" s="11"/>
      <c r="CJ765" s="11"/>
      <c r="CK765" s="11"/>
      <c r="CL765" s="11"/>
      <c r="CM765" s="11"/>
      <c r="CN765" s="11"/>
      <c r="CO765" s="11"/>
      <c r="CP765" s="11"/>
      <c r="CQ765" s="11"/>
      <c r="CR765" s="11"/>
      <c r="CS765" s="11"/>
      <c r="CT765" s="11"/>
      <c r="CU765" s="11"/>
      <c r="CV765" s="11"/>
      <c r="CW765" s="11"/>
      <c r="CX765" s="11"/>
      <c r="CY765" s="11"/>
      <c r="C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  <c r="CC766" s="11"/>
      <c r="CD766" s="11"/>
      <c r="CE766" s="11"/>
      <c r="CF766" s="11"/>
      <c r="CG766" s="11"/>
      <c r="CH766" s="11"/>
      <c r="CI766" s="11"/>
      <c r="CJ766" s="11"/>
      <c r="CK766" s="11"/>
      <c r="CL766" s="11"/>
      <c r="CM766" s="11"/>
      <c r="CN766" s="11"/>
      <c r="CO766" s="11"/>
      <c r="CP766" s="11"/>
      <c r="CQ766" s="11"/>
      <c r="CR766" s="11"/>
      <c r="CS766" s="11"/>
      <c r="CT766" s="11"/>
      <c r="CU766" s="11"/>
      <c r="CV766" s="11"/>
      <c r="CW766" s="11"/>
      <c r="CX766" s="11"/>
      <c r="CY766" s="11"/>
      <c r="C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  <c r="CD767" s="11"/>
      <c r="CE767" s="11"/>
      <c r="CF767" s="11"/>
      <c r="CG767" s="11"/>
      <c r="CH767" s="11"/>
      <c r="CI767" s="11"/>
      <c r="CJ767" s="11"/>
      <c r="CK767" s="11"/>
      <c r="CL767" s="11"/>
      <c r="CM767" s="11"/>
      <c r="CN767" s="11"/>
      <c r="CO767" s="11"/>
      <c r="CP767" s="11"/>
      <c r="CQ767" s="11"/>
      <c r="CR767" s="11"/>
      <c r="CS767" s="11"/>
      <c r="CT767" s="11"/>
      <c r="CU767" s="11"/>
      <c r="CV767" s="11"/>
      <c r="CW767" s="11"/>
      <c r="CX767" s="11"/>
      <c r="CY767" s="11"/>
      <c r="C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11"/>
      <c r="CD768" s="11"/>
      <c r="CE768" s="11"/>
      <c r="CF768" s="11"/>
      <c r="CG768" s="11"/>
      <c r="CH768" s="11"/>
      <c r="CI768" s="11"/>
      <c r="CJ768" s="11"/>
      <c r="CK768" s="11"/>
      <c r="CL768" s="11"/>
      <c r="CM768" s="11"/>
      <c r="CN768" s="11"/>
      <c r="CO768" s="11"/>
      <c r="CP768" s="11"/>
      <c r="CQ768" s="11"/>
      <c r="CR768" s="11"/>
      <c r="CS768" s="11"/>
      <c r="CT768" s="11"/>
      <c r="CU768" s="11"/>
      <c r="CV768" s="11"/>
      <c r="CW768" s="11"/>
      <c r="CX768" s="11"/>
      <c r="CY768" s="11"/>
      <c r="C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  <c r="CC769" s="11"/>
      <c r="CD769" s="11"/>
      <c r="CE769" s="11"/>
      <c r="CF769" s="11"/>
      <c r="CG769" s="11"/>
      <c r="CH769" s="11"/>
      <c r="CI769" s="11"/>
      <c r="CJ769" s="11"/>
      <c r="CK769" s="11"/>
      <c r="CL769" s="11"/>
      <c r="CM769" s="11"/>
      <c r="CN769" s="11"/>
      <c r="CO769" s="11"/>
      <c r="CP769" s="11"/>
      <c r="CQ769" s="11"/>
      <c r="CR769" s="11"/>
      <c r="CS769" s="11"/>
      <c r="CT769" s="11"/>
      <c r="CU769" s="11"/>
      <c r="CV769" s="11"/>
      <c r="CW769" s="11"/>
      <c r="CX769" s="11"/>
      <c r="CY769" s="11"/>
      <c r="C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  <c r="CC770" s="11"/>
      <c r="CD770" s="11"/>
      <c r="CE770" s="11"/>
      <c r="CF770" s="11"/>
      <c r="CG770" s="11"/>
      <c r="CH770" s="11"/>
      <c r="CI770" s="11"/>
      <c r="CJ770" s="11"/>
      <c r="CK770" s="11"/>
      <c r="CL770" s="11"/>
      <c r="CM770" s="11"/>
      <c r="CN770" s="11"/>
      <c r="CO770" s="11"/>
      <c r="CP770" s="11"/>
      <c r="CQ770" s="11"/>
      <c r="CR770" s="11"/>
      <c r="CS770" s="11"/>
      <c r="CT770" s="11"/>
      <c r="CU770" s="11"/>
      <c r="CV770" s="11"/>
      <c r="CW770" s="11"/>
      <c r="CX770" s="11"/>
      <c r="CY770" s="11"/>
      <c r="C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  <c r="CA771" s="11"/>
      <c r="CB771" s="11"/>
      <c r="CC771" s="11"/>
      <c r="CD771" s="11"/>
      <c r="CE771" s="11"/>
      <c r="CF771" s="11"/>
      <c r="CG771" s="11"/>
      <c r="CH771" s="11"/>
      <c r="CI771" s="11"/>
      <c r="CJ771" s="11"/>
      <c r="CK771" s="11"/>
      <c r="CL771" s="11"/>
      <c r="CM771" s="11"/>
      <c r="CN771" s="11"/>
      <c r="CO771" s="11"/>
      <c r="CP771" s="11"/>
      <c r="CQ771" s="11"/>
      <c r="CR771" s="11"/>
      <c r="CS771" s="11"/>
      <c r="CT771" s="11"/>
      <c r="CU771" s="11"/>
      <c r="CV771" s="11"/>
      <c r="CW771" s="11"/>
      <c r="CX771" s="11"/>
      <c r="CY771" s="11"/>
      <c r="C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  <c r="CA772" s="11"/>
      <c r="CB772" s="11"/>
      <c r="CC772" s="11"/>
      <c r="CD772" s="11"/>
      <c r="CE772" s="11"/>
      <c r="CF772" s="11"/>
      <c r="CG772" s="11"/>
      <c r="CH772" s="11"/>
      <c r="CI772" s="11"/>
      <c r="CJ772" s="11"/>
      <c r="CK772" s="11"/>
      <c r="CL772" s="11"/>
      <c r="CM772" s="11"/>
      <c r="CN772" s="11"/>
      <c r="CO772" s="11"/>
      <c r="CP772" s="11"/>
      <c r="CQ772" s="11"/>
      <c r="CR772" s="11"/>
      <c r="CS772" s="11"/>
      <c r="CT772" s="11"/>
      <c r="CU772" s="11"/>
      <c r="CV772" s="11"/>
      <c r="CW772" s="11"/>
      <c r="CX772" s="11"/>
      <c r="CY772" s="11"/>
      <c r="C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11"/>
      <c r="CD773" s="11"/>
      <c r="CE773" s="11"/>
      <c r="CF773" s="11"/>
      <c r="CG773" s="11"/>
      <c r="CH773" s="11"/>
      <c r="CI773" s="11"/>
      <c r="CJ773" s="11"/>
      <c r="CK773" s="11"/>
      <c r="CL773" s="11"/>
      <c r="CM773" s="11"/>
      <c r="CN773" s="11"/>
      <c r="CO773" s="11"/>
      <c r="CP773" s="11"/>
      <c r="CQ773" s="11"/>
      <c r="CR773" s="11"/>
      <c r="CS773" s="11"/>
      <c r="CT773" s="11"/>
      <c r="CU773" s="11"/>
      <c r="CV773" s="11"/>
      <c r="CW773" s="11"/>
      <c r="CX773" s="11"/>
      <c r="CY773" s="11"/>
      <c r="C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  <c r="CC774" s="11"/>
      <c r="CD774" s="11"/>
      <c r="CE774" s="11"/>
      <c r="CF774" s="11"/>
      <c r="CG774" s="11"/>
      <c r="CH774" s="11"/>
      <c r="CI774" s="11"/>
      <c r="CJ774" s="11"/>
      <c r="CK774" s="11"/>
      <c r="CL774" s="11"/>
      <c r="CM774" s="11"/>
      <c r="CN774" s="11"/>
      <c r="CO774" s="11"/>
      <c r="CP774" s="11"/>
      <c r="CQ774" s="11"/>
      <c r="CR774" s="11"/>
      <c r="CS774" s="11"/>
      <c r="CT774" s="11"/>
      <c r="CU774" s="11"/>
      <c r="CV774" s="11"/>
      <c r="CW774" s="11"/>
      <c r="CX774" s="11"/>
      <c r="CY774" s="11"/>
      <c r="C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  <c r="CA775" s="11"/>
      <c r="CB775" s="11"/>
      <c r="CC775" s="11"/>
      <c r="CD775" s="11"/>
      <c r="CE775" s="11"/>
      <c r="CF775" s="11"/>
      <c r="CG775" s="11"/>
      <c r="CH775" s="11"/>
      <c r="CI775" s="11"/>
      <c r="CJ775" s="11"/>
      <c r="CK775" s="11"/>
      <c r="CL775" s="11"/>
      <c r="CM775" s="11"/>
      <c r="CN775" s="11"/>
      <c r="CO775" s="11"/>
      <c r="CP775" s="11"/>
      <c r="CQ775" s="11"/>
      <c r="CR775" s="11"/>
      <c r="CS775" s="11"/>
      <c r="CT775" s="11"/>
      <c r="CU775" s="11"/>
      <c r="CV775" s="11"/>
      <c r="CW775" s="11"/>
      <c r="CX775" s="11"/>
      <c r="CY775" s="11"/>
      <c r="C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11"/>
      <c r="CD776" s="11"/>
      <c r="CE776" s="11"/>
      <c r="CF776" s="11"/>
      <c r="CG776" s="11"/>
      <c r="CH776" s="11"/>
      <c r="CI776" s="11"/>
      <c r="CJ776" s="11"/>
      <c r="CK776" s="11"/>
      <c r="CL776" s="11"/>
      <c r="CM776" s="11"/>
      <c r="CN776" s="11"/>
      <c r="CO776" s="11"/>
      <c r="CP776" s="11"/>
      <c r="CQ776" s="11"/>
      <c r="CR776" s="11"/>
      <c r="CS776" s="11"/>
      <c r="CT776" s="11"/>
      <c r="CU776" s="11"/>
      <c r="CV776" s="11"/>
      <c r="CW776" s="11"/>
      <c r="CX776" s="11"/>
      <c r="CY776" s="11"/>
      <c r="C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  <c r="CC777" s="11"/>
      <c r="CD777" s="11"/>
      <c r="CE777" s="11"/>
      <c r="CF777" s="11"/>
      <c r="CG777" s="11"/>
      <c r="CH777" s="11"/>
      <c r="CI777" s="11"/>
      <c r="CJ777" s="11"/>
      <c r="CK777" s="11"/>
      <c r="CL777" s="11"/>
      <c r="CM777" s="11"/>
      <c r="CN777" s="11"/>
      <c r="CO777" s="11"/>
      <c r="CP777" s="11"/>
      <c r="CQ777" s="11"/>
      <c r="CR777" s="11"/>
      <c r="CS777" s="11"/>
      <c r="CT777" s="11"/>
      <c r="CU777" s="11"/>
      <c r="CV777" s="11"/>
      <c r="CW777" s="11"/>
      <c r="CX777" s="11"/>
      <c r="CY777" s="11"/>
      <c r="C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  <c r="CC778" s="11"/>
      <c r="CD778" s="11"/>
      <c r="CE778" s="11"/>
      <c r="CF778" s="11"/>
      <c r="CG778" s="11"/>
      <c r="CH778" s="11"/>
      <c r="CI778" s="11"/>
      <c r="CJ778" s="11"/>
      <c r="CK778" s="11"/>
      <c r="CL778" s="11"/>
      <c r="CM778" s="11"/>
      <c r="CN778" s="11"/>
      <c r="CO778" s="11"/>
      <c r="CP778" s="11"/>
      <c r="CQ778" s="11"/>
      <c r="CR778" s="11"/>
      <c r="CS778" s="11"/>
      <c r="CT778" s="11"/>
      <c r="CU778" s="11"/>
      <c r="CV778" s="11"/>
      <c r="CW778" s="11"/>
      <c r="CX778" s="11"/>
      <c r="CY778" s="11"/>
      <c r="C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  <c r="CA779" s="11"/>
      <c r="CB779" s="11"/>
      <c r="CC779" s="11"/>
      <c r="CD779" s="11"/>
      <c r="CE779" s="11"/>
      <c r="CF779" s="11"/>
      <c r="CG779" s="11"/>
      <c r="CH779" s="11"/>
      <c r="CI779" s="11"/>
      <c r="CJ779" s="11"/>
      <c r="CK779" s="11"/>
      <c r="CL779" s="11"/>
      <c r="CM779" s="11"/>
      <c r="CN779" s="11"/>
      <c r="CO779" s="11"/>
      <c r="CP779" s="11"/>
      <c r="CQ779" s="11"/>
      <c r="CR779" s="11"/>
      <c r="CS779" s="11"/>
      <c r="CT779" s="11"/>
      <c r="CU779" s="11"/>
      <c r="CV779" s="11"/>
      <c r="CW779" s="11"/>
      <c r="CX779" s="11"/>
      <c r="CY779" s="11"/>
      <c r="C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  <c r="CD780" s="11"/>
      <c r="CE780" s="11"/>
      <c r="CF780" s="11"/>
      <c r="CG780" s="11"/>
      <c r="CH780" s="11"/>
      <c r="CI780" s="11"/>
      <c r="CJ780" s="11"/>
      <c r="CK780" s="11"/>
      <c r="CL780" s="11"/>
      <c r="CM780" s="11"/>
      <c r="CN780" s="11"/>
      <c r="CO780" s="11"/>
      <c r="CP780" s="11"/>
      <c r="CQ780" s="11"/>
      <c r="CR780" s="11"/>
      <c r="CS780" s="11"/>
      <c r="CT780" s="11"/>
      <c r="CU780" s="11"/>
      <c r="CV780" s="11"/>
      <c r="CW780" s="11"/>
      <c r="CX780" s="11"/>
      <c r="CY780" s="11"/>
      <c r="C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  <c r="CC781" s="11"/>
      <c r="CD781" s="11"/>
      <c r="CE781" s="11"/>
      <c r="CF781" s="11"/>
      <c r="CG781" s="11"/>
      <c r="CH781" s="11"/>
      <c r="CI781" s="11"/>
      <c r="CJ781" s="11"/>
      <c r="CK781" s="11"/>
      <c r="CL781" s="11"/>
      <c r="CM781" s="11"/>
      <c r="CN781" s="11"/>
      <c r="CO781" s="11"/>
      <c r="CP781" s="11"/>
      <c r="CQ781" s="11"/>
      <c r="CR781" s="11"/>
      <c r="CS781" s="11"/>
      <c r="CT781" s="11"/>
      <c r="CU781" s="11"/>
      <c r="CV781" s="11"/>
      <c r="CW781" s="11"/>
      <c r="CX781" s="11"/>
      <c r="CY781" s="11"/>
      <c r="C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  <c r="CA782" s="11"/>
      <c r="CB782" s="11"/>
      <c r="CC782" s="11"/>
      <c r="CD782" s="11"/>
      <c r="CE782" s="11"/>
      <c r="CF782" s="11"/>
      <c r="CG782" s="11"/>
      <c r="CH782" s="11"/>
      <c r="CI782" s="11"/>
      <c r="CJ782" s="11"/>
      <c r="CK782" s="11"/>
      <c r="CL782" s="11"/>
      <c r="CM782" s="11"/>
      <c r="CN782" s="11"/>
      <c r="CO782" s="11"/>
      <c r="CP782" s="11"/>
      <c r="CQ782" s="11"/>
      <c r="CR782" s="11"/>
      <c r="CS782" s="11"/>
      <c r="CT782" s="11"/>
      <c r="CU782" s="11"/>
      <c r="CV782" s="11"/>
      <c r="CW782" s="11"/>
      <c r="CX782" s="11"/>
      <c r="CY782" s="11"/>
      <c r="C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  <c r="CC783" s="11"/>
      <c r="CD783" s="11"/>
      <c r="CE783" s="11"/>
      <c r="CF783" s="11"/>
      <c r="CG783" s="11"/>
      <c r="CH783" s="11"/>
      <c r="CI783" s="11"/>
      <c r="CJ783" s="11"/>
      <c r="CK783" s="11"/>
      <c r="CL783" s="11"/>
      <c r="CM783" s="11"/>
      <c r="CN783" s="11"/>
      <c r="CO783" s="11"/>
      <c r="CP783" s="11"/>
      <c r="CQ783" s="11"/>
      <c r="CR783" s="11"/>
      <c r="CS783" s="11"/>
      <c r="CT783" s="11"/>
      <c r="CU783" s="11"/>
      <c r="CV783" s="11"/>
      <c r="CW783" s="11"/>
      <c r="CX783" s="11"/>
      <c r="CY783" s="11"/>
      <c r="C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11"/>
      <c r="CD786" s="11"/>
      <c r="CE786" s="11"/>
      <c r="CF786" s="11"/>
      <c r="CG786" s="11"/>
      <c r="CH786" s="11"/>
      <c r="CI786" s="11"/>
      <c r="CJ786" s="11"/>
      <c r="CK786" s="11"/>
      <c r="CL786" s="11"/>
      <c r="CM786" s="11"/>
      <c r="CN786" s="11"/>
      <c r="CO786" s="11"/>
      <c r="CP786" s="11"/>
      <c r="CQ786" s="11"/>
      <c r="CR786" s="11"/>
      <c r="CS786" s="11"/>
      <c r="CT786" s="11"/>
      <c r="CU786" s="11"/>
      <c r="CV786" s="11"/>
      <c r="CW786" s="11"/>
      <c r="CX786" s="11"/>
      <c r="CY786" s="11"/>
      <c r="C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  <c r="CD787" s="11"/>
      <c r="CE787" s="11"/>
      <c r="CF787" s="11"/>
      <c r="CG787" s="11"/>
      <c r="CH787" s="11"/>
      <c r="CI787" s="11"/>
      <c r="CJ787" s="11"/>
      <c r="CK787" s="11"/>
      <c r="CL787" s="11"/>
      <c r="CM787" s="11"/>
      <c r="CN787" s="11"/>
      <c r="CO787" s="11"/>
      <c r="CP787" s="11"/>
      <c r="CQ787" s="11"/>
      <c r="CR787" s="11"/>
      <c r="CS787" s="11"/>
      <c r="CT787" s="11"/>
      <c r="CU787" s="11"/>
      <c r="CV787" s="11"/>
      <c r="CW787" s="11"/>
      <c r="CX787" s="11"/>
      <c r="CY787" s="11"/>
      <c r="C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  <c r="CD788" s="11"/>
      <c r="CE788" s="11"/>
      <c r="CF788" s="11"/>
      <c r="CG788" s="11"/>
      <c r="CH788" s="11"/>
      <c r="CI788" s="11"/>
      <c r="CJ788" s="11"/>
      <c r="CK788" s="11"/>
      <c r="CL788" s="11"/>
      <c r="CM788" s="11"/>
      <c r="CN788" s="11"/>
      <c r="CO788" s="11"/>
      <c r="CP788" s="11"/>
      <c r="CQ788" s="11"/>
      <c r="CR788" s="11"/>
      <c r="CS788" s="11"/>
      <c r="CT788" s="11"/>
      <c r="CU788" s="11"/>
      <c r="CV788" s="11"/>
      <c r="CW788" s="11"/>
      <c r="CX788" s="11"/>
      <c r="CY788" s="11"/>
      <c r="C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11"/>
      <c r="CD789" s="11"/>
      <c r="CE789" s="11"/>
      <c r="CF789" s="11"/>
      <c r="CG789" s="11"/>
      <c r="CH789" s="11"/>
      <c r="CI789" s="11"/>
      <c r="CJ789" s="11"/>
      <c r="CK789" s="11"/>
      <c r="CL789" s="11"/>
      <c r="CM789" s="11"/>
      <c r="CN789" s="11"/>
      <c r="CO789" s="11"/>
      <c r="CP789" s="11"/>
      <c r="CQ789" s="11"/>
      <c r="CR789" s="11"/>
      <c r="CS789" s="11"/>
      <c r="CT789" s="11"/>
      <c r="CU789" s="11"/>
      <c r="CV789" s="11"/>
      <c r="CW789" s="11"/>
      <c r="CX789" s="11"/>
      <c r="CY789" s="11"/>
      <c r="C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  <c r="CA791" s="11"/>
      <c r="CB791" s="11"/>
      <c r="CC791" s="11"/>
      <c r="CD791" s="11"/>
      <c r="CE791" s="11"/>
      <c r="CF791" s="11"/>
      <c r="CG791" s="11"/>
      <c r="CH791" s="11"/>
      <c r="CI791" s="11"/>
      <c r="CJ791" s="11"/>
      <c r="CK791" s="11"/>
      <c r="CL791" s="11"/>
      <c r="CM791" s="11"/>
      <c r="CN791" s="11"/>
      <c r="CO791" s="11"/>
      <c r="CP791" s="11"/>
      <c r="CQ791" s="11"/>
      <c r="CR791" s="11"/>
      <c r="CS791" s="11"/>
      <c r="CT791" s="11"/>
      <c r="CU791" s="11"/>
      <c r="CV791" s="11"/>
      <c r="CW791" s="11"/>
      <c r="CX791" s="11"/>
      <c r="CY791" s="11"/>
      <c r="C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11"/>
      <c r="CD792" s="11"/>
      <c r="CE792" s="11"/>
      <c r="CF792" s="11"/>
      <c r="CG792" s="11"/>
      <c r="CH792" s="11"/>
      <c r="CI792" s="11"/>
      <c r="CJ792" s="11"/>
      <c r="CK792" s="11"/>
      <c r="CL792" s="11"/>
      <c r="CM792" s="11"/>
      <c r="CN792" s="11"/>
      <c r="CO792" s="11"/>
      <c r="CP792" s="11"/>
      <c r="CQ792" s="11"/>
      <c r="CR792" s="11"/>
      <c r="CS792" s="11"/>
      <c r="CT792" s="11"/>
      <c r="CU792" s="11"/>
      <c r="CV792" s="11"/>
      <c r="CW792" s="11"/>
      <c r="CX792" s="11"/>
      <c r="CY792" s="11"/>
      <c r="C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  <c r="CA793" s="11"/>
      <c r="CB793" s="11"/>
      <c r="CC793" s="11"/>
      <c r="CD793" s="11"/>
      <c r="CE793" s="11"/>
      <c r="CF793" s="11"/>
      <c r="CG793" s="11"/>
      <c r="CH793" s="11"/>
      <c r="CI793" s="11"/>
      <c r="CJ793" s="11"/>
      <c r="CK793" s="11"/>
      <c r="CL793" s="11"/>
      <c r="CM793" s="11"/>
      <c r="CN793" s="11"/>
      <c r="CO793" s="11"/>
      <c r="CP793" s="11"/>
      <c r="CQ793" s="11"/>
      <c r="CR793" s="11"/>
      <c r="CS793" s="11"/>
      <c r="CT793" s="11"/>
      <c r="CU793" s="11"/>
      <c r="CV793" s="11"/>
      <c r="CW793" s="11"/>
      <c r="CX793" s="11"/>
      <c r="CY793" s="11"/>
      <c r="C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11"/>
      <c r="CD794" s="11"/>
      <c r="CE794" s="11"/>
      <c r="CF794" s="11"/>
      <c r="CG794" s="11"/>
      <c r="CH794" s="11"/>
      <c r="CI794" s="11"/>
      <c r="CJ794" s="11"/>
      <c r="CK794" s="11"/>
      <c r="CL794" s="11"/>
      <c r="CM794" s="11"/>
      <c r="CN794" s="11"/>
      <c r="CO794" s="11"/>
      <c r="CP794" s="11"/>
      <c r="CQ794" s="11"/>
      <c r="CR794" s="11"/>
      <c r="CS794" s="11"/>
      <c r="CT794" s="11"/>
      <c r="CU794" s="11"/>
      <c r="CV794" s="11"/>
      <c r="CW794" s="11"/>
      <c r="CX794" s="11"/>
      <c r="CY794" s="11"/>
      <c r="C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11"/>
      <c r="CD795" s="11"/>
      <c r="CE795" s="11"/>
      <c r="CF795" s="11"/>
      <c r="CG795" s="11"/>
      <c r="CH795" s="11"/>
      <c r="CI795" s="11"/>
      <c r="CJ795" s="11"/>
      <c r="CK795" s="11"/>
      <c r="CL795" s="11"/>
      <c r="CM795" s="11"/>
      <c r="CN795" s="11"/>
      <c r="CO795" s="11"/>
      <c r="CP795" s="11"/>
      <c r="CQ795" s="11"/>
      <c r="CR795" s="11"/>
      <c r="CS795" s="11"/>
      <c r="CT795" s="11"/>
      <c r="CU795" s="11"/>
      <c r="CV795" s="11"/>
      <c r="CW795" s="11"/>
      <c r="CX795" s="11"/>
      <c r="CY795" s="11"/>
      <c r="C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11"/>
      <c r="CD796" s="11"/>
      <c r="CE796" s="11"/>
      <c r="CF796" s="11"/>
      <c r="CG796" s="11"/>
      <c r="CH796" s="11"/>
      <c r="CI796" s="11"/>
      <c r="CJ796" s="11"/>
      <c r="CK796" s="11"/>
      <c r="CL796" s="11"/>
      <c r="CM796" s="11"/>
      <c r="CN796" s="11"/>
      <c r="CO796" s="11"/>
      <c r="CP796" s="11"/>
      <c r="CQ796" s="11"/>
      <c r="CR796" s="11"/>
      <c r="CS796" s="11"/>
      <c r="CT796" s="11"/>
      <c r="CU796" s="11"/>
      <c r="CV796" s="11"/>
      <c r="CW796" s="11"/>
      <c r="CX796" s="11"/>
      <c r="CY796" s="11"/>
      <c r="C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  <c r="CD797" s="11"/>
      <c r="CE797" s="11"/>
      <c r="CF797" s="11"/>
      <c r="CG797" s="11"/>
      <c r="CH797" s="11"/>
      <c r="CI797" s="11"/>
      <c r="CJ797" s="11"/>
      <c r="CK797" s="11"/>
      <c r="CL797" s="11"/>
      <c r="CM797" s="11"/>
      <c r="CN797" s="11"/>
      <c r="CO797" s="11"/>
      <c r="CP797" s="11"/>
      <c r="CQ797" s="11"/>
      <c r="CR797" s="11"/>
      <c r="CS797" s="11"/>
      <c r="CT797" s="11"/>
      <c r="CU797" s="11"/>
      <c r="CV797" s="11"/>
      <c r="CW797" s="11"/>
      <c r="CX797" s="11"/>
      <c r="CY797" s="11"/>
      <c r="C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  <c r="CC798" s="11"/>
      <c r="CD798" s="11"/>
      <c r="CE798" s="11"/>
      <c r="CF798" s="11"/>
      <c r="CG798" s="11"/>
      <c r="CH798" s="11"/>
      <c r="CI798" s="11"/>
      <c r="CJ798" s="11"/>
      <c r="CK798" s="11"/>
      <c r="CL798" s="11"/>
      <c r="CM798" s="11"/>
      <c r="CN798" s="11"/>
      <c r="CO798" s="11"/>
      <c r="CP798" s="11"/>
      <c r="CQ798" s="11"/>
      <c r="CR798" s="11"/>
      <c r="CS798" s="11"/>
      <c r="CT798" s="11"/>
      <c r="CU798" s="11"/>
      <c r="CV798" s="11"/>
      <c r="CW798" s="11"/>
      <c r="CX798" s="11"/>
      <c r="CY798" s="11"/>
      <c r="C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  <c r="CC799" s="11"/>
      <c r="CD799" s="11"/>
      <c r="CE799" s="11"/>
      <c r="CF799" s="11"/>
      <c r="CG799" s="11"/>
      <c r="CH799" s="11"/>
      <c r="CI799" s="11"/>
      <c r="CJ799" s="11"/>
      <c r="CK799" s="11"/>
      <c r="CL799" s="11"/>
      <c r="CM799" s="11"/>
      <c r="CN799" s="11"/>
      <c r="CO799" s="11"/>
      <c r="CP799" s="11"/>
      <c r="CQ799" s="11"/>
      <c r="CR799" s="11"/>
      <c r="CS799" s="11"/>
      <c r="CT799" s="11"/>
      <c r="CU799" s="11"/>
      <c r="CV799" s="11"/>
      <c r="CW799" s="11"/>
      <c r="CX799" s="11"/>
      <c r="CY799" s="11"/>
      <c r="C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  <c r="CD800" s="11"/>
      <c r="CE800" s="11"/>
      <c r="CF800" s="11"/>
      <c r="CG800" s="11"/>
      <c r="CH800" s="11"/>
      <c r="CI800" s="11"/>
      <c r="CJ800" s="11"/>
      <c r="CK800" s="11"/>
      <c r="CL800" s="11"/>
      <c r="CM800" s="11"/>
      <c r="CN800" s="11"/>
      <c r="CO800" s="11"/>
      <c r="CP800" s="11"/>
      <c r="CQ800" s="11"/>
      <c r="CR800" s="11"/>
      <c r="CS800" s="11"/>
      <c r="CT800" s="11"/>
      <c r="CU800" s="11"/>
      <c r="CV800" s="11"/>
      <c r="CW800" s="11"/>
      <c r="CX800" s="11"/>
      <c r="CY800" s="11"/>
      <c r="C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11"/>
      <c r="CD801" s="11"/>
      <c r="CE801" s="11"/>
      <c r="CF801" s="11"/>
      <c r="CG801" s="11"/>
      <c r="CH801" s="11"/>
      <c r="CI801" s="11"/>
      <c r="CJ801" s="11"/>
      <c r="CK801" s="11"/>
      <c r="CL801" s="11"/>
      <c r="CM801" s="11"/>
      <c r="CN801" s="11"/>
      <c r="CO801" s="11"/>
      <c r="CP801" s="11"/>
      <c r="CQ801" s="11"/>
      <c r="CR801" s="11"/>
      <c r="CS801" s="11"/>
      <c r="CT801" s="11"/>
      <c r="CU801" s="11"/>
      <c r="CV801" s="11"/>
      <c r="CW801" s="11"/>
      <c r="CX801" s="11"/>
      <c r="CY801" s="11"/>
      <c r="C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  <c r="CA802" s="11"/>
      <c r="CB802" s="11"/>
      <c r="CC802" s="11"/>
      <c r="CD802" s="11"/>
      <c r="CE802" s="11"/>
      <c r="CF802" s="11"/>
      <c r="CG802" s="11"/>
      <c r="CH802" s="11"/>
      <c r="CI802" s="11"/>
      <c r="CJ802" s="11"/>
      <c r="CK802" s="11"/>
      <c r="CL802" s="11"/>
      <c r="CM802" s="11"/>
      <c r="CN802" s="11"/>
      <c r="CO802" s="11"/>
      <c r="CP802" s="11"/>
      <c r="CQ802" s="11"/>
      <c r="CR802" s="11"/>
      <c r="CS802" s="11"/>
      <c r="CT802" s="11"/>
      <c r="CU802" s="11"/>
      <c r="CV802" s="11"/>
      <c r="CW802" s="11"/>
      <c r="CX802" s="11"/>
      <c r="CY802" s="11"/>
      <c r="C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1"/>
      <c r="CD803" s="11"/>
      <c r="CE803" s="11"/>
      <c r="CF803" s="11"/>
      <c r="CG803" s="11"/>
      <c r="CH803" s="11"/>
      <c r="CI803" s="11"/>
      <c r="CJ803" s="11"/>
      <c r="CK803" s="11"/>
      <c r="CL803" s="11"/>
      <c r="CM803" s="11"/>
      <c r="CN803" s="11"/>
      <c r="CO803" s="11"/>
      <c r="CP803" s="11"/>
      <c r="CQ803" s="11"/>
      <c r="CR803" s="11"/>
      <c r="CS803" s="11"/>
      <c r="CT803" s="11"/>
      <c r="CU803" s="11"/>
      <c r="CV803" s="11"/>
      <c r="CW803" s="11"/>
      <c r="CX803" s="11"/>
      <c r="CY803" s="11"/>
      <c r="C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11"/>
      <c r="CD804" s="11"/>
      <c r="CE804" s="11"/>
      <c r="CF804" s="11"/>
      <c r="CG804" s="11"/>
      <c r="CH804" s="11"/>
      <c r="CI804" s="11"/>
      <c r="CJ804" s="11"/>
      <c r="CK804" s="11"/>
      <c r="CL804" s="11"/>
      <c r="CM804" s="11"/>
      <c r="CN804" s="11"/>
      <c r="CO804" s="11"/>
      <c r="CP804" s="11"/>
      <c r="CQ804" s="11"/>
      <c r="CR804" s="11"/>
      <c r="CS804" s="11"/>
      <c r="CT804" s="11"/>
      <c r="CU804" s="11"/>
      <c r="CV804" s="11"/>
      <c r="CW804" s="11"/>
      <c r="CX804" s="11"/>
      <c r="CY804" s="11"/>
      <c r="C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  <c r="CD805" s="11"/>
      <c r="CE805" s="11"/>
      <c r="CF805" s="11"/>
      <c r="CG805" s="11"/>
      <c r="CH805" s="11"/>
      <c r="CI805" s="11"/>
      <c r="CJ805" s="11"/>
      <c r="CK805" s="11"/>
      <c r="CL805" s="11"/>
      <c r="CM805" s="11"/>
      <c r="CN805" s="11"/>
      <c r="CO805" s="11"/>
      <c r="CP805" s="11"/>
      <c r="CQ805" s="11"/>
      <c r="CR805" s="11"/>
      <c r="CS805" s="11"/>
      <c r="CT805" s="11"/>
      <c r="CU805" s="11"/>
      <c r="CV805" s="11"/>
      <c r="CW805" s="11"/>
      <c r="CX805" s="11"/>
      <c r="CY805" s="11"/>
      <c r="C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11"/>
      <c r="CD806" s="11"/>
      <c r="CE806" s="11"/>
      <c r="CF806" s="11"/>
      <c r="CG806" s="11"/>
      <c r="CH806" s="11"/>
      <c r="CI806" s="11"/>
      <c r="CJ806" s="11"/>
      <c r="CK806" s="11"/>
      <c r="CL806" s="11"/>
      <c r="CM806" s="11"/>
      <c r="CN806" s="11"/>
      <c r="CO806" s="11"/>
      <c r="CP806" s="11"/>
      <c r="CQ806" s="11"/>
      <c r="CR806" s="11"/>
      <c r="CS806" s="11"/>
      <c r="CT806" s="11"/>
      <c r="CU806" s="11"/>
      <c r="CV806" s="11"/>
      <c r="CW806" s="11"/>
      <c r="CX806" s="11"/>
      <c r="CY806" s="11"/>
      <c r="C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  <c r="CA807" s="11"/>
      <c r="CB807" s="11"/>
      <c r="CC807" s="11"/>
      <c r="CD807" s="11"/>
      <c r="CE807" s="11"/>
      <c r="CF807" s="11"/>
      <c r="CG807" s="11"/>
      <c r="CH807" s="11"/>
      <c r="CI807" s="11"/>
      <c r="CJ807" s="11"/>
      <c r="CK807" s="11"/>
      <c r="CL807" s="11"/>
      <c r="CM807" s="11"/>
      <c r="CN807" s="11"/>
      <c r="CO807" s="11"/>
      <c r="CP807" s="11"/>
      <c r="CQ807" s="11"/>
      <c r="CR807" s="11"/>
      <c r="CS807" s="11"/>
      <c r="CT807" s="11"/>
      <c r="CU807" s="11"/>
      <c r="CV807" s="11"/>
      <c r="CW807" s="11"/>
      <c r="CX807" s="11"/>
      <c r="CY807" s="11"/>
      <c r="C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11"/>
      <c r="CD808" s="11"/>
      <c r="CE808" s="11"/>
      <c r="CF808" s="11"/>
      <c r="CG808" s="11"/>
      <c r="CH808" s="11"/>
      <c r="CI808" s="11"/>
      <c r="CJ808" s="11"/>
      <c r="CK808" s="11"/>
      <c r="CL808" s="11"/>
      <c r="CM808" s="11"/>
      <c r="CN808" s="11"/>
      <c r="CO808" s="11"/>
      <c r="CP808" s="11"/>
      <c r="CQ808" s="11"/>
      <c r="CR808" s="11"/>
      <c r="CS808" s="11"/>
      <c r="CT808" s="11"/>
      <c r="CU808" s="11"/>
      <c r="CV808" s="11"/>
      <c r="CW808" s="11"/>
      <c r="CX808" s="11"/>
      <c r="CY808" s="11"/>
      <c r="C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11"/>
      <c r="CD809" s="11"/>
      <c r="CE809" s="11"/>
      <c r="CF809" s="11"/>
      <c r="CG809" s="11"/>
      <c r="CH809" s="11"/>
      <c r="CI809" s="11"/>
      <c r="CJ809" s="11"/>
      <c r="CK809" s="11"/>
      <c r="CL809" s="11"/>
      <c r="CM809" s="11"/>
      <c r="CN809" s="11"/>
      <c r="CO809" s="11"/>
      <c r="CP809" s="11"/>
      <c r="CQ809" s="11"/>
      <c r="CR809" s="11"/>
      <c r="CS809" s="11"/>
      <c r="CT809" s="11"/>
      <c r="CU809" s="11"/>
      <c r="CV809" s="11"/>
      <c r="CW809" s="11"/>
      <c r="CX809" s="11"/>
      <c r="CY809" s="11"/>
      <c r="C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  <c r="CC810" s="11"/>
      <c r="CD810" s="11"/>
      <c r="CE810" s="11"/>
      <c r="CF810" s="11"/>
      <c r="CG810" s="11"/>
      <c r="CH810" s="11"/>
      <c r="CI810" s="11"/>
      <c r="CJ810" s="11"/>
      <c r="CK810" s="11"/>
      <c r="CL810" s="11"/>
      <c r="CM810" s="11"/>
      <c r="CN810" s="11"/>
      <c r="CO810" s="11"/>
      <c r="CP810" s="11"/>
      <c r="CQ810" s="11"/>
      <c r="CR810" s="11"/>
      <c r="CS810" s="11"/>
      <c r="CT810" s="11"/>
      <c r="CU810" s="11"/>
      <c r="CV810" s="11"/>
      <c r="CW810" s="11"/>
      <c r="CX810" s="11"/>
      <c r="CY810" s="11"/>
      <c r="C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  <c r="CD811" s="11"/>
      <c r="CE811" s="11"/>
      <c r="CF811" s="11"/>
      <c r="CG811" s="11"/>
      <c r="CH811" s="11"/>
      <c r="CI811" s="11"/>
      <c r="CJ811" s="11"/>
      <c r="CK811" s="11"/>
      <c r="CL811" s="11"/>
      <c r="CM811" s="11"/>
      <c r="CN811" s="11"/>
      <c r="CO811" s="11"/>
      <c r="CP811" s="11"/>
      <c r="CQ811" s="11"/>
      <c r="CR811" s="11"/>
      <c r="CS811" s="11"/>
      <c r="CT811" s="11"/>
      <c r="CU811" s="11"/>
      <c r="CV811" s="11"/>
      <c r="CW811" s="11"/>
      <c r="CX811" s="11"/>
      <c r="CY811" s="11"/>
      <c r="C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  <c r="CD812" s="11"/>
      <c r="CE812" s="11"/>
      <c r="CF812" s="11"/>
      <c r="CG812" s="11"/>
      <c r="CH812" s="11"/>
      <c r="CI812" s="11"/>
      <c r="CJ812" s="11"/>
      <c r="CK812" s="11"/>
      <c r="CL812" s="11"/>
      <c r="CM812" s="11"/>
      <c r="CN812" s="11"/>
      <c r="CO812" s="11"/>
      <c r="CP812" s="11"/>
      <c r="CQ812" s="11"/>
      <c r="CR812" s="11"/>
      <c r="CS812" s="11"/>
      <c r="CT812" s="11"/>
      <c r="CU812" s="11"/>
      <c r="CV812" s="11"/>
      <c r="CW812" s="11"/>
      <c r="CX812" s="11"/>
      <c r="CY812" s="11"/>
      <c r="C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11"/>
      <c r="CD813" s="11"/>
      <c r="CE813" s="11"/>
      <c r="CF813" s="11"/>
      <c r="CG813" s="11"/>
      <c r="CH813" s="11"/>
      <c r="CI813" s="11"/>
      <c r="CJ813" s="11"/>
      <c r="CK813" s="11"/>
      <c r="CL813" s="11"/>
      <c r="CM813" s="11"/>
      <c r="CN813" s="11"/>
      <c r="CO813" s="11"/>
      <c r="CP813" s="11"/>
      <c r="CQ813" s="11"/>
      <c r="CR813" s="11"/>
      <c r="CS813" s="11"/>
      <c r="CT813" s="11"/>
      <c r="CU813" s="11"/>
      <c r="CV813" s="11"/>
      <c r="CW813" s="11"/>
      <c r="CX813" s="11"/>
      <c r="CY813" s="11"/>
      <c r="C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  <c r="CC814" s="11"/>
      <c r="CD814" s="11"/>
      <c r="CE814" s="11"/>
      <c r="CF814" s="11"/>
      <c r="CG814" s="11"/>
      <c r="CH814" s="11"/>
      <c r="CI814" s="11"/>
      <c r="CJ814" s="11"/>
      <c r="CK814" s="11"/>
      <c r="CL814" s="11"/>
      <c r="CM814" s="11"/>
      <c r="CN814" s="11"/>
      <c r="CO814" s="11"/>
      <c r="CP814" s="11"/>
      <c r="CQ814" s="11"/>
      <c r="CR814" s="11"/>
      <c r="CS814" s="11"/>
      <c r="CT814" s="11"/>
      <c r="CU814" s="11"/>
      <c r="CV814" s="11"/>
      <c r="CW814" s="11"/>
      <c r="CX814" s="11"/>
      <c r="CY814" s="11"/>
      <c r="C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  <c r="CC815" s="11"/>
      <c r="CD815" s="11"/>
      <c r="CE815" s="11"/>
      <c r="CF815" s="11"/>
      <c r="CG815" s="11"/>
      <c r="CH815" s="11"/>
      <c r="CI815" s="11"/>
      <c r="CJ815" s="11"/>
      <c r="CK815" s="11"/>
      <c r="CL815" s="11"/>
      <c r="CM815" s="11"/>
      <c r="CN815" s="11"/>
      <c r="CO815" s="11"/>
      <c r="CP815" s="11"/>
      <c r="CQ815" s="11"/>
      <c r="CR815" s="11"/>
      <c r="CS815" s="11"/>
      <c r="CT815" s="11"/>
      <c r="CU815" s="11"/>
      <c r="CV815" s="11"/>
      <c r="CW815" s="11"/>
      <c r="CX815" s="11"/>
      <c r="CY815" s="11"/>
      <c r="C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  <c r="CC816" s="11"/>
      <c r="CD816" s="11"/>
      <c r="CE816" s="11"/>
      <c r="CF816" s="11"/>
      <c r="CG816" s="11"/>
      <c r="CH816" s="11"/>
      <c r="CI816" s="11"/>
      <c r="CJ816" s="11"/>
      <c r="CK816" s="11"/>
      <c r="CL816" s="11"/>
      <c r="CM816" s="11"/>
      <c r="CN816" s="11"/>
      <c r="CO816" s="11"/>
      <c r="CP816" s="11"/>
      <c r="CQ816" s="11"/>
      <c r="CR816" s="11"/>
      <c r="CS816" s="11"/>
      <c r="CT816" s="11"/>
      <c r="CU816" s="11"/>
      <c r="CV816" s="11"/>
      <c r="CW816" s="11"/>
      <c r="CX816" s="11"/>
      <c r="CY816" s="11"/>
      <c r="C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  <c r="CC817" s="11"/>
      <c r="CD817" s="11"/>
      <c r="CE817" s="11"/>
      <c r="CF817" s="11"/>
      <c r="CG817" s="11"/>
      <c r="CH817" s="11"/>
      <c r="CI817" s="11"/>
      <c r="CJ817" s="11"/>
      <c r="CK817" s="11"/>
      <c r="CL817" s="11"/>
      <c r="CM817" s="11"/>
      <c r="CN817" s="11"/>
      <c r="CO817" s="11"/>
      <c r="CP817" s="11"/>
      <c r="CQ817" s="11"/>
      <c r="CR817" s="11"/>
      <c r="CS817" s="11"/>
      <c r="CT817" s="11"/>
      <c r="CU817" s="11"/>
      <c r="CV817" s="11"/>
      <c r="CW817" s="11"/>
      <c r="CX817" s="11"/>
      <c r="CY817" s="11"/>
      <c r="C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  <c r="CC818" s="11"/>
      <c r="CD818" s="11"/>
      <c r="CE818" s="11"/>
      <c r="CF818" s="11"/>
      <c r="CG818" s="11"/>
      <c r="CH818" s="11"/>
      <c r="CI818" s="11"/>
      <c r="CJ818" s="11"/>
      <c r="CK818" s="11"/>
      <c r="CL818" s="11"/>
      <c r="CM818" s="11"/>
      <c r="CN818" s="11"/>
      <c r="CO818" s="11"/>
      <c r="CP818" s="11"/>
      <c r="CQ818" s="11"/>
      <c r="CR818" s="11"/>
      <c r="CS818" s="11"/>
      <c r="CT818" s="11"/>
      <c r="CU818" s="11"/>
      <c r="CV818" s="11"/>
      <c r="CW818" s="11"/>
      <c r="CX818" s="11"/>
      <c r="CY818" s="11"/>
      <c r="C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  <c r="CC819" s="11"/>
      <c r="CD819" s="11"/>
      <c r="CE819" s="11"/>
      <c r="CF819" s="11"/>
      <c r="CG819" s="11"/>
      <c r="CH819" s="11"/>
      <c r="CI819" s="11"/>
      <c r="CJ819" s="11"/>
      <c r="CK819" s="11"/>
      <c r="CL819" s="11"/>
      <c r="CM819" s="11"/>
      <c r="CN819" s="11"/>
      <c r="CO819" s="11"/>
      <c r="CP819" s="11"/>
      <c r="CQ819" s="11"/>
      <c r="CR819" s="11"/>
      <c r="CS819" s="11"/>
      <c r="CT819" s="11"/>
      <c r="CU819" s="11"/>
      <c r="CV819" s="11"/>
      <c r="CW819" s="11"/>
      <c r="CX819" s="11"/>
      <c r="CY819" s="11"/>
      <c r="C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  <c r="CA820" s="11"/>
      <c r="CB820" s="11"/>
      <c r="CC820" s="11"/>
      <c r="CD820" s="11"/>
      <c r="CE820" s="11"/>
      <c r="CF820" s="11"/>
      <c r="CG820" s="11"/>
      <c r="CH820" s="11"/>
      <c r="CI820" s="11"/>
      <c r="CJ820" s="11"/>
      <c r="CK820" s="11"/>
      <c r="CL820" s="11"/>
      <c r="CM820" s="11"/>
      <c r="CN820" s="11"/>
      <c r="CO820" s="11"/>
      <c r="CP820" s="11"/>
      <c r="CQ820" s="11"/>
      <c r="CR820" s="11"/>
      <c r="CS820" s="11"/>
      <c r="CT820" s="11"/>
      <c r="CU820" s="11"/>
      <c r="CV820" s="11"/>
      <c r="CW820" s="11"/>
      <c r="CX820" s="11"/>
      <c r="CY820" s="11"/>
      <c r="C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  <c r="CC821" s="11"/>
      <c r="CD821" s="11"/>
      <c r="CE821" s="11"/>
      <c r="CF821" s="11"/>
      <c r="CG821" s="11"/>
      <c r="CH821" s="11"/>
      <c r="CI821" s="11"/>
      <c r="CJ821" s="11"/>
      <c r="CK821" s="11"/>
      <c r="CL821" s="11"/>
      <c r="CM821" s="11"/>
      <c r="CN821" s="11"/>
      <c r="CO821" s="11"/>
      <c r="CP821" s="11"/>
      <c r="CQ821" s="11"/>
      <c r="CR821" s="11"/>
      <c r="CS821" s="11"/>
      <c r="CT821" s="11"/>
      <c r="CU821" s="11"/>
      <c r="CV821" s="11"/>
      <c r="CW821" s="11"/>
      <c r="CX821" s="11"/>
      <c r="CY821" s="11"/>
      <c r="C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  <c r="CC822" s="11"/>
      <c r="CD822" s="11"/>
      <c r="CE822" s="11"/>
      <c r="CF822" s="11"/>
      <c r="CG822" s="11"/>
      <c r="CH822" s="11"/>
      <c r="CI822" s="11"/>
      <c r="CJ822" s="11"/>
      <c r="CK822" s="11"/>
      <c r="CL822" s="11"/>
      <c r="CM822" s="11"/>
      <c r="CN822" s="11"/>
      <c r="CO822" s="11"/>
      <c r="CP822" s="11"/>
      <c r="CQ822" s="11"/>
      <c r="CR822" s="11"/>
      <c r="CS822" s="11"/>
      <c r="CT822" s="11"/>
      <c r="CU822" s="11"/>
      <c r="CV822" s="11"/>
      <c r="CW822" s="11"/>
      <c r="CX822" s="11"/>
      <c r="CY822" s="11"/>
      <c r="C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11"/>
      <c r="CD826" s="11"/>
      <c r="CE826" s="11"/>
      <c r="CF826" s="11"/>
      <c r="CG826" s="11"/>
      <c r="CH826" s="11"/>
      <c r="CI826" s="11"/>
      <c r="CJ826" s="11"/>
      <c r="CK826" s="11"/>
      <c r="CL826" s="11"/>
      <c r="CM826" s="11"/>
      <c r="CN826" s="11"/>
      <c r="CO826" s="11"/>
      <c r="CP826" s="11"/>
      <c r="CQ826" s="11"/>
      <c r="CR826" s="11"/>
      <c r="CS826" s="11"/>
      <c r="CT826" s="11"/>
      <c r="CU826" s="11"/>
      <c r="CV826" s="11"/>
      <c r="CW826" s="11"/>
      <c r="CX826" s="11"/>
      <c r="CY826" s="11"/>
      <c r="C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  <c r="CC827" s="11"/>
      <c r="CD827" s="11"/>
      <c r="CE827" s="11"/>
      <c r="CF827" s="11"/>
      <c r="CG827" s="11"/>
      <c r="CH827" s="11"/>
      <c r="CI827" s="11"/>
      <c r="CJ827" s="11"/>
      <c r="CK827" s="11"/>
      <c r="CL827" s="11"/>
      <c r="CM827" s="11"/>
      <c r="CN827" s="11"/>
      <c r="CO827" s="11"/>
      <c r="CP827" s="11"/>
      <c r="CQ827" s="11"/>
      <c r="CR827" s="11"/>
      <c r="CS827" s="11"/>
      <c r="CT827" s="11"/>
      <c r="CU827" s="11"/>
      <c r="CV827" s="11"/>
      <c r="CW827" s="11"/>
      <c r="CX827" s="11"/>
      <c r="CY827" s="11"/>
      <c r="C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11"/>
      <c r="CD828" s="11"/>
      <c r="CE828" s="11"/>
      <c r="CF828" s="11"/>
      <c r="CG828" s="11"/>
      <c r="CH828" s="11"/>
      <c r="CI828" s="11"/>
      <c r="CJ828" s="11"/>
      <c r="CK828" s="11"/>
      <c r="CL828" s="11"/>
      <c r="CM828" s="11"/>
      <c r="CN828" s="11"/>
      <c r="CO828" s="11"/>
      <c r="CP828" s="11"/>
      <c r="CQ828" s="11"/>
      <c r="CR828" s="11"/>
      <c r="CS828" s="11"/>
      <c r="CT828" s="11"/>
      <c r="CU828" s="11"/>
      <c r="CV828" s="11"/>
      <c r="CW828" s="11"/>
      <c r="CX828" s="11"/>
      <c r="CY828" s="11"/>
      <c r="C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11"/>
      <c r="CD829" s="11"/>
      <c r="CE829" s="11"/>
      <c r="CF829" s="11"/>
      <c r="CG829" s="11"/>
      <c r="CH829" s="11"/>
      <c r="CI829" s="11"/>
      <c r="CJ829" s="11"/>
      <c r="CK829" s="11"/>
      <c r="CL829" s="11"/>
      <c r="CM829" s="11"/>
      <c r="CN829" s="11"/>
      <c r="CO829" s="11"/>
      <c r="CP829" s="11"/>
      <c r="CQ829" s="11"/>
      <c r="CR829" s="11"/>
      <c r="CS829" s="11"/>
      <c r="CT829" s="11"/>
      <c r="CU829" s="11"/>
      <c r="CV829" s="11"/>
      <c r="CW829" s="11"/>
      <c r="CX829" s="11"/>
      <c r="CY829" s="11"/>
      <c r="C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  <c r="CD831" s="11"/>
      <c r="CE831" s="11"/>
      <c r="CF831" s="11"/>
      <c r="CG831" s="11"/>
      <c r="CH831" s="11"/>
      <c r="CI831" s="11"/>
      <c r="CJ831" s="11"/>
      <c r="CK831" s="11"/>
      <c r="CL831" s="11"/>
      <c r="CM831" s="11"/>
      <c r="CN831" s="11"/>
      <c r="CO831" s="11"/>
      <c r="CP831" s="11"/>
      <c r="CQ831" s="11"/>
      <c r="CR831" s="11"/>
      <c r="CS831" s="11"/>
      <c r="CT831" s="11"/>
      <c r="CU831" s="11"/>
      <c r="CV831" s="11"/>
      <c r="CW831" s="11"/>
      <c r="CX831" s="11"/>
      <c r="CY831" s="11"/>
      <c r="C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  <c r="CD832" s="11"/>
      <c r="CE832" s="11"/>
      <c r="CF832" s="11"/>
      <c r="CG832" s="11"/>
      <c r="CH832" s="11"/>
      <c r="CI832" s="11"/>
      <c r="CJ832" s="11"/>
      <c r="CK832" s="11"/>
      <c r="CL832" s="11"/>
      <c r="CM832" s="11"/>
      <c r="CN832" s="11"/>
      <c r="CO832" s="11"/>
      <c r="CP832" s="11"/>
      <c r="CQ832" s="11"/>
      <c r="CR832" s="11"/>
      <c r="CS832" s="11"/>
      <c r="CT832" s="11"/>
      <c r="CU832" s="11"/>
      <c r="CV832" s="11"/>
      <c r="CW832" s="11"/>
      <c r="CX832" s="11"/>
      <c r="CY832" s="11"/>
      <c r="C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  <c r="CD833" s="11"/>
      <c r="CE833" s="11"/>
      <c r="CF833" s="11"/>
      <c r="CG833" s="11"/>
      <c r="CH833" s="11"/>
      <c r="CI833" s="11"/>
      <c r="CJ833" s="11"/>
      <c r="CK833" s="11"/>
      <c r="CL833" s="11"/>
      <c r="CM833" s="11"/>
      <c r="CN833" s="11"/>
      <c r="CO833" s="11"/>
      <c r="CP833" s="11"/>
      <c r="CQ833" s="11"/>
      <c r="CR833" s="11"/>
      <c r="CS833" s="11"/>
      <c r="CT833" s="11"/>
      <c r="CU833" s="11"/>
      <c r="CV833" s="11"/>
      <c r="CW833" s="11"/>
      <c r="CX833" s="11"/>
      <c r="CY833" s="11"/>
      <c r="C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  <c r="CD834" s="11"/>
      <c r="CE834" s="11"/>
      <c r="CF834" s="11"/>
      <c r="CG834" s="11"/>
      <c r="CH834" s="11"/>
      <c r="CI834" s="11"/>
      <c r="CJ834" s="11"/>
      <c r="CK834" s="11"/>
      <c r="CL834" s="11"/>
      <c r="CM834" s="11"/>
      <c r="CN834" s="11"/>
      <c r="CO834" s="11"/>
      <c r="CP834" s="11"/>
      <c r="CQ834" s="11"/>
      <c r="CR834" s="11"/>
      <c r="CS834" s="11"/>
      <c r="CT834" s="11"/>
      <c r="CU834" s="11"/>
      <c r="CV834" s="11"/>
      <c r="CW834" s="11"/>
      <c r="CX834" s="11"/>
      <c r="CY834" s="11"/>
      <c r="C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  <c r="CD835" s="11"/>
      <c r="CE835" s="11"/>
      <c r="CF835" s="11"/>
      <c r="CG835" s="11"/>
      <c r="CH835" s="11"/>
      <c r="CI835" s="11"/>
      <c r="CJ835" s="11"/>
      <c r="CK835" s="11"/>
      <c r="CL835" s="11"/>
      <c r="CM835" s="11"/>
      <c r="CN835" s="11"/>
      <c r="CO835" s="11"/>
      <c r="CP835" s="11"/>
      <c r="CQ835" s="11"/>
      <c r="CR835" s="11"/>
      <c r="CS835" s="11"/>
      <c r="CT835" s="11"/>
      <c r="CU835" s="11"/>
      <c r="CV835" s="11"/>
      <c r="CW835" s="11"/>
      <c r="CX835" s="11"/>
      <c r="CY835" s="11"/>
      <c r="C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  <c r="CC836" s="11"/>
      <c r="CD836" s="11"/>
      <c r="CE836" s="11"/>
      <c r="CF836" s="11"/>
      <c r="CG836" s="11"/>
      <c r="CH836" s="11"/>
      <c r="CI836" s="11"/>
      <c r="CJ836" s="11"/>
      <c r="CK836" s="11"/>
      <c r="CL836" s="11"/>
      <c r="CM836" s="11"/>
      <c r="CN836" s="11"/>
      <c r="CO836" s="11"/>
      <c r="CP836" s="11"/>
      <c r="CQ836" s="11"/>
      <c r="CR836" s="11"/>
      <c r="CS836" s="11"/>
      <c r="CT836" s="11"/>
      <c r="CU836" s="11"/>
      <c r="CV836" s="11"/>
      <c r="CW836" s="11"/>
      <c r="CX836" s="11"/>
      <c r="CY836" s="11"/>
      <c r="C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11"/>
      <c r="CD837" s="11"/>
      <c r="CE837" s="11"/>
      <c r="CF837" s="11"/>
      <c r="CG837" s="11"/>
      <c r="CH837" s="11"/>
      <c r="CI837" s="11"/>
      <c r="CJ837" s="11"/>
      <c r="CK837" s="11"/>
      <c r="CL837" s="11"/>
      <c r="CM837" s="11"/>
      <c r="CN837" s="11"/>
      <c r="CO837" s="11"/>
      <c r="CP837" s="11"/>
      <c r="CQ837" s="11"/>
      <c r="CR837" s="11"/>
      <c r="CS837" s="11"/>
      <c r="CT837" s="11"/>
      <c r="CU837" s="11"/>
      <c r="CV837" s="11"/>
      <c r="CW837" s="11"/>
      <c r="CX837" s="11"/>
      <c r="CY837" s="11"/>
      <c r="C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  <c r="CD838" s="11"/>
      <c r="CE838" s="11"/>
      <c r="CF838" s="11"/>
      <c r="CG838" s="11"/>
      <c r="CH838" s="11"/>
      <c r="CI838" s="11"/>
      <c r="CJ838" s="11"/>
      <c r="CK838" s="11"/>
      <c r="CL838" s="11"/>
      <c r="CM838" s="11"/>
      <c r="CN838" s="11"/>
      <c r="CO838" s="11"/>
      <c r="CP838" s="11"/>
      <c r="CQ838" s="11"/>
      <c r="CR838" s="11"/>
      <c r="CS838" s="11"/>
      <c r="CT838" s="11"/>
      <c r="CU838" s="11"/>
      <c r="CV838" s="11"/>
      <c r="CW838" s="11"/>
      <c r="CX838" s="11"/>
      <c r="CY838" s="11"/>
      <c r="C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  <c r="CC839" s="11"/>
      <c r="CD839" s="11"/>
      <c r="CE839" s="11"/>
      <c r="CF839" s="11"/>
      <c r="CG839" s="11"/>
      <c r="CH839" s="11"/>
      <c r="CI839" s="11"/>
      <c r="CJ839" s="11"/>
      <c r="CK839" s="11"/>
      <c r="CL839" s="11"/>
      <c r="CM839" s="11"/>
      <c r="CN839" s="11"/>
      <c r="CO839" s="11"/>
      <c r="CP839" s="11"/>
      <c r="CQ839" s="11"/>
      <c r="CR839" s="11"/>
      <c r="CS839" s="11"/>
      <c r="CT839" s="11"/>
      <c r="CU839" s="11"/>
      <c r="CV839" s="11"/>
      <c r="CW839" s="11"/>
      <c r="CX839" s="11"/>
      <c r="CY839" s="11"/>
      <c r="C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11"/>
      <c r="CD840" s="11"/>
      <c r="CE840" s="11"/>
      <c r="CF840" s="11"/>
      <c r="CG840" s="11"/>
      <c r="CH840" s="11"/>
      <c r="CI840" s="11"/>
      <c r="CJ840" s="11"/>
      <c r="CK840" s="11"/>
      <c r="CL840" s="11"/>
      <c r="CM840" s="11"/>
      <c r="CN840" s="11"/>
      <c r="CO840" s="11"/>
      <c r="CP840" s="11"/>
      <c r="CQ840" s="11"/>
      <c r="CR840" s="11"/>
      <c r="CS840" s="11"/>
      <c r="CT840" s="11"/>
      <c r="CU840" s="11"/>
      <c r="CV840" s="11"/>
      <c r="CW840" s="11"/>
      <c r="CX840" s="11"/>
      <c r="CY840" s="11"/>
      <c r="C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11"/>
      <c r="CD841" s="11"/>
      <c r="CE841" s="11"/>
      <c r="CF841" s="11"/>
      <c r="CG841" s="11"/>
      <c r="CH841" s="11"/>
      <c r="CI841" s="11"/>
      <c r="CJ841" s="11"/>
      <c r="CK841" s="11"/>
      <c r="CL841" s="11"/>
      <c r="CM841" s="11"/>
      <c r="CN841" s="11"/>
      <c r="CO841" s="11"/>
      <c r="CP841" s="11"/>
      <c r="CQ841" s="11"/>
      <c r="CR841" s="11"/>
      <c r="CS841" s="11"/>
      <c r="CT841" s="11"/>
      <c r="CU841" s="11"/>
      <c r="CV841" s="11"/>
      <c r="CW841" s="11"/>
      <c r="CX841" s="11"/>
      <c r="CY841" s="11"/>
      <c r="C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11"/>
      <c r="CD842" s="11"/>
      <c r="CE842" s="11"/>
      <c r="CF842" s="11"/>
      <c r="CG842" s="11"/>
      <c r="CH842" s="11"/>
      <c r="CI842" s="11"/>
      <c r="CJ842" s="11"/>
      <c r="CK842" s="11"/>
      <c r="CL842" s="11"/>
      <c r="CM842" s="11"/>
      <c r="CN842" s="11"/>
      <c r="CO842" s="11"/>
      <c r="CP842" s="11"/>
      <c r="CQ842" s="11"/>
      <c r="CR842" s="11"/>
      <c r="CS842" s="11"/>
      <c r="CT842" s="11"/>
      <c r="CU842" s="11"/>
      <c r="CV842" s="11"/>
      <c r="CW842" s="11"/>
      <c r="CX842" s="11"/>
      <c r="CY842" s="11"/>
      <c r="C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11"/>
      <c r="CD843" s="11"/>
      <c r="CE843" s="11"/>
      <c r="CF843" s="11"/>
      <c r="CG843" s="11"/>
      <c r="CH843" s="11"/>
      <c r="CI843" s="11"/>
      <c r="CJ843" s="11"/>
      <c r="CK843" s="11"/>
      <c r="CL843" s="11"/>
      <c r="CM843" s="11"/>
      <c r="CN843" s="11"/>
      <c r="CO843" s="11"/>
      <c r="CP843" s="11"/>
      <c r="CQ843" s="11"/>
      <c r="CR843" s="11"/>
      <c r="CS843" s="11"/>
      <c r="CT843" s="11"/>
      <c r="CU843" s="11"/>
      <c r="CV843" s="11"/>
      <c r="CW843" s="11"/>
      <c r="CX843" s="11"/>
      <c r="CY843" s="11"/>
      <c r="C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11"/>
      <c r="CD844" s="11"/>
      <c r="CE844" s="11"/>
      <c r="CF844" s="11"/>
      <c r="CG844" s="11"/>
      <c r="CH844" s="11"/>
      <c r="CI844" s="11"/>
      <c r="CJ844" s="11"/>
      <c r="CK844" s="11"/>
      <c r="CL844" s="11"/>
      <c r="CM844" s="11"/>
      <c r="CN844" s="11"/>
      <c r="CO844" s="11"/>
      <c r="CP844" s="11"/>
      <c r="CQ844" s="11"/>
      <c r="CR844" s="11"/>
      <c r="CS844" s="11"/>
      <c r="CT844" s="11"/>
      <c r="CU844" s="11"/>
      <c r="CV844" s="11"/>
      <c r="CW844" s="11"/>
      <c r="CX844" s="11"/>
      <c r="CY844" s="11"/>
      <c r="C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  <c r="CC845" s="11"/>
      <c r="CD845" s="11"/>
      <c r="CE845" s="11"/>
      <c r="CF845" s="11"/>
      <c r="CG845" s="11"/>
      <c r="CH845" s="11"/>
      <c r="CI845" s="11"/>
      <c r="CJ845" s="11"/>
      <c r="CK845" s="11"/>
      <c r="CL845" s="11"/>
      <c r="CM845" s="11"/>
      <c r="CN845" s="11"/>
      <c r="CO845" s="11"/>
      <c r="CP845" s="11"/>
      <c r="CQ845" s="11"/>
      <c r="CR845" s="11"/>
      <c r="CS845" s="11"/>
      <c r="CT845" s="11"/>
      <c r="CU845" s="11"/>
      <c r="CV845" s="11"/>
      <c r="CW845" s="11"/>
      <c r="CX845" s="11"/>
      <c r="CY845" s="11"/>
      <c r="C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11"/>
      <c r="CD846" s="11"/>
      <c r="CE846" s="11"/>
      <c r="CF846" s="11"/>
      <c r="CG846" s="11"/>
      <c r="CH846" s="11"/>
      <c r="CI846" s="11"/>
      <c r="CJ846" s="11"/>
      <c r="CK846" s="11"/>
      <c r="CL846" s="11"/>
      <c r="CM846" s="11"/>
      <c r="CN846" s="11"/>
      <c r="CO846" s="11"/>
      <c r="CP846" s="11"/>
      <c r="CQ846" s="11"/>
      <c r="CR846" s="11"/>
      <c r="CS846" s="11"/>
      <c r="CT846" s="11"/>
      <c r="CU846" s="11"/>
      <c r="CV846" s="11"/>
      <c r="CW846" s="11"/>
      <c r="CX846" s="11"/>
      <c r="CY846" s="11"/>
      <c r="C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11"/>
      <c r="CD847" s="11"/>
      <c r="CE847" s="11"/>
      <c r="CF847" s="11"/>
      <c r="CG847" s="11"/>
      <c r="CH847" s="11"/>
      <c r="CI847" s="11"/>
      <c r="CJ847" s="11"/>
      <c r="CK847" s="11"/>
      <c r="CL847" s="11"/>
      <c r="CM847" s="11"/>
      <c r="CN847" s="11"/>
      <c r="CO847" s="11"/>
      <c r="CP847" s="11"/>
      <c r="CQ847" s="11"/>
      <c r="CR847" s="11"/>
      <c r="CS847" s="11"/>
      <c r="CT847" s="11"/>
      <c r="CU847" s="11"/>
      <c r="CV847" s="11"/>
      <c r="CW847" s="11"/>
      <c r="CX847" s="11"/>
      <c r="CY847" s="11"/>
      <c r="C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11"/>
      <c r="CD848" s="11"/>
      <c r="CE848" s="11"/>
      <c r="CF848" s="11"/>
      <c r="CG848" s="11"/>
      <c r="CH848" s="11"/>
      <c r="CI848" s="11"/>
      <c r="CJ848" s="11"/>
      <c r="CK848" s="11"/>
      <c r="CL848" s="11"/>
      <c r="CM848" s="11"/>
      <c r="CN848" s="11"/>
      <c r="CO848" s="11"/>
      <c r="CP848" s="11"/>
      <c r="CQ848" s="11"/>
      <c r="CR848" s="11"/>
      <c r="CS848" s="11"/>
      <c r="CT848" s="11"/>
      <c r="CU848" s="11"/>
      <c r="CV848" s="11"/>
      <c r="CW848" s="11"/>
      <c r="CX848" s="11"/>
      <c r="CY848" s="11"/>
      <c r="C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  <c r="CC849" s="11"/>
      <c r="CD849" s="11"/>
      <c r="CE849" s="11"/>
      <c r="CF849" s="11"/>
      <c r="CG849" s="11"/>
      <c r="CH849" s="11"/>
      <c r="CI849" s="11"/>
      <c r="CJ849" s="11"/>
      <c r="CK849" s="11"/>
      <c r="CL849" s="11"/>
      <c r="CM849" s="11"/>
      <c r="CN849" s="11"/>
      <c r="CO849" s="11"/>
      <c r="CP849" s="11"/>
      <c r="CQ849" s="11"/>
      <c r="CR849" s="11"/>
      <c r="CS849" s="11"/>
      <c r="CT849" s="11"/>
      <c r="CU849" s="11"/>
      <c r="CV849" s="11"/>
      <c r="CW849" s="11"/>
      <c r="CX849" s="11"/>
      <c r="CY849" s="11"/>
      <c r="C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  <c r="CC850" s="11"/>
      <c r="CD850" s="11"/>
      <c r="CE850" s="11"/>
      <c r="CF850" s="11"/>
      <c r="CG850" s="11"/>
      <c r="CH850" s="11"/>
      <c r="CI850" s="11"/>
      <c r="CJ850" s="11"/>
      <c r="CK850" s="11"/>
      <c r="CL850" s="11"/>
      <c r="CM850" s="11"/>
      <c r="CN850" s="11"/>
      <c r="CO850" s="11"/>
      <c r="CP850" s="11"/>
      <c r="CQ850" s="11"/>
      <c r="CR850" s="11"/>
      <c r="CS850" s="11"/>
      <c r="CT850" s="11"/>
      <c r="CU850" s="11"/>
      <c r="CV850" s="11"/>
      <c r="CW850" s="11"/>
      <c r="CX850" s="11"/>
      <c r="CY850" s="11"/>
      <c r="C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  <c r="CC851" s="11"/>
      <c r="CD851" s="11"/>
      <c r="CE851" s="11"/>
      <c r="CF851" s="11"/>
      <c r="CG851" s="11"/>
      <c r="CH851" s="11"/>
      <c r="CI851" s="11"/>
      <c r="CJ851" s="11"/>
      <c r="CK851" s="11"/>
      <c r="CL851" s="11"/>
      <c r="CM851" s="11"/>
      <c r="CN851" s="11"/>
      <c r="CO851" s="11"/>
      <c r="CP851" s="11"/>
      <c r="CQ851" s="11"/>
      <c r="CR851" s="11"/>
      <c r="CS851" s="11"/>
      <c r="CT851" s="11"/>
      <c r="CU851" s="11"/>
      <c r="CV851" s="11"/>
      <c r="CW851" s="11"/>
      <c r="CX851" s="11"/>
      <c r="CY851" s="11"/>
      <c r="C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  <c r="CD852" s="11"/>
      <c r="CE852" s="11"/>
      <c r="CF852" s="11"/>
      <c r="CG852" s="11"/>
      <c r="CH852" s="11"/>
      <c r="CI852" s="11"/>
      <c r="CJ852" s="11"/>
      <c r="CK852" s="11"/>
      <c r="CL852" s="11"/>
      <c r="CM852" s="11"/>
      <c r="CN852" s="11"/>
      <c r="CO852" s="11"/>
      <c r="CP852" s="11"/>
      <c r="CQ852" s="11"/>
      <c r="CR852" s="11"/>
      <c r="CS852" s="11"/>
      <c r="CT852" s="11"/>
      <c r="CU852" s="11"/>
      <c r="CV852" s="11"/>
      <c r="CW852" s="11"/>
      <c r="CX852" s="11"/>
      <c r="CY852" s="11"/>
      <c r="C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11"/>
      <c r="CD853" s="11"/>
      <c r="CE853" s="11"/>
      <c r="CF853" s="11"/>
      <c r="CG853" s="11"/>
      <c r="CH853" s="11"/>
      <c r="CI853" s="11"/>
      <c r="CJ853" s="11"/>
      <c r="CK853" s="11"/>
      <c r="CL853" s="11"/>
      <c r="CM853" s="11"/>
      <c r="CN853" s="11"/>
      <c r="CO853" s="11"/>
      <c r="CP853" s="11"/>
      <c r="CQ853" s="11"/>
      <c r="CR853" s="11"/>
      <c r="CS853" s="11"/>
      <c r="CT853" s="11"/>
      <c r="CU853" s="11"/>
      <c r="CV853" s="11"/>
      <c r="CW853" s="11"/>
      <c r="CX853" s="11"/>
      <c r="CY853" s="11"/>
      <c r="C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  <c r="CC854" s="11"/>
      <c r="CD854" s="11"/>
      <c r="CE854" s="11"/>
      <c r="CF854" s="11"/>
      <c r="CG854" s="11"/>
      <c r="CH854" s="11"/>
      <c r="CI854" s="11"/>
      <c r="CJ854" s="11"/>
      <c r="CK854" s="11"/>
      <c r="CL854" s="11"/>
      <c r="CM854" s="11"/>
      <c r="CN854" s="11"/>
      <c r="CO854" s="11"/>
      <c r="CP854" s="11"/>
      <c r="CQ854" s="11"/>
      <c r="CR854" s="11"/>
      <c r="CS854" s="11"/>
      <c r="CT854" s="11"/>
      <c r="CU854" s="11"/>
      <c r="CV854" s="11"/>
      <c r="CW854" s="11"/>
      <c r="CX854" s="11"/>
      <c r="CY854" s="11"/>
      <c r="C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  <c r="CC855" s="11"/>
      <c r="CD855" s="11"/>
      <c r="CE855" s="11"/>
      <c r="CF855" s="11"/>
      <c r="CG855" s="11"/>
      <c r="CH855" s="11"/>
      <c r="CI855" s="11"/>
      <c r="CJ855" s="11"/>
      <c r="CK855" s="11"/>
      <c r="CL855" s="11"/>
      <c r="CM855" s="11"/>
      <c r="CN855" s="11"/>
      <c r="CO855" s="11"/>
      <c r="CP855" s="11"/>
      <c r="CQ855" s="11"/>
      <c r="CR855" s="11"/>
      <c r="CS855" s="11"/>
      <c r="CT855" s="11"/>
      <c r="CU855" s="11"/>
      <c r="CV855" s="11"/>
      <c r="CW855" s="11"/>
      <c r="CX855" s="11"/>
      <c r="CY855" s="11"/>
      <c r="C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  <c r="CD856" s="11"/>
      <c r="CE856" s="11"/>
      <c r="CF856" s="11"/>
      <c r="CG856" s="11"/>
      <c r="CH856" s="11"/>
      <c r="CI856" s="11"/>
      <c r="CJ856" s="11"/>
      <c r="CK856" s="11"/>
      <c r="CL856" s="11"/>
      <c r="CM856" s="11"/>
      <c r="CN856" s="11"/>
      <c r="CO856" s="11"/>
      <c r="CP856" s="11"/>
      <c r="CQ856" s="11"/>
      <c r="CR856" s="11"/>
      <c r="CS856" s="11"/>
      <c r="CT856" s="11"/>
      <c r="CU856" s="11"/>
      <c r="CV856" s="11"/>
      <c r="CW856" s="11"/>
      <c r="CX856" s="11"/>
      <c r="CY856" s="11"/>
      <c r="C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11"/>
      <c r="CD857" s="11"/>
      <c r="CE857" s="11"/>
      <c r="CF857" s="11"/>
      <c r="CG857" s="11"/>
      <c r="CH857" s="11"/>
      <c r="CI857" s="11"/>
      <c r="CJ857" s="11"/>
      <c r="CK857" s="11"/>
      <c r="CL857" s="11"/>
      <c r="CM857" s="11"/>
      <c r="CN857" s="11"/>
      <c r="CO857" s="11"/>
      <c r="CP857" s="11"/>
      <c r="CQ857" s="11"/>
      <c r="CR857" s="11"/>
      <c r="CS857" s="11"/>
      <c r="CT857" s="11"/>
      <c r="CU857" s="11"/>
      <c r="CV857" s="11"/>
      <c r="CW857" s="11"/>
      <c r="CX857" s="11"/>
      <c r="CY857" s="11"/>
      <c r="C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  <c r="CD858" s="11"/>
      <c r="CE858" s="11"/>
      <c r="CF858" s="11"/>
      <c r="CG858" s="11"/>
      <c r="CH858" s="11"/>
      <c r="CI858" s="11"/>
      <c r="CJ858" s="11"/>
      <c r="CK858" s="11"/>
      <c r="CL858" s="11"/>
      <c r="CM858" s="11"/>
      <c r="CN858" s="11"/>
      <c r="CO858" s="11"/>
      <c r="CP858" s="11"/>
      <c r="CQ858" s="11"/>
      <c r="CR858" s="11"/>
      <c r="CS858" s="11"/>
      <c r="CT858" s="11"/>
      <c r="CU858" s="11"/>
      <c r="CV858" s="11"/>
      <c r="CW858" s="11"/>
      <c r="CX858" s="11"/>
      <c r="CY858" s="11"/>
      <c r="C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  <c r="CA859" s="11"/>
      <c r="CB859" s="11"/>
      <c r="CC859" s="11"/>
      <c r="CD859" s="11"/>
      <c r="CE859" s="11"/>
      <c r="CF859" s="11"/>
      <c r="CG859" s="11"/>
      <c r="CH859" s="11"/>
      <c r="CI859" s="11"/>
      <c r="CJ859" s="11"/>
      <c r="CK859" s="11"/>
      <c r="CL859" s="11"/>
      <c r="CM859" s="11"/>
      <c r="CN859" s="11"/>
      <c r="CO859" s="11"/>
      <c r="CP859" s="11"/>
      <c r="CQ859" s="11"/>
      <c r="CR859" s="11"/>
      <c r="CS859" s="11"/>
      <c r="CT859" s="11"/>
      <c r="CU859" s="11"/>
      <c r="CV859" s="11"/>
      <c r="CW859" s="11"/>
      <c r="CX859" s="11"/>
      <c r="CY859" s="11"/>
      <c r="C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  <c r="BZ860" s="11"/>
      <c r="CA860" s="11"/>
      <c r="CB860" s="11"/>
      <c r="CC860" s="11"/>
      <c r="CD860" s="11"/>
      <c r="CE860" s="11"/>
      <c r="CF860" s="11"/>
      <c r="CG860" s="11"/>
      <c r="CH860" s="11"/>
      <c r="CI860" s="11"/>
      <c r="CJ860" s="11"/>
      <c r="CK860" s="11"/>
      <c r="CL860" s="11"/>
      <c r="CM860" s="11"/>
      <c r="CN860" s="11"/>
      <c r="CO860" s="11"/>
      <c r="CP860" s="11"/>
      <c r="CQ860" s="11"/>
      <c r="CR860" s="11"/>
      <c r="CS860" s="11"/>
      <c r="CT860" s="11"/>
      <c r="CU860" s="11"/>
      <c r="CV860" s="11"/>
      <c r="CW860" s="11"/>
      <c r="CX860" s="11"/>
      <c r="CY860" s="11"/>
      <c r="C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  <c r="BZ862" s="11"/>
      <c r="CA862" s="11"/>
      <c r="CB862" s="11"/>
      <c r="CC862" s="11"/>
      <c r="CD862" s="11"/>
      <c r="CE862" s="11"/>
      <c r="CF862" s="11"/>
      <c r="CG862" s="11"/>
      <c r="CH862" s="11"/>
      <c r="CI862" s="11"/>
      <c r="CJ862" s="11"/>
      <c r="CK862" s="11"/>
      <c r="CL862" s="11"/>
      <c r="CM862" s="11"/>
      <c r="CN862" s="11"/>
      <c r="CO862" s="11"/>
      <c r="CP862" s="11"/>
      <c r="CQ862" s="11"/>
      <c r="CR862" s="11"/>
      <c r="CS862" s="11"/>
      <c r="CT862" s="11"/>
      <c r="CU862" s="11"/>
      <c r="CV862" s="11"/>
      <c r="CW862" s="11"/>
      <c r="CX862" s="11"/>
      <c r="CY862" s="11"/>
      <c r="C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  <c r="BZ863" s="11"/>
      <c r="CA863" s="11"/>
      <c r="CB863" s="11"/>
      <c r="CC863" s="11"/>
      <c r="CD863" s="11"/>
      <c r="CE863" s="11"/>
      <c r="CF863" s="11"/>
      <c r="CG863" s="11"/>
      <c r="CH863" s="11"/>
      <c r="CI863" s="11"/>
      <c r="CJ863" s="11"/>
      <c r="CK863" s="11"/>
      <c r="CL863" s="11"/>
      <c r="CM863" s="11"/>
      <c r="CN863" s="11"/>
      <c r="CO863" s="11"/>
      <c r="CP863" s="11"/>
      <c r="CQ863" s="11"/>
      <c r="CR863" s="11"/>
      <c r="CS863" s="11"/>
      <c r="CT863" s="11"/>
      <c r="CU863" s="11"/>
      <c r="CV863" s="11"/>
      <c r="CW863" s="11"/>
      <c r="CX863" s="11"/>
      <c r="CY863" s="11"/>
      <c r="C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  <c r="BZ864" s="11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  <c r="BZ866" s="11"/>
      <c r="CA866" s="11"/>
      <c r="CB866" s="11"/>
      <c r="CC866" s="11"/>
      <c r="CD866" s="11"/>
      <c r="CE866" s="11"/>
      <c r="CF866" s="11"/>
      <c r="CG866" s="11"/>
      <c r="CH866" s="11"/>
      <c r="CI866" s="11"/>
      <c r="CJ866" s="11"/>
      <c r="CK866" s="11"/>
      <c r="CL866" s="11"/>
      <c r="CM866" s="11"/>
      <c r="CN866" s="11"/>
      <c r="CO866" s="11"/>
      <c r="CP866" s="11"/>
      <c r="CQ866" s="11"/>
      <c r="CR866" s="11"/>
      <c r="CS866" s="11"/>
      <c r="CT866" s="11"/>
      <c r="CU866" s="11"/>
      <c r="CV866" s="11"/>
      <c r="CW866" s="11"/>
      <c r="CX866" s="11"/>
      <c r="CY866" s="11"/>
      <c r="C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  <c r="BZ867" s="11"/>
      <c r="CA867" s="11"/>
      <c r="CB867" s="11"/>
      <c r="CC867" s="11"/>
      <c r="CD867" s="11"/>
      <c r="CE867" s="11"/>
      <c r="CF867" s="11"/>
      <c r="CG867" s="11"/>
      <c r="CH867" s="11"/>
      <c r="CI867" s="11"/>
      <c r="CJ867" s="11"/>
      <c r="CK867" s="11"/>
      <c r="CL867" s="11"/>
      <c r="CM867" s="11"/>
      <c r="CN867" s="11"/>
      <c r="CO867" s="11"/>
      <c r="CP867" s="11"/>
      <c r="CQ867" s="11"/>
      <c r="CR867" s="11"/>
      <c r="CS867" s="11"/>
      <c r="CT867" s="11"/>
      <c r="CU867" s="11"/>
      <c r="CV867" s="11"/>
      <c r="CW867" s="11"/>
      <c r="CX867" s="11"/>
      <c r="CY867" s="11"/>
      <c r="C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  <c r="BZ868" s="11"/>
      <c r="CA868" s="11"/>
      <c r="CB868" s="11"/>
      <c r="CC868" s="11"/>
      <c r="CD868" s="11"/>
      <c r="CE868" s="11"/>
      <c r="CF868" s="11"/>
      <c r="CG868" s="11"/>
      <c r="CH868" s="11"/>
      <c r="CI868" s="11"/>
      <c r="CJ868" s="11"/>
      <c r="CK868" s="11"/>
      <c r="CL868" s="11"/>
      <c r="CM868" s="11"/>
      <c r="CN868" s="11"/>
      <c r="CO868" s="11"/>
      <c r="CP868" s="11"/>
      <c r="CQ868" s="11"/>
      <c r="CR868" s="11"/>
      <c r="CS868" s="11"/>
      <c r="CT868" s="11"/>
      <c r="CU868" s="11"/>
      <c r="CV868" s="11"/>
      <c r="CW868" s="11"/>
      <c r="CX868" s="11"/>
      <c r="CY868" s="11"/>
      <c r="C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  <c r="BZ869" s="11"/>
      <c r="CA869" s="11"/>
      <c r="CB869" s="11"/>
      <c r="CC869" s="11"/>
      <c r="CD869" s="11"/>
      <c r="CE869" s="11"/>
      <c r="CF869" s="11"/>
      <c r="CG869" s="11"/>
      <c r="CH869" s="11"/>
      <c r="CI869" s="11"/>
      <c r="CJ869" s="11"/>
      <c r="CK869" s="11"/>
      <c r="CL869" s="11"/>
      <c r="CM869" s="11"/>
      <c r="CN869" s="11"/>
      <c r="CO869" s="11"/>
      <c r="CP869" s="11"/>
      <c r="CQ869" s="11"/>
      <c r="CR869" s="11"/>
      <c r="CS869" s="11"/>
      <c r="CT869" s="11"/>
      <c r="CU869" s="11"/>
      <c r="CV869" s="11"/>
      <c r="CW869" s="11"/>
      <c r="CX869" s="11"/>
      <c r="CY869" s="11"/>
      <c r="C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  <c r="BZ870" s="11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  <c r="BZ871" s="11"/>
      <c r="CA871" s="11"/>
      <c r="CB871" s="11"/>
      <c r="CC871" s="11"/>
      <c r="CD871" s="11"/>
      <c r="CE871" s="11"/>
      <c r="CF871" s="11"/>
      <c r="CG871" s="11"/>
      <c r="CH871" s="11"/>
      <c r="CI871" s="11"/>
      <c r="CJ871" s="11"/>
      <c r="CK871" s="11"/>
      <c r="CL871" s="11"/>
      <c r="CM871" s="11"/>
      <c r="CN871" s="11"/>
      <c r="CO871" s="11"/>
      <c r="CP871" s="11"/>
      <c r="CQ871" s="11"/>
      <c r="CR871" s="11"/>
      <c r="CS871" s="11"/>
      <c r="CT871" s="11"/>
      <c r="CU871" s="11"/>
      <c r="CV871" s="11"/>
      <c r="CW871" s="11"/>
      <c r="CX871" s="11"/>
      <c r="CY871" s="11"/>
      <c r="C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  <c r="BZ872" s="11"/>
      <c r="CA872" s="11"/>
      <c r="CB872" s="11"/>
      <c r="CC872" s="11"/>
      <c r="CD872" s="11"/>
      <c r="CE872" s="11"/>
      <c r="CF872" s="11"/>
      <c r="CG872" s="11"/>
      <c r="CH872" s="11"/>
      <c r="CI872" s="11"/>
      <c r="CJ872" s="11"/>
      <c r="CK872" s="11"/>
      <c r="CL872" s="11"/>
      <c r="CM872" s="11"/>
      <c r="CN872" s="11"/>
      <c r="CO872" s="11"/>
      <c r="CP872" s="11"/>
      <c r="CQ872" s="11"/>
      <c r="CR872" s="11"/>
      <c r="CS872" s="11"/>
      <c r="CT872" s="11"/>
      <c r="CU872" s="11"/>
      <c r="CV872" s="11"/>
      <c r="CW872" s="11"/>
      <c r="CX872" s="11"/>
      <c r="CY872" s="11"/>
      <c r="C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  <c r="BZ873" s="11"/>
      <c r="CA873" s="11"/>
      <c r="CB873" s="11"/>
      <c r="CC873" s="11"/>
      <c r="CD873" s="11"/>
      <c r="CE873" s="11"/>
      <c r="CF873" s="11"/>
      <c r="CG873" s="11"/>
      <c r="CH873" s="11"/>
      <c r="CI873" s="11"/>
      <c r="CJ873" s="11"/>
      <c r="CK873" s="11"/>
      <c r="CL873" s="11"/>
      <c r="CM873" s="11"/>
      <c r="CN873" s="11"/>
      <c r="CO873" s="11"/>
      <c r="CP873" s="11"/>
      <c r="CQ873" s="11"/>
      <c r="CR873" s="11"/>
      <c r="CS873" s="11"/>
      <c r="CT873" s="11"/>
      <c r="CU873" s="11"/>
      <c r="CV873" s="11"/>
      <c r="CW873" s="11"/>
      <c r="CX873" s="11"/>
      <c r="CY873" s="11"/>
      <c r="C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  <c r="CA874" s="11"/>
      <c r="CB874" s="11"/>
      <c r="CC874" s="11"/>
      <c r="CD874" s="11"/>
      <c r="CE874" s="11"/>
      <c r="CF874" s="11"/>
      <c r="CG874" s="11"/>
      <c r="CH874" s="11"/>
      <c r="CI874" s="11"/>
      <c r="CJ874" s="11"/>
      <c r="CK874" s="11"/>
      <c r="CL874" s="11"/>
      <c r="CM874" s="11"/>
      <c r="CN874" s="11"/>
      <c r="CO874" s="11"/>
      <c r="CP874" s="11"/>
      <c r="CQ874" s="11"/>
      <c r="CR874" s="11"/>
      <c r="CS874" s="11"/>
      <c r="CT874" s="11"/>
      <c r="CU874" s="11"/>
      <c r="CV874" s="11"/>
      <c r="CW874" s="11"/>
      <c r="CX874" s="11"/>
      <c r="CY874" s="11"/>
      <c r="C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  <c r="BZ875" s="11"/>
      <c r="CA875" s="11"/>
      <c r="CB875" s="11"/>
      <c r="CC875" s="11"/>
      <c r="CD875" s="11"/>
      <c r="CE875" s="11"/>
      <c r="CF875" s="11"/>
      <c r="CG875" s="11"/>
      <c r="CH875" s="11"/>
      <c r="CI875" s="11"/>
      <c r="CJ875" s="11"/>
      <c r="CK875" s="11"/>
      <c r="CL875" s="11"/>
      <c r="CM875" s="11"/>
      <c r="CN875" s="11"/>
      <c r="CO875" s="11"/>
      <c r="CP875" s="11"/>
      <c r="CQ875" s="11"/>
      <c r="CR875" s="11"/>
      <c r="CS875" s="11"/>
      <c r="CT875" s="11"/>
      <c r="CU875" s="11"/>
      <c r="CV875" s="11"/>
      <c r="CW875" s="11"/>
      <c r="CX875" s="11"/>
      <c r="CY875" s="11"/>
      <c r="C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  <c r="CA876" s="11"/>
      <c r="CB876" s="11"/>
      <c r="CC876" s="11"/>
      <c r="CD876" s="11"/>
      <c r="CE876" s="11"/>
      <c r="CF876" s="11"/>
      <c r="CG876" s="11"/>
      <c r="CH876" s="11"/>
      <c r="CI876" s="11"/>
      <c r="CJ876" s="11"/>
      <c r="CK876" s="11"/>
      <c r="CL876" s="11"/>
      <c r="CM876" s="11"/>
      <c r="CN876" s="11"/>
      <c r="CO876" s="11"/>
      <c r="CP876" s="11"/>
      <c r="CQ876" s="11"/>
      <c r="CR876" s="11"/>
      <c r="CS876" s="11"/>
      <c r="CT876" s="11"/>
      <c r="CU876" s="11"/>
      <c r="CV876" s="11"/>
      <c r="CW876" s="11"/>
      <c r="CX876" s="11"/>
      <c r="CY876" s="11"/>
      <c r="C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  <c r="BZ877" s="11"/>
      <c r="CA877" s="11"/>
      <c r="CB877" s="11"/>
      <c r="CC877" s="11"/>
      <c r="CD877" s="11"/>
      <c r="CE877" s="11"/>
      <c r="CF877" s="11"/>
      <c r="CG877" s="11"/>
      <c r="CH877" s="11"/>
      <c r="CI877" s="11"/>
      <c r="CJ877" s="11"/>
      <c r="CK877" s="11"/>
      <c r="CL877" s="11"/>
      <c r="CM877" s="11"/>
      <c r="CN877" s="11"/>
      <c r="CO877" s="11"/>
      <c r="CP877" s="11"/>
      <c r="CQ877" s="11"/>
      <c r="CR877" s="11"/>
      <c r="CS877" s="11"/>
      <c r="CT877" s="11"/>
      <c r="CU877" s="11"/>
      <c r="CV877" s="11"/>
      <c r="CW877" s="11"/>
      <c r="CX877" s="11"/>
      <c r="CY877" s="11"/>
      <c r="C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  <c r="CA878" s="11"/>
      <c r="CB878" s="11"/>
      <c r="CC878" s="11"/>
      <c r="CD878" s="11"/>
      <c r="CE878" s="11"/>
      <c r="CF878" s="11"/>
      <c r="CG878" s="11"/>
      <c r="CH878" s="11"/>
      <c r="CI878" s="11"/>
      <c r="CJ878" s="11"/>
      <c r="CK878" s="11"/>
      <c r="CL878" s="11"/>
      <c r="CM878" s="11"/>
      <c r="CN878" s="11"/>
      <c r="CO878" s="11"/>
      <c r="CP878" s="11"/>
      <c r="CQ878" s="11"/>
      <c r="CR878" s="11"/>
      <c r="CS878" s="11"/>
      <c r="CT878" s="11"/>
      <c r="CU878" s="11"/>
      <c r="CV878" s="11"/>
      <c r="CW878" s="11"/>
      <c r="CX878" s="11"/>
      <c r="CY878" s="11"/>
      <c r="C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  <c r="BZ879" s="11"/>
      <c r="CA879" s="11"/>
      <c r="CB879" s="11"/>
      <c r="CC879" s="11"/>
      <c r="CD879" s="11"/>
      <c r="CE879" s="11"/>
      <c r="CF879" s="11"/>
      <c r="CG879" s="11"/>
      <c r="CH879" s="11"/>
      <c r="CI879" s="11"/>
      <c r="CJ879" s="11"/>
      <c r="CK879" s="11"/>
      <c r="CL879" s="11"/>
      <c r="CM879" s="11"/>
      <c r="CN879" s="11"/>
      <c r="CO879" s="11"/>
      <c r="CP879" s="11"/>
      <c r="CQ879" s="11"/>
      <c r="CR879" s="11"/>
      <c r="CS879" s="11"/>
      <c r="CT879" s="11"/>
      <c r="CU879" s="11"/>
      <c r="CV879" s="11"/>
      <c r="CW879" s="11"/>
      <c r="CX879" s="11"/>
      <c r="CY879" s="11"/>
      <c r="C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  <c r="BZ880" s="11"/>
      <c r="CA880" s="11"/>
      <c r="CB880" s="11"/>
      <c r="CC880" s="11"/>
      <c r="CD880" s="11"/>
      <c r="CE880" s="11"/>
      <c r="CF880" s="11"/>
      <c r="CG880" s="11"/>
      <c r="CH880" s="11"/>
      <c r="CI880" s="11"/>
      <c r="CJ880" s="11"/>
      <c r="CK880" s="11"/>
      <c r="CL880" s="11"/>
      <c r="CM880" s="11"/>
      <c r="CN880" s="11"/>
      <c r="CO880" s="11"/>
      <c r="CP880" s="11"/>
      <c r="CQ880" s="11"/>
      <c r="CR880" s="11"/>
      <c r="CS880" s="11"/>
      <c r="CT880" s="11"/>
      <c r="CU880" s="11"/>
      <c r="CV880" s="11"/>
      <c r="CW880" s="11"/>
      <c r="CX880" s="11"/>
      <c r="CY880" s="11"/>
      <c r="C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  <c r="BZ881" s="11"/>
      <c r="CA881" s="11"/>
      <c r="CB881" s="11"/>
      <c r="CC881" s="11"/>
      <c r="CD881" s="11"/>
      <c r="CE881" s="11"/>
      <c r="CF881" s="11"/>
      <c r="CG881" s="11"/>
      <c r="CH881" s="11"/>
      <c r="CI881" s="11"/>
      <c r="CJ881" s="11"/>
      <c r="CK881" s="11"/>
      <c r="CL881" s="11"/>
      <c r="CM881" s="11"/>
      <c r="CN881" s="11"/>
      <c r="CO881" s="11"/>
      <c r="CP881" s="11"/>
      <c r="CQ881" s="11"/>
      <c r="CR881" s="11"/>
      <c r="CS881" s="11"/>
      <c r="CT881" s="11"/>
      <c r="CU881" s="11"/>
      <c r="CV881" s="11"/>
      <c r="CW881" s="11"/>
      <c r="CX881" s="11"/>
      <c r="CY881" s="11"/>
      <c r="C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  <c r="BZ882" s="11"/>
      <c r="CA882" s="11"/>
      <c r="CB882" s="11"/>
      <c r="CC882" s="11"/>
      <c r="CD882" s="11"/>
      <c r="CE882" s="11"/>
      <c r="CF882" s="11"/>
      <c r="CG882" s="11"/>
      <c r="CH882" s="11"/>
      <c r="CI882" s="11"/>
      <c r="CJ882" s="11"/>
      <c r="CK882" s="11"/>
      <c r="CL882" s="11"/>
      <c r="CM882" s="11"/>
      <c r="CN882" s="11"/>
      <c r="CO882" s="11"/>
      <c r="CP882" s="11"/>
      <c r="CQ882" s="11"/>
      <c r="CR882" s="11"/>
      <c r="CS882" s="11"/>
      <c r="CT882" s="11"/>
      <c r="CU882" s="11"/>
      <c r="CV882" s="11"/>
      <c r="CW882" s="11"/>
      <c r="CX882" s="11"/>
      <c r="CY882" s="11"/>
      <c r="C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  <c r="BZ883" s="11"/>
      <c r="CA883" s="11"/>
      <c r="CB883" s="11"/>
      <c r="CC883" s="11"/>
      <c r="CD883" s="11"/>
      <c r="CE883" s="11"/>
      <c r="CF883" s="11"/>
      <c r="CG883" s="11"/>
      <c r="CH883" s="11"/>
      <c r="CI883" s="11"/>
      <c r="CJ883" s="11"/>
      <c r="CK883" s="11"/>
      <c r="CL883" s="11"/>
      <c r="CM883" s="11"/>
      <c r="CN883" s="11"/>
      <c r="CO883" s="11"/>
      <c r="CP883" s="11"/>
      <c r="CQ883" s="11"/>
      <c r="CR883" s="11"/>
      <c r="CS883" s="11"/>
      <c r="CT883" s="11"/>
      <c r="CU883" s="11"/>
      <c r="CV883" s="11"/>
      <c r="CW883" s="11"/>
      <c r="CX883" s="11"/>
      <c r="CY883" s="11"/>
      <c r="C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  <c r="BZ884" s="11"/>
      <c r="CA884" s="11"/>
      <c r="CB884" s="11"/>
      <c r="CC884" s="11"/>
      <c r="CD884" s="11"/>
      <c r="CE884" s="11"/>
      <c r="CF884" s="11"/>
      <c r="CG884" s="11"/>
      <c r="CH884" s="11"/>
      <c r="CI884" s="11"/>
      <c r="CJ884" s="11"/>
      <c r="CK884" s="11"/>
      <c r="CL884" s="11"/>
      <c r="CM884" s="11"/>
      <c r="CN884" s="11"/>
      <c r="CO884" s="11"/>
      <c r="CP884" s="11"/>
      <c r="CQ884" s="11"/>
      <c r="CR884" s="11"/>
      <c r="CS884" s="11"/>
      <c r="CT884" s="11"/>
      <c r="CU884" s="11"/>
      <c r="CV884" s="11"/>
      <c r="CW884" s="11"/>
      <c r="CX884" s="11"/>
      <c r="CY884" s="11"/>
      <c r="C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  <c r="BZ885" s="11"/>
      <c r="CA885" s="11"/>
      <c r="CB885" s="11"/>
      <c r="CC885" s="11"/>
      <c r="CD885" s="11"/>
      <c r="CE885" s="11"/>
      <c r="CF885" s="11"/>
      <c r="CG885" s="11"/>
      <c r="CH885" s="11"/>
      <c r="CI885" s="11"/>
      <c r="CJ885" s="11"/>
      <c r="CK885" s="11"/>
      <c r="CL885" s="11"/>
      <c r="CM885" s="11"/>
      <c r="CN885" s="11"/>
      <c r="CO885" s="11"/>
      <c r="CP885" s="11"/>
      <c r="CQ885" s="11"/>
      <c r="CR885" s="11"/>
      <c r="CS885" s="11"/>
      <c r="CT885" s="11"/>
      <c r="CU885" s="11"/>
      <c r="CV885" s="11"/>
      <c r="CW885" s="11"/>
      <c r="CX885" s="11"/>
      <c r="CY885" s="11"/>
      <c r="C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  <c r="CA886" s="11"/>
      <c r="CB886" s="11"/>
      <c r="CC886" s="11"/>
      <c r="CD886" s="11"/>
      <c r="CE886" s="11"/>
      <c r="CF886" s="11"/>
      <c r="CG886" s="11"/>
      <c r="CH886" s="11"/>
      <c r="CI886" s="11"/>
      <c r="CJ886" s="11"/>
      <c r="CK886" s="11"/>
      <c r="CL886" s="11"/>
      <c r="CM886" s="11"/>
      <c r="CN886" s="11"/>
      <c r="CO886" s="11"/>
      <c r="CP886" s="11"/>
      <c r="CQ886" s="11"/>
      <c r="CR886" s="11"/>
      <c r="CS886" s="11"/>
      <c r="CT886" s="11"/>
      <c r="CU886" s="11"/>
      <c r="CV886" s="11"/>
      <c r="CW886" s="11"/>
      <c r="CX886" s="11"/>
      <c r="CY886" s="11"/>
      <c r="C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  <c r="BZ887" s="11"/>
      <c r="CA887" s="11"/>
      <c r="CB887" s="11"/>
      <c r="CC887" s="11"/>
      <c r="CD887" s="11"/>
      <c r="CE887" s="11"/>
      <c r="CF887" s="11"/>
      <c r="CG887" s="11"/>
      <c r="CH887" s="11"/>
      <c r="CI887" s="11"/>
      <c r="CJ887" s="11"/>
      <c r="CK887" s="11"/>
      <c r="CL887" s="11"/>
      <c r="CM887" s="11"/>
      <c r="CN887" s="11"/>
      <c r="CO887" s="11"/>
      <c r="CP887" s="11"/>
      <c r="CQ887" s="11"/>
      <c r="CR887" s="11"/>
      <c r="CS887" s="11"/>
      <c r="CT887" s="11"/>
      <c r="CU887" s="11"/>
      <c r="CV887" s="11"/>
      <c r="CW887" s="11"/>
      <c r="CX887" s="11"/>
      <c r="CY887" s="11"/>
      <c r="C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  <c r="CA888" s="11"/>
      <c r="CB888" s="11"/>
      <c r="CC888" s="11"/>
      <c r="CD888" s="11"/>
      <c r="CE888" s="11"/>
      <c r="CF888" s="11"/>
      <c r="CG888" s="11"/>
      <c r="CH888" s="11"/>
      <c r="CI888" s="11"/>
      <c r="CJ888" s="11"/>
      <c r="CK888" s="11"/>
      <c r="CL888" s="11"/>
      <c r="CM888" s="11"/>
      <c r="CN888" s="11"/>
      <c r="CO888" s="11"/>
      <c r="CP888" s="11"/>
      <c r="CQ888" s="11"/>
      <c r="CR888" s="11"/>
      <c r="CS888" s="11"/>
      <c r="CT888" s="11"/>
      <c r="CU888" s="11"/>
      <c r="CV888" s="11"/>
      <c r="CW888" s="11"/>
      <c r="CX888" s="11"/>
      <c r="CY888" s="11"/>
      <c r="C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  <c r="BZ889" s="11"/>
      <c r="CA889" s="11"/>
      <c r="CB889" s="11"/>
      <c r="CC889" s="11"/>
      <c r="CD889" s="11"/>
      <c r="CE889" s="11"/>
      <c r="CF889" s="11"/>
      <c r="CG889" s="11"/>
      <c r="CH889" s="11"/>
      <c r="CI889" s="11"/>
      <c r="CJ889" s="11"/>
      <c r="CK889" s="11"/>
      <c r="CL889" s="11"/>
      <c r="CM889" s="11"/>
      <c r="CN889" s="11"/>
      <c r="CO889" s="11"/>
      <c r="CP889" s="11"/>
      <c r="CQ889" s="11"/>
      <c r="CR889" s="11"/>
      <c r="CS889" s="11"/>
      <c r="CT889" s="11"/>
      <c r="CU889" s="11"/>
      <c r="CV889" s="11"/>
      <c r="CW889" s="11"/>
      <c r="CX889" s="11"/>
      <c r="CY889" s="11"/>
      <c r="C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  <c r="BZ890" s="11"/>
      <c r="CA890" s="11"/>
      <c r="CB890" s="11"/>
      <c r="CC890" s="11"/>
      <c r="CD890" s="11"/>
      <c r="CE890" s="11"/>
      <c r="CF890" s="11"/>
      <c r="CG890" s="11"/>
      <c r="CH890" s="11"/>
      <c r="CI890" s="11"/>
      <c r="CJ890" s="11"/>
      <c r="CK890" s="11"/>
      <c r="CL890" s="11"/>
      <c r="CM890" s="11"/>
      <c r="CN890" s="11"/>
      <c r="CO890" s="11"/>
      <c r="CP890" s="11"/>
      <c r="CQ890" s="11"/>
      <c r="CR890" s="11"/>
      <c r="CS890" s="11"/>
      <c r="CT890" s="11"/>
      <c r="CU890" s="11"/>
      <c r="CV890" s="11"/>
      <c r="CW890" s="11"/>
      <c r="CX890" s="11"/>
      <c r="CY890" s="11"/>
      <c r="C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  <c r="BZ891" s="11"/>
      <c r="CA891" s="11"/>
      <c r="CB891" s="11"/>
      <c r="CC891" s="11"/>
      <c r="CD891" s="11"/>
      <c r="CE891" s="11"/>
      <c r="CF891" s="11"/>
      <c r="CG891" s="11"/>
      <c r="CH891" s="11"/>
      <c r="CI891" s="11"/>
      <c r="CJ891" s="11"/>
      <c r="CK891" s="11"/>
      <c r="CL891" s="11"/>
      <c r="CM891" s="11"/>
      <c r="CN891" s="11"/>
      <c r="CO891" s="11"/>
      <c r="CP891" s="11"/>
      <c r="CQ891" s="11"/>
      <c r="CR891" s="11"/>
      <c r="CS891" s="11"/>
      <c r="CT891" s="11"/>
      <c r="CU891" s="11"/>
      <c r="CV891" s="11"/>
      <c r="CW891" s="11"/>
      <c r="CX891" s="11"/>
      <c r="CY891" s="11"/>
      <c r="C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  <c r="BZ892" s="11"/>
      <c r="CA892" s="11"/>
      <c r="CB892" s="11"/>
      <c r="CC892" s="11"/>
      <c r="CD892" s="11"/>
      <c r="CE892" s="11"/>
      <c r="CF892" s="11"/>
      <c r="CG892" s="11"/>
      <c r="CH892" s="11"/>
      <c r="CI892" s="11"/>
      <c r="CJ892" s="11"/>
      <c r="CK892" s="11"/>
      <c r="CL892" s="11"/>
      <c r="CM892" s="11"/>
      <c r="CN892" s="11"/>
      <c r="CO892" s="11"/>
      <c r="CP892" s="11"/>
      <c r="CQ892" s="11"/>
      <c r="CR892" s="11"/>
      <c r="CS892" s="11"/>
      <c r="CT892" s="11"/>
      <c r="CU892" s="11"/>
      <c r="CV892" s="11"/>
      <c r="CW892" s="11"/>
      <c r="CX892" s="11"/>
      <c r="CY892" s="11"/>
      <c r="C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  <c r="BZ893" s="11"/>
      <c r="CA893" s="11"/>
      <c r="CB893" s="11"/>
      <c r="CC893" s="11"/>
      <c r="CD893" s="11"/>
      <c r="CE893" s="11"/>
      <c r="CF893" s="11"/>
      <c r="CG893" s="11"/>
      <c r="CH893" s="11"/>
      <c r="CI893" s="11"/>
      <c r="CJ893" s="11"/>
      <c r="CK893" s="11"/>
      <c r="CL893" s="11"/>
      <c r="CM893" s="11"/>
      <c r="CN893" s="11"/>
      <c r="CO893" s="11"/>
      <c r="CP893" s="11"/>
      <c r="CQ893" s="11"/>
      <c r="CR893" s="11"/>
      <c r="CS893" s="11"/>
      <c r="CT893" s="11"/>
      <c r="CU893" s="11"/>
      <c r="CV893" s="11"/>
      <c r="CW893" s="11"/>
      <c r="CX893" s="11"/>
      <c r="CY893" s="11"/>
      <c r="C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  <c r="BZ894" s="11"/>
      <c r="CA894" s="11"/>
      <c r="CB894" s="11"/>
      <c r="CC894" s="11"/>
      <c r="CD894" s="11"/>
      <c r="CE894" s="11"/>
      <c r="CF894" s="11"/>
      <c r="CG894" s="11"/>
      <c r="CH894" s="11"/>
      <c r="CI894" s="11"/>
      <c r="CJ894" s="11"/>
      <c r="CK894" s="11"/>
      <c r="CL894" s="11"/>
      <c r="CM894" s="11"/>
      <c r="CN894" s="11"/>
      <c r="CO894" s="11"/>
      <c r="CP894" s="11"/>
      <c r="CQ894" s="11"/>
      <c r="CR894" s="11"/>
      <c r="CS894" s="11"/>
      <c r="CT894" s="11"/>
      <c r="CU894" s="11"/>
      <c r="CV894" s="11"/>
      <c r="CW894" s="11"/>
      <c r="CX894" s="11"/>
      <c r="CY894" s="11"/>
      <c r="C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  <c r="BZ895" s="11"/>
      <c r="CA895" s="11"/>
      <c r="CB895" s="11"/>
      <c r="CC895" s="11"/>
      <c r="CD895" s="11"/>
      <c r="CE895" s="11"/>
      <c r="CF895" s="11"/>
      <c r="CG895" s="11"/>
      <c r="CH895" s="11"/>
      <c r="CI895" s="11"/>
      <c r="CJ895" s="11"/>
      <c r="CK895" s="11"/>
      <c r="CL895" s="11"/>
      <c r="CM895" s="11"/>
      <c r="CN895" s="11"/>
      <c r="CO895" s="11"/>
      <c r="CP895" s="11"/>
      <c r="CQ895" s="11"/>
      <c r="CR895" s="11"/>
      <c r="CS895" s="11"/>
      <c r="CT895" s="11"/>
      <c r="CU895" s="11"/>
      <c r="CV895" s="11"/>
      <c r="CW895" s="11"/>
      <c r="CX895" s="11"/>
      <c r="CY895" s="11"/>
      <c r="C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  <c r="BV896" s="11"/>
      <c r="BW896" s="11"/>
      <c r="BX896" s="11"/>
      <c r="BY896" s="11"/>
      <c r="BZ896" s="11"/>
      <c r="CA896" s="11"/>
      <c r="CB896" s="11"/>
      <c r="CC896" s="11"/>
      <c r="CD896" s="11"/>
      <c r="CE896" s="11"/>
      <c r="CF896" s="11"/>
      <c r="CG896" s="11"/>
      <c r="CH896" s="11"/>
      <c r="CI896" s="11"/>
      <c r="CJ896" s="11"/>
      <c r="CK896" s="11"/>
      <c r="CL896" s="11"/>
      <c r="CM896" s="11"/>
      <c r="CN896" s="11"/>
      <c r="CO896" s="11"/>
      <c r="CP896" s="11"/>
      <c r="CQ896" s="11"/>
      <c r="CR896" s="11"/>
      <c r="CS896" s="11"/>
      <c r="CT896" s="11"/>
      <c r="CU896" s="11"/>
      <c r="CV896" s="11"/>
      <c r="CW896" s="11"/>
      <c r="CX896" s="11"/>
      <c r="CY896" s="11"/>
      <c r="C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  <c r="BV897" s="11"/>
      <c r="BW897" s="11"/>
      <c r="BX897" s="11"/>
      <c r="BY897" s="11"/>
      <c r="BZ897" s="11"/>
      <c r="CA897" s="11"/>
      <c r="CB897" s="11"/>
      <c r="CC897" s="11"/>
      <c r="CD897" s="11"/>
      <c r="CE897" s="11"/>
      <c r="CF897" s="11"/>
      <c r="CG897" s="11"/>
      <c r="CH897" s="11"/>
      <c r="CI897" s="11"/>
      <c r="CJ897" s="11"/>
      <c r="CK897" s="11"/>
      <c r="CL897" s="11"/>
      <c r="CM897" s="11"/>
      <c r="CN897" s="11"/>
      <c r="CO897" s="11"/>
      <c r="CP897" s="11"/>
      <c r="CQ897" s="11"/>
      <c r="CR897" s="11"/>
      <c r="CS897" s="11"/>
      <c r="CT897" s="11"/>
      <c r="CU897" s="11"/>
      <c r="CV897" s="11"/>
      <c r="CW897" s="11"/>
      <c r="CX897" s="11"/>
      <c r="CY897" s="11"/>
      <c r="C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  <c r="BV898" s="11"/>
      <c r="BW898" s="11"/>
      <c r="BX898" s="11"/>
      <c r="BY898" s="11"/>
      <c r="BZ898" s="11"/>
      <c r="CA898" s="11"/>
      <c r="CB898" s="11"/>
      <c r="CC898" s="11"/>
      <c r="CD898" s="11"/>
      <c r="CE898" s="11"/>
      <c r="CF898" s="11"/>
      <c r="CG898" s="11"/>
      <c r="CH898" s="11"/>
      <c r="CI898" s="11"/>
      <c r="CJ898" s="11"/>
      <c r="CK898" s="11"/>
      <c r="CL898" s="11"/>
      <c r="CM898" s="11"/>
      <c r="CN898" s="11"/>
      <c r="CO898" s="11"/>
      <c r="CP898" s="11"/>
      <c r="CQ898" s="11"/>
      <c r="CR898" s="11"/>
      <c r="CS898" s="11"/>
      <c r="CT898" s="11"/>
      <c r="CU898" s="11"/>
      <c r="CV898" s="11"/>
      <c r="CW898" s="11"/>
      <c r="CX898" s="11"/>
      <c r="CY898" s="11"/>
      <c r="C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  <c r="BZ900" s="11"/>
      <c r="CA900" s="11"/>
      <c r="CB900" s="11"/>
      <c r="CC900" s="11"/>
      <c r="CD900" s="11"/>
      <c r="CE900" s="11"/>
      <c r="CF900" s="11"/>
      <c r="CG900" s="11"/>
      <c r="CH900" s="11"/>
      <c r="CI900" s="11"/>
      <c r="CJ900" s="11"/>
      <c r="CK900" s="11"/>
      <c r="CL900" s="11"/>
      <c r="CM900" s="11"/>
      <c r="CN900" s="11"/>
      <c r="CO900" s="11"/>
      <c r="CP900" s="11"/>
      <c r="CQ900" s="11"/>
      <c r="CR900" s="11"/>
      <c r="CS900" s="11"/>
      <c r="CT900" s="11"/>
      <c r="CU900" s="11"/>
      <c r="CV900" s="11"/>
      <c r="CW900" s="11"/>
      <c r="CX900" s="11"/>
      <c r="CY900" s="11"/>
      <c r="C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  <c r="BZ901" s="11"/>
      <c r="CA901" s="11"/>
      <c r="CB901" s="11"/>
      <c r="CC901" s="11"/>
      <c r="CD901" s="11"/>
      <c r="CE901" s="11"/>
      <c r="CF901" s="11"/>
      <c r="CG901" s="11"/>
      <c r="CH901" s="11"/>
      <c r="CI901" s="11"/>
      <c r="CJ901" s="11"/>
      <c r="CK901" s="11"/>
      <c r="CL901" s="11"/>
      <c r="CM901" s="11"/>
      <c r="CN901" s="11"/>
      <c r="CO901" s="11"/>
      <c r="CP901" s="11"/>
      <c r="CQ901" s="11"/>
      <c r="CR901" s="11"/>
      <c r="CS901" s="11"/>
      <c r="CT901" s="11"/>
      <c r="CU901" s="11"/>
      <c r="CV901" s="11"/>
      <c r="CW901" s="11"/>
      <c r="CX901" s="11"/>
      <c r="CY901" s="11"/>
      <c r="C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  <c r="BZ902" s="11"/>
      <c r="CA902" s="11"/>
      <c r="CB902" s="11"/>
      <c r="CC902" s="11"/>
      <c r="CD902" s="11"/>
      <c r="CE902" s="11"/>
      <c r="CF902" s="11"/>
      <c r="CG902" s="11"/>
      <c r="CH902" s="11"/>
      <c r="CI902" s="11"/>
      <c r="CJ902" s="11"/>
      <c r="CK902" s="11"/>
      <c r="CL902" s="11"/>
      <c r="CM902" s="11"/>
      <c r="CN902" s="11"/>
      <c r="CO902" s="11"/>
      <c r="CP902" s="11"/>
      <c r="CQ902" s="11"/>
      <c r="CR902" s="11"/>
      <c r="CS902" s="11"/>
      <c r="CT902" s="11"/>
      <c r="CU902" s="11"/>
      <c r="CV902" s="11"/>
      <c r="CW902" s="11"/>
      <c r="CX902" s="11"/>
      <c r="CY902" s="11"/>
      <c r="C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  <c r="BZ903" s="11"/>
      <c r="CA903" s="11"/>
      <c r="CB903" s="11"/>
      <c r="CC903" s="11"/>
      <c r="CD903" s="11"/>
      <c r="CE903" s="11"/>
      <c r="CF903" s="11"/>
      <c r="CG903" s="11"/>
      <c r="CH903" s="11"/>
      <c r="CI903" s="11"/>
      <c r="CJ903" s="11"/>
      <c r="CK903" s="11"/>
      <c r="CL903" s="11"/>
      <c r="CM903" s="11"/>
      <c r="CN903" s="11"/>
      <c r="CO903" s="11"/>
      <c r="CP903" s="11"/>
      <c r="CQ903" s="11"/>
      <c r="CR903" s="11"/>
      <c r="CS903" s="11"/>
      <c r="CT903" s="11"/>
      <c r="CU903" s="11"/>
      <c r="CV903" s="11"/>
      <c r="CW903" s="11"/>
      <c r="CX903" s="11"/>
      <c r="CY903" s="11"/>
      <c r="C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  <c r="BZ904" s="11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  <c r="CW904" s="11"/>
      <c r="CX904" s="11"/>
      <c r="CY904" s="11"/>
      <c r="C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  <c r="BZ905" s="11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  <c r="BZ906" s="11"/>
      <c r="CA906" s="11"/>
      <c r="CB906" s="11"/>
      <c r="CC906" s="11"/>
      <c r="CD906" s="11"/>
      <c r="CE906" s="11"/>
      <c r="CF906" s="11"/>
      <c r="CG906" s="11"/>
      <c r="CH906" s="11"/>
      <c r="CI906" s="11"/>
      <c r="CJ906" s="11"/>
      <c r="CK906" s="11"/>
      <c r="CL906" s="11"/>
      <c r="CM906" s="11"/>
      <c r="CN906" s="11"/>
      <c r="CO906" s="11"/>
      <c r="CP906" s="11"/>
      <c r="CQ906" s="11"/>
      <c r="CR906" s="11"/>
      <c r="CS906" s="11"/>
      <c r="CT906" s="11"/>
      <c r="CU906" s="11"/>
      <c r="CV906" s="11"/>
      <c r="CW906" s="11"/>
      <c r="CX906" s="11"/>
      <c r="CY906" s="11"/>
      <c r="C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  <c r="BZ907" s="11"/>
      <c r="CA907" s="11"/>
      <c r="CB907" s="11"/>
      <c r="CC907" s="11"/>
      <c r="CD907" s="11"/>
      <c r="CE907" s="11"/>
      <c r="CF907" s="11"/>
      <c r="CG907" s="11"/>
      <c r="CH907" s="11"/>
      <c r="CI907" s="11"/>
      <c r="CJ907" s="11"/>
      <c r="CK907" s="11"/>
      <c r="CL907" s="11"/>
      <c r="CM907" s="11"/>
      <c r="CN907" s="11"/>
      <c r="CO907" s="11"/>
      <c r="CP907" s="11"/>
      <c r="CQ907" s="11"/>
      <c r="CR907" s="11"/>
      <c r="CS907" s="11"/>
      <c r="CT907" s="11"/>
      <c r="CU907" s="11"/>
      <c r="CV907" s="11"/>
      <c r="CW907" s="11"/>
      <c r="CX907" s="11"/>
      <c r="CY907" s="11"/>
      <c r="C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  <c r="BZ908" s="11"/>
      <c r="CA908" s="11"/>
      <c r="CB908" s="11"/>
      <c r="CC908" s="11"/>
      <c r="CD908" s="11"/>
      <c r="CE908" s="11"/>
      <c r="CF908" s="11"/>
      <c r="CG908" s="11"/>
      <c r="CH908" s="11"/>
      <c r="CI908" s="11"/>
      <c r="CJ908" s="11"/>
      <c r="CK908" s="11"/>
      <c r="CL908" s="11"/>
      <c r="CM908" s="11"/>
      <c r="CN908" s="11"/>
      <c r="CO908" s="11"/>
      <c r="CP908" s="11"/>
      <c r="CQ908" s="11"/>
      <c r="CR908" s="11"/>
      <c r="CS908" s="11"/>
      <c r="CT908" s="11"/>
      <c r="CU908" s="11"/>
      <c r="CV908" s="11"/>
      <c r="CW908" s="11"/>
      <c r="CX908" s="11"/>
      <c r="CY908" s="11"/>
      <c r="C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  <c r="BZ909" s="11"/>
      <c r="CA909" s="11"/>
      <c r="CB909" s="11"/>
      <c r="CC909" s="11"/>
      <c r="CD909" s="11"/>
      <c r="CE909" s="11"/>
      <c r="CF909" s="11"/>
      <c r="CG909" s="11"/>
      <c r="CH909" s="11"/>
      <c r="CI909" s="11"/>
      <c r="CJ909" s="11"/>
      <c r="CK909" s="11"/>
      <c r="CL909" s="11"/>
      <c r="CM909" s="11"/>
      <c r="CN909" s="11"/>
      <c r="CO909" s="11"/>
      <c r="CP909" s="11"/>
      <c r="CQ909" s="11"/>
      <c r="CR909" s="11"/>
      <c r="CS909" s="11"/>
      <c r="CT909" s="11"/>
      <c r="CU909" s="11"/>
      <c r="CV909" s="11"/>
      <c r="CW909" s="11"/>
      <c r="CX909" s="11"/>
      <c r="CY909" s="11"/>
      <c r="C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  <c r="BZ910" s="11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11"/>
      <c r="CQ910" s="11"/>
      <c r="CR910" s="11"/>
      <c r="CS910" s="11"/>
      <c r="CT910" s="11"/>
      <c r="CU910" s="11"/>
      <c r="CV910" s="11"/>
      <c r="CW910" s="11"/>
      <c r="CX910" s="11"/>
      <c r="CY910" s="11"/>
      <c r="C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  <c r="BZ911" s="11"/>
      <c r="CA911" s="11"/>
      <c r="CB911" s="11"/>
      <c r="CC911" s="11"/>
      <c r="CD911" s="11"/>
      <c r="CE911" s="11"/>
      <c r="CF911" s="11"/>
      <c r="CG911" s="11"/>
      <c r="CH911" s="11"/>
      <c r="CI911" s="11"/>
      <c r="CJ911" s="11"/>
      <c r="CK911" s="11"/>
      <c r="CL911" s="11"/>
      <c r="CM911" s="11"/>
      <c r="CN911" s="11"/>
      <c r="CO911" s="11"/>
      <c r="CP911" s="11"/>
      <c r="CQ911" s="11"/>
      <c r="CR911" s="11"/>
      <c r="CS911" s="11"/>
      <c r="CT911" s="11"/>
      <c r="CU911" s="11"/>
      <c r="CV911" s="11"/>
      <c r="CW911" s="11"/>
      <c r="CX911" s="11"/>
      <c r="CY911" s="11"/>
      <c r="C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  <c r="BZ912" s="11"/>
      <c r="CA912" s="11"/>
      <c r="CB912" s="11"/>
      <c r="CC912" s="11"/>
      <c r="CD912" s="11"/>
      <c r="CE912" s="11"/>
      <c r="CF912" s="11"/>
      <c r="CG912" s="11"/>
      <c r="CH912" s="11"/>
      <c r="CI912" s="11"/>
      <c r="CJ912" s="11"/>
      <c r="CK912" s="11"/>
      <c r="CL912" s="11"/>
      <c r="CM912" s="11"/>
      <c r="CN912" s="11"/>
      <c r="CO912" s="11"/>
      <c r="CP912" s="11"/>
      <c r="CQ912" s="11"/>
      <c r="CR912" s="11"/>
      <c r="CS912" s="11"/>
      <c r="CT912" s="11"/>
      <c r="CU912" s="11"/>
      <c r="CV912" s="11"/>
      <c r="CW912" s="11"/>
      <c r="CX912" s="11"/>
      <c r="CY912" s="11"/>
      <c r="C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  <c r="BZ913" s="11"/>
      <c r="CA913" s="11"/>
      <c r="CB913" s="11"/>
      <c r="CC913" s="11"/>
      <c r="CD913" s="11"/>
      <c r="CE913" s="11"/>
      <c r="CF913" s="11"/>
      <c r="CG913" s="11"/>
      <c r="CH913" s="11"/>
      <c r="CI913" s="11"/>
      <c r="CJ913" s="11"/>
      <c r="CK913" s="11"/>
      <c r="CL913" s="11"/>
      <c r="CM913" s="11"/>
      <c r="CN913" s="11"/>
      <c r="CO913" s="11"/>
      <c r="CP913" s="11"/>
      <c r="CQ913" s="11"/>
      <c r="CR913" s="11"/>
      <c r="CS913" s="11"/>
      <c r="CT913" s="11"/>
      <c r="CU913" s="11"/>
      <c r="CV913" s="11"/>
      <c r="CW913" s="11"/>
      <c r="CX913" s="11"/>
      <c r="CY913" s="11"/>
      <c r="C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  <c r="BZ914" s="11"/>
      <c r="CA914" s="11"/>
      <c r="CB914" s="11"/>
      <c r="CC914" s="11"/>
      <c r="CD914" s="11"/>
      <c r="CE914" s="11"/>
      <c r="CF914" s="11"/>
      <c r="CG914" s="11"/>
      <c r="CH914" s="11"/>
      <c r="CI914" s="11"/>
      <c r="CJ914" s="11"/>
      <c r="CK914" s="11"/>
      <c r="CL914" s="11"/>
      <c r="CM914" s="11"/>
      <c r="CN914" s="11"/>
      <c r="CO914" s="11"/>
      <c r="CP914" s="11"/>
      <c r="CQ914" s="11"/>
      <c r="CR914" s="11"/>
      <c r="CS914" s="11"/>
      <c r="CT914" s="11"/>
      <c r="CU914" s="11"/>
      <c r="CV914" s="11"/>
      <c r="CW914" s="11"/>
      <c r="CX914" s="11"/>
      <c r="CY914" s="11"/>
      <c r="C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  <c r="BZ915" s="11"/>
      <c r="CA915" s="11"/>
      <c r="CB915" s="11"/>
      <c r="CC915" s="11"/>
      <c r="CD915" s="11"/>
      <c r="CE915" s="11"/>
      <c r="CF915" s="11"/>
      <c r="CG915" s="11"/>
      <c r="CH915" s="11"/>
      <c r="CI915" s="11"/>
      <c r="CJ915" s="11"/>
      <c r="CK915" s="11"/>
      <c r="CL915" s="11"/>
      <c r="CM915" s="11"/>
      <c r="CN915" s="11"/>
      <c r="CO915" s="11"/>
      <c r="CP915" s="11"/>
      <c r="CQ915" s="11"/>
      <c r="CR915" s="11"/>
      <c r="CS915" s="11"/>
      <c r="CT915" s="11"/>
      <c r="CU915" s="11"/>
      <c r="CV915" s="11"/>
      <c r="CW915" s="11"/>
      <c r="CX915" s="11"/>
      <c r="CY915" s="11"/>
      <c r="C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  <c r="BZ916" s="11"/>
      <c r="CA916" s="11"/>
      <c r="CB916" s="11"/>
      <c r="CC916" s="11"/>
      <c r="CD916" s="11"/>
      <c r="CE916" s="11"/>
      <c r="CF916" s="11"/>
      <c r="CG916" s="11"/>
      <c r="CH916" s="11"/>
      <c r="CI916" s="11"/>
      <c r="CJ916" s="11"/>
      <c r="CK916" s="11"/>
      <c r="CL916" s="11"/>
      <c r="CM916" s="11"/>
      <c r="CN916" s="11"/>
      <c r="CO916" s="11"/>
      <c r="CP916" s="11"/>
      <c r="CQ916" s="11"/>
      <c r="CR916" s="11"/>
      <c r="CS916" s="11"/>
      <c r="CT916" s="11"/>
      <c r="CU916" s="11"/>
      <c r="CV916" s="11"/>
      <c r="CW916" s="11"/>
      <c r="CX916" s="11"/>
      <c r="CY916" s="11"/>
      <c r="C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  <c r="BZ917" s="11"/>
      <c r="CA917" s="11"/>
      <c r="CB917" s="11"/>
      <c r="CC917" s="11"/>
      <c r="CD917" s="11"/>
      <c r="CE917" s="11"/>
      <c r="CF917" s="11"/>
      <c r="CG917" s="11"/>
      <c r="CH917" s="11"/>
      <c r="CI917" s="11"/>
      <c r="CJ917" s="11"/>
      <c r="CK917" s="11"/>
      <c r="CL917" s="11"/>
      <c r="CM917" s="11"/>
      <c r="CN917" s="11"/>
      <c r="CO917" s="11"/>
      <c r="CP917" s="11"/>
      <c r="CQ917" s="11"/>
      <c r="CR917" s="11"/>
      <c r="CS917" s="11"/>
      <c r="CT917" s="11"/>
      <c r="CU917" s="11"/>
      <c r="CV917" s="11"/>
      <c r="CW917" s="11"/>
      <c r="CX917" s="11"/>
      <c r="CY917" s="11"/>
      <c r="C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  <c r="BZ918" s="11"/>
      <c r="CA918" s="11"/>
      <c r="CB918" s="11"/>
      <c r="CC918" s="11"/>
      <c r="CD918" s="11"/>
      <c r="CE918" s="11"/>
      <c r="CF918" s="11"/>
      <c r="CG918" s="11"/>
      <c r="CH918" s="11"/>
      <c r="CI918" s="11"/>
      <c r="CJ918" s="11"/>
      <c r="CK918" s="11"/>
      <c r="CL918" s="11"/>
      <c r="CM918" s="11"/>
      <c r="CN918" s="11"/>
      <c r="CO918" s="11"/>
      <c r="CP918" s="11"/>
      <c r="CQ918" s="11"/>
      <c r="CR918" s="11"/>
      <c r="CS918" s="11"/>
      <c r="CT918" s="11"/>
      <c r="CU918" s="11"/>
      <c r="CV918" s="11"/>
      <c r="CW918" s="11"/>
      <c r="CX918" s="11"/>
      <c r="CY918" s="11"/>
      <c r="C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  <c r="BZ919" s="11"/>
      <c r="CA919" s="11"/>
      <c r="CB919" s="11"/>
      <c r="CC919" s="11"/>
      <c r="CD919" s="11"/>
      <c r="CE919" s="11"/>
      <c r="CF919" s="11"/>
      <c r="CG919" s="11"/>
      <c r="CH919" s="11"/>
      <c r="CI919" s="11"/>
      <c r="CJ919" s="11"/>
      <c r="CK919" s="11"/>
      <c r="CL919" s="11"/>
      <c r="CM919" s="11"/>
      <c r="CN919" s="11"/>
      <c r="CO919" s="11"/>
      <c r="CP919" s="11"/>
      <c r="CQ919" s="11"/>
      <c r="CR919" s="11"/>
      <c r="CS919" s="11"/>
      <c r="CT919" s="11"/>
      <c r="CU919" s="11"/>
      <c r="CV919" s="11"/>
      <c r="CW919" s="11"/>
      <c r="CX919" s="11"/>
      <c r="CY919" s="11"/>
      <c r="C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  <c r="BZ920" s="11"/>
      <c r="CA920" s="11"/>
      <c r="CB920" s="11"/>
      <c r="CC920" s="11"/>
      <c r="CD920" s="11"/>
      <c r="CE920" s="11"/>
      <c r="CF920" s="11"/>
      <c r="CG920" s="11"/>
      <c r="CH920" s="11"/>
      <c r="CI920" s="11"/>
      <c r="CJ920" s="11"/>
      <c r="CK920" s="11"/>
      <c r="CL920" s="11"/>
      <c r="CM920" s="11"/>
      <c r="CN920" s="11"/>
      <c r="CO920" s="11"/>
      <c r="CP920" s="11"/>
      <c r="CQ920" s="11"/>
      <c r="CR920" s="11"/>
      <c r="CS920" s="11"/>
      <c r="CT920" s="11"/>
      <c r="CU920" s="11"/>
      <c r="CV920" s="11"/>
      <c r="CW920" s="11"/>
      <c r="CX920" s="11"/>
      <c r="CY920" s="11"/>
      <c r="C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  <c r="BZ921" s="11"/>
      <c r="CA921" s="11"/>
      <c r="CB921" s="11"/>
      <c r="CC921" s="11"/>
      <c r="CD921" s="11"/>
      <c r="CE921" s="11"/>
      <c r="CF921" s="11"/>
      <c r="CG921" s="11"/>
      <c r="CH921" s="11"/>
      <c r="CI921" s="11"/>
      <c r="CJ921" s="11"/>
      <c r="CK921" s="11"/>
      <c r="CL921" s="11"/>
      <c r="CM921" s="11"/>
      <c r="CN921" s="11"/>
      <c r="CO921" s="11"/>
      <c r="CP921" s="11"/>
      <c r="CQ921" s="11"/>
      <c r="CR921" s="11"/>
      <c r="CS921" s="11"/>
      <c r="CT921" s="11"/>
      <c r="CU921" s="11"/>
      <c r="CV921" s="11"/>
      <c r="CW921" s="11"/>
      <c r="CX921" s="11"/>
      <c r="CY921" s="11"/>
      <c r="C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  <c r="BZ922" s="11"/>
      <c r="CA922" s="11"/>
      <c r="CB922" s="11"/>
      <c r="CC922" s="11"/>
      <c r="CD922" s="11"/>
      <c r="CE922" s="11"/>
      <c r="CF922" s="11"/>
      <c r="CG922" s="11"/>
      <c r="CH922" s="11"/>
      <c r="CI922" s="11"/>
      <c r="CJ922" s="11"/>
      <c r="CK922" s="11"/>
      <c r="CL922" s="11"/>
      <c r="CM922" s="11"/>
      <c r="CN922" s="11"/>
      <c r="CO922" s="11"/>
      <c r="CP922" s="11"/>
      <c r="CQ922" s="11"/>
      <c r="CR922" s="11"/>
      <c r="CS922" s="11"/>
      <c r="CT922" s="11"/>
      <c r="CU922" s="11"/>
      <c r="CV922" s="11"/>
      <c r="CW922" s="11"/>
      <c r="CX922" s="11"/>
      <c r="CY922" s="11"/>
      <c r="C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  <c r="BZ923" s="11"/>
      <c r="CA923" s="11"/>
      <c r="CB923" s="11"/>
      <c r="CC923" s="11"/>
      <c r="CD923" s="11"/>
      <c r="CE923" s="11"/>
      <c r="CF923" s="11"/>
      <c r="CG923" s="11"/>
      <c r="CH923" s="11"/>
      <c r="CI923" s="11"/>
      <c r="CJ923" s="11"/>
      <c r="CK923" s="11"/>
      <c r="CL923" s="11"/>
      <c r="CM923" s="11"/>
      <c r="CN923" s="11"/>
      <c r="CO923" s="11"/>
      <c r="CP923" s="11"/>
      <c r="CQ923" s="11"/>
      <c r="CR923" s="11"/>
      <c r="CS923" s="11"/>
      <c r="CT923" s="11"/>
      <c r="CU923" s="11"/>
      <c r="CV923" s="11"/>
      <c r="CW923" s="11"/>
      <c r="CX923" s="11"/>
      <c r="CY923" s="11"/>
      <c r="C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  <c r="BZ924" s="11"/>
      <c r="CA924" s="11"/>
      <c r="CB924" s="11"/>
      <c r="CC924" s="11"/>
      <c r="CD924" s="11"/>
      <c r="CE924" s="11"/>
      <c r="CF924" s="11"/>
      <c r="CG924" s="11"/>
      <c r="CH924" s="11"/>
      <c r="CI924" s="11"/>
      <c r="CJ924" s="11"/>
      <c r="CK924" s="11"/>
      <c r="CL924" s="11"/>
      <c r="CM924" s="11"/>
      <c r="CN924" s="11"/>
      <c r="CO924" s="11"/>
      <c r="CP924" s="11"/>
      <c r="CQ924" s="11"/>
      <c r="CR924" s="11"/>
      <c r="CS924" s="11"/>
      <c r="CT924" s="11"/>
      <c r="CU924" s="11"/>
      <c r="CV924" s="11"/>
      <c r="CW924" s="11"/>
      <c r="CX924" s="11"/>
      <c r="CY924" s="11"/>
      <c r="C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  <c r="BZ925" s="11"/>
      <c r="CA925" s="11"/>
      <c r="CB925" s="11"/>
      <c r="CC925" s="11"/>
      <c r="CD925" s="11"/>
      <c r="CE925" s="11"/>
      <c r="CF925" s="11"/>
      <c r="CG925" s="11"/>
      <c r="CH925" s="11"/>
      <c r="CI925" s="11"/>
      <c r="CJ925" s="11"/>
      <c r="CK925" s="11"/>
      <c r="CL925" s="11"/>
      <c r="CM925" s="11"/>
      <c r="CN925" s="11"/>
      <c r="CO925" s="11"/>
      <c r="CP925" s="11"/>
      <c r="CQ925" s="11"/>
      <c r="CR925" s="11"/>
      <c r="CS925" s="11"/>
      <c r="CT925" s="11"/>
      <c r="CU925" s="11"/>
      <c r="CV925" s="11"/>
      <c r="CW925" s="11"/>
      <c r="CX925" s="11"/>
      <c r="CY925" s="11"/>
      <c r="C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  <c r="BZ926" s="11"/>
      <c r="CA926" s="11"/>
      <c r="CB926" s="11"/>
      <c r="CC926" s="11"/>
      <c r="CD926" s="11"/>
      <c r="CE926" s="11"/>
      <c r="CF926" s="11"/>
      <c r="CG926" s="11"/>
      <c r="CH926" s="11"/>
      <c r="CI926" s="11"/>
      <c r="CJ926" s="11"/>
      <c r="CK926" s="11"/>
      <c r="CL926" s="11"/>
      <c r="CM926" s="11"/>
      <c r="CN926" s="11"/>
      <c r="CO926" s="11"/>
      <c r="CP926" s="11"/>
      <c r="CQ926" s="11"/>
      <c r="CR926" s="11"/>
      <c r="CS926" s="11"/>
      <c r="CT926" s="11"/>
      <c r="CU926" s="11"/>
      <c r="CV926" s="11"/>
      <c r="CW926" s="11"/>
      <c r="CX926" s="11"/>
      <c r="CY926" s="11"/>
      <c r="C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  <c r="BZ927" s="11"/>
      <c r="CA927" s="11"/>
      <c r="CB927" s="11"/>
      <c r="CC927" s="11"/>
      <c r="CD927" s="11"/>
      <c r="CE927" s="11"/>
      <c r="CF927" s="11"/>
      <c r="CG927" s="11"/>
      <c r="CH927" s="11"/>
      <c r="CI927" s="11"/>
      <c r="CJ927" s="11"/>
      <c r="CK927" s="11"/>
      <c r="CL927" s="11"/>
      <c r="CM927" s="11"/>
      <c r="CN927" s="11"/>
      <c r="CO927" s="11"/>
      <c r="CP927" s="11"/>
      <c r="CQ927" s="11"/>
      <c r="CR927" s="11"/>
      <c r="CS927" s="11"/>
      <c r="CT927" s="11"/>
      <c r="CU927" s="11"/>
      <c r="CV927" s="11"/>
      <c r="CW927" s="11"/>
      <c r="CX927" s="11"/>
      <c r="CY927" s="11"/>
      <c r="C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  <c r="BZ928" s="11"/>
      <c r="CA928" s="11"/>
      <c r="CB928" s="11"/>
      <c r="CC928" s="11"/>
      <c r="CD928" s="11"/>
      <c r="CE928" s="11"/>
      <c r="CF928" s="11"/>
      <c r="CG928" s="11"/>
      <c r="CH928" s="11"/>
      <c r="CI928" s="11"/>
      <c r="CJ928" s="11"/>
      <c r="CK928" s="11"/>
      <c r="CL928" s="11"/>
      <c r="CM928" s="11"/>
      <c r="CN928" s="11"/>
      <c r="CO928" s="11"/>
      <c r="CP928" s="11"/>
      <c r="CQ928" s="11"/>
      <c r="CR928" s="11"/>
      <c r="CS928" s="11"/>
      <c r="CT928" s="11"/>
      <c r="CU928" s="11"/>
      <c r="CV928" s="11"/>
      <c r="CW928" s="11"/>
      <c r="CX928" s="11"/>
      <c r="CY928" s="11"/>
      <c r="C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  <c r="BZ929" s="11"/>
      <c r="CA929" s="11"/>
      <c r="CB929" s="11"/>
      <c r="CC929" s="11"/>
      <c r="CD929" s="11"/>
      <c r="CE929" s="11"/>
      <c r="CF929" s="11"/>
      <c r="CG929" s="11"/>
      <c r="CH929" s="11"/>
      <c r="CI929" s="11"/>
      <c r="CJ929" s="11"/>
      <c r="CK929" s="11"/>
      <c r="CL929" s="11"/>
      <c r="CM929" s="11"/>
      <c r="CN929" s="11"/>
      <c r="CO929" s="11"/>
      <c r="CP929" s="11"/>
      <c r="CQ929" s="11"/>
      <c r="CR929" s="11"/>
      <c r="CS929" s="11"/>
      <c r="CT929" s="11"/>
      <c r="CU929" s="11"/>
      <c r="CV929" s="11"/>
      <c r="CW929" s="11"/>
      <c r="CX929" s="11"/>
      <c r="CY929" s="11"/>
      <c r="C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  <c r="BZ930" s="11"/>
      <c r="CA930" s="11"/>
      <c r="CB930" s="11"/>
      <c r="CC930" s="11"/>
      <c r="CD930" s="11"/>
      <c r="CE930" s="11"/>
      <c r="CF930" s="11"/>
      <c r="CG930" s="11"/>
      <c r="CH930" s="11"/>
      <c r="CI930" s="11"/>
      <c r="CJ930" s="11"/>
      <c r="CK930" s="11"/>
      <c r="CL930" s="11"/>
      <c r="CM930" s="11"/>
      <c r="CN930" s="11"/>
      <c r="CO930" s="11"/>
      <c r="CP930" s="11"/>
      <c r="CQ930" s="11"/>
      <c r="CR930" s="11"/>
      <c r="CS930" s="11"/>
      <c r="CT930" s="11"/>
      <c r="CU930" s="11"/>
      <c r="CV930" s="11"/>
      <c r="CW930" s="11"/>
      <c r="CX930" s="11"/>
      <c r="CY930" s="11"/>
      <c r="C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  <c r="BZ931" s="11"/>
      <c r="CA931" s="11"/>
      <c r="CB931" s="11"/>
      <c r="CC931" s="11"/>
      <c r="CD931" s="11"/>
      <c r="CE931" s="11"/>
      <c r="CF931" s="11"/>
      <c r="CG931" s="11"/>
      <c r="CH931" s="11"/>
      <c r="CI931" s="11"/>
      <c r="CJ931" s="11"/>
      <c r="CK931" s="11"/>
      <c r="CL931" s="11"/>
      <c r="CM931" s="11"/>
      <c r="CN931" s="11"/>
      <c r="CO931" s="11"/>
      <c r="CP931" s="11"/>
      <c r="CQ931" s="11"/>
      <c r="CR931" s="11"/>
      <c r="CS931" s="11"/>
      <c r="CT931" s="11"/>
      <c r="CU931" s="11"/>
      <c r="CV931" s="11"/>
      <c r="CW931" s="11"/>
      <c r="CX931" s="11"/>
      <c r="CY931" s="11"/>
      <c r="C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  <c r="CA932" s="11"/>
      <c r="CB932" s="11"/>
      <c r="CC932" s="11"/>
      <c r="CD932" s="11"/>
      <c r="CE932" s="11"/>
      <c r="CF932" s="11"/>
      <c r="CG932" s="11"/>
      <c r="CH932" s="11"/>
      <c r="CI932" s="11"/>
      <c r="CJ932" s="11"/>
      <c r="CK932" s="11"/>
      <c r="CL932" s="11"/>
      <c r="CM932" s="11"/>
      <c r="CN932" s="11"/>
      <c r="CO932" s="11"/>
      <c r="CP932" s="11"/>
      <c r="CQ932" s="11"/>
      <c r="CR932" s="11"/>
      <c r="CS932" s="11"/>
      <c r="CT932" s="11"/>
      <c r="CU932" s="11"/>
      <c r="CV932" s="11"/>
      <c r="CW932" s="11"/>
      <c r="CX932" s="11"/>
      <c r="CY932" s="11"/>
      <c r="C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  <c r="BZ933" s="11"/>
      <c r="CA933" s="11"/>
      <c r="CB933" s="11"/>
      <c r="CC933" s="11"/>
      <c r="CD933" s="11"/>
      <c r="CE933" s="11"/>
      <c r="CF933" s="11"/>
      <c r="CG933" s="11"/>
      <c r="CH933" s="11"/>
      <c r="CI933" s="11"/>
      <c r="CJ933" s="11"/>
      <c r="CK933" s="11"/>
      <c r="CL933" s="11"/>
      <c r="CM933" s="11"/>
      <c r="CN933" s="11"/>
      <c r="CO933" s="11"/>
      <c r="CP933" s="11"/>
      <c r="CQ933" s="11"/>
      <c r="CR933" s="11"/>
      <c r="CS933" s="11"/>
      <c r="CT933" s="11"/>
      <c r="CU933" s="11"/>
      <c r="CV933" s="11"/>
      <c r="CW933" s="11"/>
      <c r="CX933" s="11"/>
      <c r="CY933" s="11"/>
      <c r="C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  <c r="BZ934" s="11"/>
      <c r="CA934" s="11"/>
      <c r="CB934" s="11"/>
      <c r="CC934" s="11"/>
      <c r="CD934" s="11"/>
      <c r="CE934" s="11"/>
      <c r="CF934" s="11"/>
      <c r="CG934" s="11"/>
      <c r="CH934" s="11"/>
      <c r="CI934" s="11"/>
      <c r="CJ934" s="11"/>
      <c r="CK934" s="11"/>
      <c r="CL934" s="11"/>
      <c r="CM934" s="11"/>
      <c r="CN934" s="11"/>
      <c r="CO934" s="11"/>
      <c r="CP934" s="11"/>
      <c r="CQ934" s="11"/>
      <c r="CR934" s="11"/>
      <c r="CS934" s="11"/>
      <c r="CT934" s="11"/>
      <c r="CU934" s="11"/>
      <c r="CV934" s="11"/>
      <c r="CW934" s="11"/>
      <c r="CX934" s="11"/>
      <c r="CY934" s="11"/>
      <c r="C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  <c r="BZ935" s="11"/>
      <c r="CA935" s="11"/>
      <c r="CB935" s="11"/>
      <c r="CC935" s="11"/>
      <c r="CD935" s="11"/>
      <c r="CE935" s="11"/>
      <c r="CF935" s="11"/>
      <c r="CG935" s="11"/>
      <c r="CH935" s="11"/>
      <c r="CI935" s="11"/>
      <c r="CJ935" s="11"/>
      <c r="CK935" s="11"/>
      <c r="CL935" s="11"/>
      <c r="CM935" s="11"/>
      <c r="CN935" s="11"/>
      <c r="CO935" s="11"/>
      <c r="CP935" s="11"/>
      <c r="CQ935" s="11"/>
      <c r="CR935" s="11"/>
      <c r="CS935" s="11"/>
      <c r="CT935" s="11"/>
      <c r="CU935" s="11"/>
      <c r="CV935" s="11"/>
      <c r="CW935" s="11"/>
      <c r="CX935" s="11"/>
      <c r="CY935" s="11"/>
      <c r="C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  <c r="BZ936" s="11"/>
      <c r="CA936" s="11"/>
      <c r="CB936" s="11"/>
      <c r="CC936" s="11"/>
      <c r="CD936" s="11"/>
      <c r="CE936" s="11"/>
      <c r="CF936" s="11"/>
      <c r="CG936" s="11"/>
      <c r="CH936" s="11"/>
      <c r="CI936" s="11"/>
      <c r="CJ936" s="11"/>
      <c r="CK936" s="11"/>
      <c r="CL936" s="11"/>
      <c r="CM936" s="11"/>
      <c r="CN936" s="11"/>
      <c r="CO936" s="11"/>
      <c r="CP936" s="11"/>
      <c r="CQ936" s="11"/>
      <c r="CR936" s="11"/>
      <c r="CS936" s="11"/>
      <c r="CT936" s="11"/>
      <c r="CU936" s="11"/>
      <c r="CV936" s="11"/>
      <c r="CW936" s="11"/>
      <c r="CX936" s="11"/>
      <c r="CY936" s="11"/>
      <c r="C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  <c r="BZ938" s="11"/>
      <c r="CA938" s="11"/>
      <c r="CB938" s="11"/>
      <c r="CC938" s="11"/>
      <c r="CD938" s="11"/>
      <c r="CE938" s="11"/>
      <c r="CF938" s="11"/>
      <c r="CG938" s="11"/>
      <c r="CH938" s="11"/>
      <c r="CI938" s="11"/>
      <c r="CJ938" s="11"/>
      <c r="CK938" s="11"/>
      <c r="CL938" s="11"/>
      <c r="CM938" s="11"/>
      <c r="CN938" s="11"/>
      <c r="CO938" s="11"/>
      <c r="CP938" s="11"/>
      <c r="CQ938" s="11"/>
      <c r="CR938" s="11"/>
      <c r="CS938" s="11"/>
      <c r="CT938" s="11"/>
      <c r="CU938" s="11"/>
      <c r="CV938" s="11"/>
      <c r="CW938" s="11"/>
      <c r="CX938" s="11"/>
      <c r="CY938" s="11"/>
      <c r="C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  <c r="BZ939" s="11"/>
      <c r="CA939" s="11"/>
      <c r="CB939" s="11"/>
      <c r="CC939" s="11"/>
      <c r="CD939" s="11"/>
      <c r="CE939" s="11"/>
      <c r="CF939" s="11"/>
      <c r="CG939" s="11"/>
      <c r="CH939" s="11"/>
      <c r="CI939" s="11"/>
      <c r="CJ939" s="11"/>
      <c r="CK939" s="11"/>
      <c r="CL939" s="11"/>
      <c r="CM939" s="11"/>
      <c r="CN939" s="11"/>
      <c r="CO939" s="11"/>
      <c r="CP939" s="11"/>
      <c r="CQ939" s="11"/>
      <c r="CR939" s="11"/>
      <c r="CS939" s="11"/>
      <c r="CT939" s="11"/>
      <c r="CU939" s="11"/>
      <c r="CV939" s="11"/>
      <c r="CW939" s="11"/>
      <c r="CX939" s="11"/>
      <c r="CY939" s="11"/>
      <c r="C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  <c r="BZ940" s="11"/>
      <c r="CA940" s="11"/>
      <c r="CB940" s="11"/>
      <c r="CC940" s="11"/>
      <c r="CD940" s="11"/>
      <c r="CE940" s="11"/>
      <c r="CF940" s="11"/>
      <c r="CG940" s="11"/>
      <c r="CH940" s="11"/>
      <c r="CI940" s="11"/>
      <c r="CJ940" s="11"/>
      <c r="CK940" s="11"/>
      <c r="CL940" s="11"/>
      <c r="CM940" s="11"/>
      <c r="CN940" s="11"/>
      <c r="CO940" s="11"/>
      <c r="CP940" s="11"/>
      <c r="CQ940" s="11"/>
      <c r="CR940" s="11"/>
      <c r="CS940" s="11"/>
      <c r="CT940" s="11"/>
      <c r="CU940" s="11"/>
      <c r="CV940" s="11"/>
      <c r="CW940" s="11"/>
      <c r="CX940" s="11"/>
      <c r="CY940" s="11"/>
      <c r="C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  <c r="BZ941" s="11"/>
      <c r="CA941" s="11"/>
      <c r="CB941" s="11"/>
      <c r="CC941" s="11"/>
      <c r="CD941" s="11"/>
      <c r="CE941" s="11"/>
      <c r="CF941" s="11"/>
      <c r="CG941" s="11"/>
      <c r="CH941" s="11"/>
      <c r="CI941" s="11"/>
      <c r="CJ941" s="11"/>
      <c r="CK941" s="11"/>
      <c r="CL941" s="11"/>
      <c r="CM941" s="11"/>
      <c r="CN941" s="11"/>
      <c r="CO941" s="11"/>
      <c r="CP941" s="11"/>
      <c r="CQ941" s="11"/>
      <c r="CR941" s="11"/>
      <c r="CS941" s="11"/>
      <c r="CT941" s="11"/>
      <c r="CU941" s="11"/>
      <c r="CV941" s="11"/>
      <c r="CW941" s="11"/>
      <c r="CX941" s="11"/>
      <c r="CY941" s="11"/>
      <c r="C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  <c r="BZ942" s="11"/>
      <c r="CA942" s="11"/>
      <c r="CB942" s="11"/>
      <c r="CC942" s="11"/>
      <c r="CD942" s="11"/>
      <c r="CE942" s="11"/>
      <c r="CF942" s="11"/>
      <c r="CG942" s="11"/>
      <c r="CH942" s="11"/>
      <c r="CI942" s="11"/>
      <c r="CJ942" s="11"/>
      <c r="CK942" s="11"/>
      <c r="CL942" s="11"/>
      <c r="CM942" s="11"/>
      <c r="CN942" s="11"/>
      <c r="CO942" s="11"/>
      <c r="CP942" s="11"/>
      <c r="CQ942" s="11"/>
      <c r="CR942" s="11"/>
      <c r="CS942" s="11"/>
      <c r="CT942" s="11"/>
      <c r="CU942" s="11"/>
      <c r="CV942" s="11"/>
      <c r="CW942" s="11"/>
      <c r="CX942" s="11"/>
      <c r="CY942" s="11"/>
      <c r="C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  <c r="BZ943" s="11"/>
      <c r="CA943" s="11"/>
      <c r="CB943" s="11"/>
      <c r="CC943" s="11"/>
      <c r="CD943" s="11"/>
      <c r="CE943" s="11"/>
      <c r="CF943" s="11"/>
      <c r="CG943" s="11"/>
      <c r="CH943" s="11"/>
      <c r="CI943" s="11"/>
      <c r="CJ943" s="11"/>
      <c r="CK943" s="11"/>
      <c r="CL943" s="11"/>
      <c r="CM943" s="11"/>
      <c r="CN943" s="11"/>
      <c r="CO943" s="11"/>
      <c r="CP943" s="11"/>
      <c r="CQ943" s="11"/>
      <c r="CR943" s="11"/>
      <c r="CS943" s="11"/>
      <c r="CT943" s="11"/>
      <c r="CU943" s="11"/>
      <c r="CV943" s="11"/>
      <c r="CW943" s="11"/>
      <c r="CX943" s="11"/>
      <c r="CY943" s="11"/>
      <c r="C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  <c r="BZ944" s="11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11"/>
      <c r="CQ944" s="11"/>
      <c r="CR944" s="11"/>
      <c r="CS944" s="11"/>
      <c r="CT944" s="11"/>
      <c r="CU944" s="11"/>
      <c r="CV944" s="11"/>
      <c r="CW944" s="11"/>
      <c r="CX944" s="11"/>
      <c r="CY944" s="11"/>
      <c r="C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  <c r="BZ945" s="11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  <c r="BZ946" s="11"/>
      <c r="CA946" s="11"/>
      <c r="CB946" s="11"/>
      <c r="CC946" s="11"/>
      <c r="CD946" s="11"/>
      <c r="CE946" s="11"/>
      <c r="CF946" s="11"/>
      <c r="CG946" s="11"/>
      <c r="CH946" s="11"/>
      <c r="CI946" s="11"/>
      <c r="CJ946" s="11"/>
      <c r="CK946" s="11"/>
      <c r="CL946" s="11"/>
      <c r="CM946" s="11"/>
      <c r="CN946" s="11"/>
      <c r="CO946" s="11"/>
      <c r="CP946" s="11"/>
      <c r="CQ946" s="11"/>
      <c r="CR946" s="11"/>
      <c r="CS946" s="11"/>
      <c r="CT946" s="11"/>
      <c r="CU946" s="11"/>
      <c r="CV946" s="11"/>
      <c r="CW946" s="11"/>
      <c r="CX946" s="11"/>
      <c r="CY946" s="11"/>
      <c r="C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  <c r="BZ947" s="11"/>
      <c r="CA947" s="11"/>
      <c r="CB947" s="11"/>
      <c r="CC947" s="11"/>
      <c r="CD947" s="11"/>
      <c r="CE947" s="11"/>
      <c r="CF947" s="11"/>
      <c r="CG947" s="11"/>
      <c r="CH947" s="11"/>
      <c r="CI947" s="11"/>
      <c r="CJ947" s="11"/>
      <c r="CK947" s="11"/>
      <c r="CL947" s="11"/>
      <c r="CM947" s="11"/>
      <c r="CN947" s="11"/>
      <c r="CO947" s="11"/>
      <c r="CP947" s="11"/>
      <c r="CQ947" s="11"/>
      <c r="CR947" s="11"/>
      <c r="CS947" s="11"/>
      <c r="CT947" s="11"/>
      <c r="CU947" s="11"/>
      <c r="CV947" s="11"/>
      <c r="CW947" s="11"/>
      <c r="CX947" s="11"/>
      <c r="CY947" s="11"/>
      <c r="C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  <c r="BZ948" s="11"/>
      <c r="CA948" s="11"/>
      <c r="CB948" s="11"/>
      <c r="CC948" s="11"/>
      <c r="CD948" s="11"/>
      <c r="CE948" s="11"/>
      <c r="CF948" s="11"/>
      <c r="CG948" s="11"/>
      <c r="CH948" s="11"/>
      <c r="CI948" s="11"/>
      <c r="CJ948" s="11"/>
      <c r="CK948" s="11"/>
      <c r="CL948" s="11"/>
      <c r="CM948" s="11"/>
      <c r="CN948" s="11"/>
      <c r="CO948" s="11"/>
      <c r="CP948" s="11"/>
      <c r="CQ948" s="11"/>
      <c r="CR948" s="11"/>
      <c r="CS948" s="11"/>
      <c r="CT948" s="11"/>
      <c r="CU948" s="11"/>
      <c r="CV948" s="11"/>
      <c r="CW948" s="11"/>
      <c r="CX948" s="11"/>
      <c r="CY948" s="11"/>
      <c r="C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  <c r="BZ949" s="11"/>
      <c r="CA949" s="11"/>
      <c r="CB949" s="11"/>
      <c r="CC949" s="11"/>
      <c r="CD949" s="11"/>
      <c r="CE949" s="11"/>
      <c r="CF949" s="11"/>
      <c r="CG949" s="11"/>
      <c r="CH949" s="11"/>
      <c r="CI949" s="11"/>
      <c r="CJ949" s="11"/>
      <c r="CK949" s="11"/>
      <c r="CL949" s="11"/>
      <c r="CM949" s="11"/>
      <c r="CN949" s="11"/>
      <c r="CO949" s="11"/>
      <c r="CP949" s="11"/>
      <c r="CQ949" s="11"/>
      <c r="CR949" s="11"/>
      <c r="CS949" s="11"/>
      <c r="CT949" s="11"/>
      <c r="CU949" s="11"/>
      <c r="CV949" s="11"/>
      <c r="CW949" s="11"/>
      <c r="CX949" s="11"/>
      <c r="CY949" s="11"/>
      <c r="C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  <c r="BZ950" s="11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  <c r="CW950" s="11"/>
      <c r="CX950" s="11"/>
      <c r="CY950" s="11"/>
      <c r="C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  <c r="BZ951" s="11"/>
      <c r="CA951" s="11"/>
      <c r="CB951" s="11"/>
      <c r="CC951" s="11"/>
      <c r="CD951" s="11"/>
      <c r="CE951" s="11"/>
      <c r="CF951" s="11"/>
      <c r="CG951" s="11"/>
      <c r="CH951" s="11"/>
      <c r="CI951" s="11"/>
      <c r="CJ951" s="11"/>
      <c r="CK951" s="11"/>
      <c r="CL951" s="11"/>
      <c r="CM951" s="11"/>
      <c r="CN951" s="11"/>
      <c r="CO951" s="11"/>
      <c r="CP951" s="11"/>
      <c r="CQ951" s="11"/>
      <c r="CR951" s="11"/>
      <c r="CS951" s="11"/>
      <c r="CT951" s="11"/>
      <c r="CU951" s="11"/>
      <c r="CV951" s="11"/>
      <c r="CW951" s="11"/>
      <c r="CX951" s="11"/>
      <c r="CY951" s="11"/>
      <c r="C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  <c r="BZ952" s="11"/>
      <c r="CA952" s="11"/>
      <c r="CB952" s="11"/>
      <c r="CC952" s="11"/>
      <c r="CD952" s="11"/>
      <c r="CE952" s="11"/>
      <c r="CF952" s="11"/>
      <c r="CG952" s="11"/>
      <c r="CH952" s="11"/>
      <c r="CI952" s="11"/>
      <c r="CJ952" s="11"/>
      <c r="CK952" s="11"/>
      <c r="CL952" s="11"/>
      <c r="CM952" s="11"/>
      <c r="CN952" s="11"/>
      <c r="CO952" s="11"/>
      <c r="CP952" s="11"/>
      <c r="CQ952" s="11"/>
      <c r="CR952" s="11"/>
      <c r="CS952" s="11"/>
      <c r="CT952" s="11"/>
      <c r="CU952" s="11"/>
      <c r="CV952" s="11"/>
      <c r="CW952" s="11"/>
      <c r="CX952" s="11"/>
      <c r="CY952" s="11"/>
      <c r="C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  <c r="CA953" s="11"/>
      <c r="CB953" s="11"/>
      <c r="CC953" s="11"/>
      <c r="CD953" s="11"/>
      <c r="CE953" s="11"/>
      <c r="CF953" s="11"/>
      <c r="CG953" s="11"/>
      <c r="CH953" s="11"/>
      <c r="CI953" s="11"/>
      <c r="CJ953" s="11"/>
      <c r="CK953" s="11"/>
      <c r="CL953" s="11"/>
      <c r="CM953" s="11"/>
      <c r="CN953" s="11"/>
      <c r="CO953" s="11"/>
      <c r="CP953" s="11"/>
      <c r="CQ953" s="11"/>
      <c r="CR953" s="11"/>
      <c r="CS953" s="11"/>
      <c r="CT953" s="11"/>
      <c r="CU953" s="11"/>
      <c r="CV953" s="11"/>
      <c r="CW953" s="11"/>
      <c r="CX953" s="11"/>
      <c r="CY953" s="11"/>
      <c r="C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11"/>
      <c r="CD954" s="11"/>
      <c r="CE954" s="11"/>
      <c r="CF954" s="11"/>
      <c r="CG954" s="11"/>
      <c r="CH954" s="11"/>
      <c r="CI954" s="11"/>
      <c r="CJ954" s="11"/>
      <c r="CK954" s="11"/>
      <c r="CL954" s="11"/>
      <c r="CM954" s="11"/>
      <c r="CN954" s="11"/>
      <c r="CO954" s="11"/>
      <c r="CP954" s="11"/>
      <c r="CQ954" s="11"/>
      <c r="CR954" s="11"/>
      <c r="CS954" s="11"/>
      <c r="CT954" s="11"/>
      <c r="CU954" s="11"/>
      <c r="CV954" s="11"/>
      <c r="CW954" s="11"/>
      <c r="CX954" s="11"/>
      <c r="CY954" s="11"/>
      <c r="C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  <c r="BZ955" s="11"/>
      <c r="CA955" s="11"/>
      <c r="CB955" s="11"/>
      <c r="CC955" s="11"/>
      <c r="CD955" s="11"/>
      <c r="CE955" s="11"/>
      <c r="CF955" s="11"/>
      <c r="CG955" s="11"/>
      <c r="CH955" s="11"/>
      <c r="CI955" s="11"/>
      <c r="CJ955" s="11"/>
      <c r="CK955" s="11"/>
      <c r="CL955" s="11"/>
      <c r="CM955" s="11"/>
      <c r="CN955" s="11"/>
      <c r="CO955" s="11"/>
      <c r="CP955" s="11"/>
      <c r="CQ955" s="11"/>
      <c r="CR955" s="11"/>
      <c r="CS955" s="11"/>
      <c r="CT955" s="11"/>
      <c r="CU955" s="11"/>
      <c r="CV955" s="11"/>
      <c r="CW955" s="11"/>
      <c r="CX955" s="11"/>
      <c r="CY955" s="11"/>
      <c r="C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  <c r="CA956" s="11"/>
      <c r="CB956" s="11"/>
      <c r="CC956" s="11"/>
      <c r="CD956" s="11"/>
      <c r="CE956" s="11"/>
      <c r="CF956" s="11"/>
      <c r="CG956" s="11"/>
      <c r="CH956" s="11"/>
      <c r="CI956" s="11"/>
      <c r="CJ956" s="11"/>
      <c r="CK956" s="11"/>
      <c r="CL956" s="11"/>
      <c r="CM956" s="11"/>
      <c r="CN956" s="11"/>
      <c r="CO956" s="11"/>
      <c r="CP956" s="11"/>
      <c r="CQ956" s="11"/>
      <c r="CR956" s="11"/>
      <c r="CS956" s="11"/>
      <c r="CT956" s="11"/>
      <c r="CU956" s="11"/>
      <c r="CV956" s="11"/>
      <c r="CW956" s="11"/>
      <c r="CX956" s="11"/>
      <c r="CY956" s="11"/>
      <c r="C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  <c r="BZ957" s="11"/>
      <c r="CA957" s="11"/>
      <c r="CB957" s="11"/>
      <c r="CC957" s="11"/>
      <c r="CD957" s="11"/>
      <c r="CE957" s="11"/>
      <c r="CF957" s="11"/>
      <c r="CG957" s="11"/>
      <c r="CH957" s="11"/>
      <c r="CI957" s="11"/>
      <c r="CJ957" s="11"/>
      <c r="CK957" s="11"/>
      <c r="CL957" s="11"/>
      <c r="CM957" s="11"/>
      <c r="CN957" s="11"/>
      <c r="CO957" s="11"/>
      <c r="CP957" s="11"/>
      <c r="CQ957" s="11"/>
      <c r="CR957" s="11"/>
      <c r="CS957" s="11"/>
      <c r="CT957" s="11"/>
      <c r="CU957" s="11"/>
      <c r="CV957" s="11"/>
      <c r="CW957" s="11"/>
      <c r="CX957" s="11"/>
      <c r="CY957" s="11"/>
      <c r="C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  <c r="CA958" s="11"/>
      <c r="CB958" s="11"/>
      <c r="CC958" s="11"/>
      <c r="CD958" s="11"/>
      <c r="CE958" s="11"/>
      <c r="CF958" s="11"/>
      <c r="CG958" s="11"/>
      <c r="CH958" s="11"/>
      <c r="CI958" s="11"/>
      <c r="CJ958" s="11"/>
      <c r="CK958" s="11"/>
      <c r="CL958" s="11"/>
      <c r="CM958" s="11"/>
      <c r="CN958" s="11"/>
      <c r="CO958" s="11"/>
      <c r="CP958" s="11"/>
      <c r="CQ958" s="11"/>
      <c r="CR958" s="11"/>
      <c r="CS958" s="11"/>
      <c r="CT958" s="11"/>
      <c r="CU958" s="11"/>
      <c r="CV958" s="11"/>
      <c r="CW958" s="11"/>
      <c r="CX958" s="11"/>
      <c r="CY958" s="11"/>
      <c r="C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  <c r="BZ959" s="11"/>
      <c r="CA959" s="11"/>
      <c r="CB959" s="11"/>
      <c r="CC959" s="11"/>
      <c r="CD959" s="11"/>
      <c r="CE959" s="11"/>
      <c r="CF959" s="11"/>
      <c r="CG959" s="11"/>
      <c r="CH959" s="11"/>
      <c r="CI959" s="11"/>
      <c r="CJ959" s="11"/>
      <c r="CK959" s="11"/>
      <c r="CL959" s="11"/>
      <c r="CM959" s="11"/>
      <c r="CN959" s="11"/>
      <c r="CO959" s="11"/>
      <c r="CP959" s="11"/>
      <c r="CQ959" s="11"/>
      <c r="CR959" s="11"/>
      <c r="CS959" s="11"/>
      <c r="CT959" s="11"/>
      <c r="CU959" s="11"/>
      <c r="CV959" s="11"/>
      <c r="CW959" s="11"/>
      <c r="CX959" s="11"/>
      <c r="CY959" s="11"/>
      <c r="C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  <c r="BZ960" s="11"/>
      <c r="CA960" s="11"/>
      <c r="CB960" s="11"/>
      <c r="CC960" s="11"/>
      <c r="CD960" s="11"/>
      <c r="CE960" s="11"/>
      <c r="CF960" s="11"/>
      <c r="CG960" s="11"/>
      <c r="CH960" s="11"/>
      <c r="CI960" s="11"/>
      <c r="CJ960" s="11"/>
      <c r="CK960" s="11"/>
      <c r="CL960" s="11"/>
      <c r="CM960" s="11"/>
      <c r="CN960" s="11"/>
      <c r="CO960" s="11"/>
      <c r="CP960" s="11"/>
      <c r="CQ960" s="11"/>
      <c r="CR960" s="11"/>
      <c r="CS960" s="11"/>
      <c r="CT960" s="11"/>
      <c r="CU960" s="11"/>
      <c r="CV960" s="11"/>
      <c r="CW960" s="11"/>
      <c r="CX960" s="11"/>
      <c r="CY960" s="11"/>
      <c r="C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  <c r="CA961" s="11"/>
      <c r="CB961" s="11"/>
      <c r="CC961" s="11"/>
      <c r="CD961" s="11"/>
      <c r="CE961" s="11"/>
      <c r="CF961" s="11"/>
      <c r="CG961" s="11"/>
      <c r="CH961" s="11"/>
      <c r="CI961" s="11"/>
      <c r="CJ961" s="11"/>
      <c r="CK961" s="11"/>
      <c r="CL961" s="11"/>
      <c r="CM961" s="11"/>
      <c r="CN961" s="11"/>
      <c r="CO961" s="11"/>
      <c r="CP961" s="11"/>
      <c r="CQ961" s="11"/>
      <c r="CR961" s="11"/>
      <c r="CS961" s="11"/>
      <c r="CT961" s="11"/>
      <c r="CU961" s="11"/>
      <c r="CV961" s="11"/>
      <c r="CW961" s="11"/>
      <c r="CX961" s="11"/>
      <c r="CY961" s="11"/>
      <c r="C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  <c r="CA962" s="11"/>
      <c r="CB962" s="11"/>
      <c r="CC962" s="11"/>
      <c r="CD962" s="11"/>
      <c r="CE962" s="11"/>
      <c r="CF962" s="11"/>
      <c r="CG962" s="11"/>
      <c r="CH962" s="11"/>
      <c r="CI962" s="11"/>
      <c r="CJ962" s="11"/>
      <c r="CK962" s="11"/>
      <c r="CL962" s="11"/>
      <c r="CM962" s="11"/>
      <c r="CN962" s="11"/>
      <c r="CO962" s="11"/>
      <c r="CP962" s="11"/>
      <c r="CQ962" s="11"/>
      <c r="CR962" s="11"/>
      <c r="CS962" s="11"/>
      <c r="CT962" s="11"/>
      <c r="CU962" s="11"/>
      <c r="CV962" s="11"/>
      <c r="CW962" s="11"/>
      <c r="CX962" s="11"/>
      <c r="CY962" s="11"/>
      <c r="C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  <c r="BZ963" s="11"/>
      <c r="CA963" s="11"/>
      <c r="CB963" s="11"/>
      <c r="CC963" s="11"/>
      <c r="CD963" s="11"/>
      <c r="CE963" s="11"/>
      <c r="CF963" s="11"/>
      <c r="CG963" s="11"/>
      <c r="CH963" s="11"/>
      <c r="CI963" s="11"/>
      <c r="CJ963" s="11"/>
      <c r="CK963" s="11"/>
      <c r="CL963" s="11"/>
      <c r="CM963" s="11"/>
      <c r="CN963" s="11"/>
      <c r="CO963" s="11"/>
      <c r="CP963" s="11"/>
      <c r="CQ963" s="11"/>
      <c r="CR963" s="11"/>
      <c r="CS963" s="11"/>
      <c r="CT963" s="11"/>
      <c r="CU963" s="11"/>
      <c r="CV963" s="11"/>
      <c r="CW963" s="11"/>
      <c r="CX963" s="11"/>
      <c r="CY963" s="11"/>
      <c r="C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  <c r="BZ964" s="11"/>
      <c r="CA964" s="11"/>
      <c r="CB964" s="11"/>
      <c r="CC964" s="11"/>
      <c r="CD964" s="11"/>
      <c r="CE964" s="11"/>
      <c r="CF964" s="11"/>
      <c r="CG964" s="11"/>
      <c r="CH964" s="11"/>
      <c r="CI964" s="11"/>
      <c r="CJ964" s="11"/>
      <c r="CK964" s="11"/>
      <c r="CL964" s="11"/>
      <c r="CM964" s="11"/>
      <c r="CN964" s="11"/>
      <c r="CO964" s="11"/>
      <c r="CP964" s="11"/>
      <c r="CQ964" s="11"/>
      <c r="CR964" s="11"/>
      <c r="CS964" s="11"/>
      <c r="CT964" s="11"/>
      <c r="CU964" s="11"/>
      <c r="CV964" s="11"/>
      <c r="CW964" s="11"/>
      <c r="CX964" s="11"/>
      <c r="CY964" s="11"/>
      <c r="C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  <c r="CA965" s="11"/>
      <c r="CB965" s="11"/>
      <c r="CC965" s="11"/>
      <c r="CD965" s="11"/>
      <c r="CE965" s="11"/>
      <c r="CF965" s="11"/>
      <c r="CG965" s="11"/>
      <c r="CH965" s="11"/>
      <c r="CI965" s="11"/>
      <c r="CJ965" s="11"/>
      <c r="CK965" s="11"/>
      <c r="CL965" s="11"/>
      <c r="CM965" s="11"/>
      <c r="CN965" s="11"/>
      <c r="CO965" s="11"/>
      <c r="CP965" s="11"/>
      <c r="CQ965" s="11"/>
      <c r="CR965" s="11"/>
      <c r="CS965" s="11"/>
      <c r="CT965" s="11"/>
      <c r="CU965" s="11"/>
      <c r="CV965" s="11"/>
      <c r="CW965" s="11"/>
      <c r="CX965" s="11"/>
      <c r="CY965" s="11"/>
      <c r="C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  <c r="BZ966" s="11"/>
      <c r="CA966" s="11"/>
      <c r="CB966" s="11"/>
      <c r="CC966" s="11"/>
      <c r="CD966" s="11"/>
      <c r="CE966" s="11"/>
      <c r="CF966" s="11"/>
      <c r="CG966" s="11"/>
      <c r="CH966" s="11"/>
      <c r="CI966" s="11"/>
      <c r="CJ966" s="11"/>
      <c r="CK966" s="11"/>
      <c r="CL966" s="11"/>
      <c r="CM966" s="11"/>
      <c r="CN966" s="11"/>
      <c r="CO966" s="11"/>
      <c r="CP966" s="11"/>
      <c r="CQ966" s="11"/>
      <c r="CR966" s="11"/>
      <c r="CS966" s="11"/>
      <c r="CT966" s="11"/>
      <c r="CU966" s="11"/>
      <c r="CV966" s="11"/>
      <c r="CW966" s="11"/>
      <c r="CX966" s="11"/>
      <c r="CY966" s="11"/>
      <c r="C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  <c r="BZ967" s="11"/>
      <c r="CA967" s="11"/>
      <c r="CB967" s="11"/>
      <c r="CC967" s="11"/>
      <c r="CD967" s="11"/>
      <c r="CE967" s="11"/>
      <c r="CF967" s="11"/>
      <c r="CG967" s="11"/>
      <c r="CH967" s="11"/>
      <c r="CI967" s="11"/>
      <c r="CJ967" s="11"/>
      <c r="CK967" s="11"/>
      <c r="CL967" s="11"/>
      <c r="CM967" s="11"/>
      <c r="CN967" s="11"/>
      <c r="CO967" s="11"/>
      <c r="CP967" s="11"/>
      <c r="CQ967" s="11"/>
      <c r="CR967" s="11"/>
      <c r="CS967" s="11"/>
      <c r="CT967" s="11"/>
      <c r="CU967" s="11"/>
      <c r="CV967" s="11"/>
      <c r="CW967" s="11"/>
      <c r="CX967" s="11"/>
      <c r="CY967" s="11"/>
      <c r="C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  <c r="CA968" s="11"/>
      <c r="CB968" s="11"/>
      <c r="CC968" s="11"/>
      <c r="CD968" s="11"/>
      <c r="CE968" s="11"/>
      <c r="CF968" s="11"/>
      <c r="CG968" s="11"/>
      <c r="CH968" s="11"/>
      <c r="CI968" s="11"/>
      <c r="CJ968" s="11"/>
      <c r="CK968" s="11"/>
      <c r="CL968" s="11"/>
      <c r="CM968" s="11"/>
      <c r="CN968" s="11"/>
      <c r="CO968" s="11"/>
      <c r="CP968" s="11"/>
      <c r="CQ968" s="11"/>
      <c r="CR968" s="11"/>
      <c r="CS968" s="11"/>
      <c r="CT968" s="11"/>
      <c r="CU968" s="11"/>
      <c r="CV968" s="11"/>
      <c r="CW968" s="11"/>
      <c r="CX968" s="11"/>
      <c r="CY968" s="11"/>
      <c r="C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  <c r="CA969" s="11"/>
      <c r="CB969" s="11"/>
      <c r="CC969" s="11"/>
      <c r="CD969" s="11"/>
      <c r="CE969" s="11"/>
      <c r="CF969" s="11"/>
      <c r="CG969" s="11"/>
      <c r="CH969" s="11"/>
      <c r="CI969" s="11"/>
      <c r="CJ969" s="11"/>
      <c r="CK969" s="11"/>
      <c r="CL969" s="11"/>
      <c r="CM969" s="11"/>
      <c r="CN969" s="11"/>
      <c r="CO969" s="11"/>
      <c r="CP969" s="11"/>
      <c r="CQ969" s="11"/>
      <c r="CR969" s="11"/>
      <c r="CS969" s="11"/>
      <c r="CT969" s="11"/>
      <c r="CU969" s="11"/>
      <c r="CV969" s="11"/>
      <c r="CW969" s="11"/>
      <c r="CX969" s="11"/>
      <c r="CY969" s="11"/>
      <c r="C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  <c r="BZ970" s="11"/>
      <c r="CA970" s="11"/>
      <c r="CB970" s="11"/>
      <c r="CC970" s="11"/>
      <c r="CD970" s="11"/>
      <c r="CE970" s="11"/>
      <c r="CF970" s="11"/>
      <c r="CG970" s="11"/>
      <c r="CH970" s="11"/>
      <c r="CI970" s="11"/>
      <c r="CJ970" s="11"/>
      <c r="CK970" s="11"/>
      <c r="CL970" s="11"/>
      <c r="CM970" s="11"/>
      <c r="CN970" s="11"/>
      <c r="CO970" s="11"/>
      <c r="CP970" s="11"/>
      <c r="CQ970" s="11"/>
      <c r="CR970" s="11"/>
      <c r="CS970" s="11"/>
      <c r="CT970" s="11"/>
      <c r="CU970" s="11"/>
      <c r="CV970" s="11"/>
      <c r="CW970" s="11"/>
      <c r="CX970" s="11"/>
      <c r="CY970" s="11"/>
      <c r="C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  <c r="BZ971" s="11"/>
      <c r="CA971" s="11"/>
      <c r="CB971" s="11"/>
      <c r="CC971" s="11"/>
      <c r="CD971" s="11"/>
      <c r="CE971" s="11"/>
      <c r="CF971" s="11"/>
      <c r="CG971" s="11"/>
      <c r="CH971" s="11"/>
      <c r="CI971" s="11"/>
      <c r="CJ971" s="11"/>
      <c r="CK971" s="11"/>
      <c r="CL971" s="11"/>
      <c r="CM971" s="11"/>
      <c r="CN971" s="11"/>
      <c r="CO971" s="11"/>
      <c r="CP971" s="11"/>
      <c r="CQ971" s="11"/>
      <c r="CR971" s="11"/>
      <c r="CS971" s="11"/>
      <c r="CT971" s="11"/>
      <c r="CU971" s="11"/>
      <c r="CV971" s="11"/>
      <c r="CW971" s="11"/>
      <c r="CX971" s="11"/>
      <c r="CY971" s="11"/>
      <c r="C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  <c r="BZ972" s="11"/>
      <c r="CA972" s="11"/>
      <c r="CB972" s="11"/>
      <c r="CC972" s="11"/>
      <c r="CD972" s="11"/>
      <c r="CE972" s="11"/>
      <c r="CF972" s="11"/>
      <c r="CG972" s="11"/>
      <c r="CH972" s="11"/>
      <c r="CI972" s="11"/>
      <c r="CJ972" s="11"/>
      <c r="CK972" s="11"/>
      <c r="CL972" s="11"/>
      <c r="CM972" s="11"/>
      <c r="CN972" s="11"/>
      <c r="CO972" s="11"/>
      <c r="CP972" s="11"/>
      <c r="CQ972" s="11"/>
      <c r="CR972" s="11"/>
      <c r="CS972" s="11"/>
      <c r="CT972" s="11"/>
      <c r="CU972" s="11"/>
      <c r="CV972" s="11"/>
      <c r="CW972" s="11"/>
      <c r="CX972" s="11"/>
      <c r="CY972" s="11"/>
      <c r="C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  <c r="BZ973" s="11"/>
      <c r="CA973" s="11"/>
      <c r="CB973" s="11"/>
      <c r="CC973" s="11"/>
      <c r="CD973" s="11"/>
      <c r="CE973" s="11"/>
      <c r="CF973" s="11"/>
      <c r="CG973" s="11"/>
      <c r="CH973" s="11"/>
      <c r="CI973" s="11"/>
      <c r="CJ973" s="11"/>
      <c r="CK973" s="11"/>
      <c r="CL973" s="11"/>
      <c r="CM973" s="11"/>
      <c r="CN973" s="11"/>
      <c r="CO973" s="11"/>
      <c r="CP973" s="11"/>
      <c r="CQ973" s="11"/>
      <c r="CR973" s="11"/>
      <c r="CS973" s="11"/>
      <c r="CT973" s="11"/>
      <c r="CU973" s="11"/>
      <c r="CV973" s="11"/>
      <c r="CW973" s="11"/>
      <c r="CX973" s="11"/>
      <c r="CY973" s="11"/>
      <c r="C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  <c r="BZ974" s="11"/>
      <c r="CA974" s="11"/>
      <c r="CB974" s="11"/>
      <c r="CC974" s="11"/>
      <c r="CD974" s="11"/>
      <c r="CE974" s="11"/>
      <c r="CF974" s="11"/>
      <c r="CG974" s="11"/>
      <c r="CH974" s="11"/>
      <c r="CI974" s="11"/>
      <c r="CJ974" s="11"/>
      <c r="CK974" s="11"/>
      <c r="CL974" s="11"/>
      <c r="CM974" s="11"/>
      <c r="CN974" s="11"/>
      <c r="CO974" s="11"/>
      <c r="CP974" s="11"/>
      <c r="CQ974" s="11"/>
      <c r="CR974" s="11"/>
      <c r="CS974" s="11"/>
      <c r="CT974" s="11"/>
      <c r="CU974" s="11"/>
      <c r="CV974" s="11"/>
      <c r="CW974" s="11"/>
      <c r="CX974" s="11"/>
      <c r="CY974" s="11"/>
      <c r="C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  <c r="BZ976" s="11"/>
      <c r="CA976" s="11"/>
      <c r="CB976" s="11"/>
      <c r="CC976" s="11"/>
      <c r="CD976" s="11"/>
      <c r="CE976" s="11"/>
      <c r="CF976" s="11"/>
      <c r="CG976" s="11"/>
      <c r="CH976" s="11"/>
      <c r="CI976" s="11"/>
      <c r="CJ976" s="11"/>
      <c r="CK976" s="11"/>
      <c r="CL976" s="11"/>
      <c r="CM976" s="11"/>
      <c r="CN976" s="11"/>
      <c r="CO976" s="11"/>
      <c r="CP976" s="11"/>
      <c r="CQ976" s="11"/>
      <c r="CR976" s="11"/>
      <c r="CS976" s="11"/>
      <c r="CT976" s="11"/>
      <c r="CU976" s="11"/>
      <c r="CV976" s="11"/>
      <c r="CW976" s="11"/>
      <c r="CX976" s="11"/>
      <c r="CY976" s="11"/>
      <c r="C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  <c r="BZ977" s="11"/>
      <c r="CA977" s="11"/>
      <c r="CB977" s="11"/>
      <c r="CC977" s="11"/>
      <c r="CD977" s="11"/>
      <c r="CE977" s="11"/>
      <c r="CF977" s="11"/>
      <c r="CG977" s="11"/>
      <c r="CH977" s="11"/>
      <c r="CI977" s="11"/>
      <c r="CJ977" s="11"/>
      <c r="CK977" s="11"/>
      <c r="CL977" s="11"/>
      <c r="CM977" s="11"/>
      <c r="CN977" s="11"/>
      <c r="CO977" s="11"/>
      <c r="CP977" s="11"/>
      <c r="CQ977" s="11"/>
      <c r="CR977" s="11"/>
      <c r="CS977" s="11"/>
      <c r="CT977" s="11"/>
      <c r="CU977" s="11"/>
      <c r="CV977" s="11"/>
      <c r="CW977" s="11"/>
      <c r="CX977" s="11"/>
      <c r="CY977" s="11"/>
      <c r="C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  <c r="BZ978" s="11"/>
      <c r="CA978" s="11"/>
      <c r="CB978" s="11"/>
      <c r="CC978" s="11"/>
      <c r="CD978" s="11"/>
      <c r="CE978" s="11"/>
      <c r="CF978" s="11"/>
      <c r="CG978" s="11"/>
      <c r="CH978" s="11"/>
      <c r="CI978" s="11"/>
      <c r="CJ978" s="11"/>
      <c r="CK978" s="11"/>
      <c r="CL978" s="11"/>
      <c r="CM978" s="11"/>
      <c r="CN978" s="11"/>
      <c r="CO978" s="11"/>
      <c r="CP978" s="11"/>
      <c r="CQ978" s="11"/>
      <c r="CR978" s="11"/>
      <c r="CS978" s="11"/>
      <c r="CT978" s="11"/>
      <c r="CU978" s="11"/>
      <c r="CV978" s="11"/>
      <c r="CW978" s="11"/>
      <c r="CX978" s="11"/>
      <c r="CY978" s="11"/>
      <c r="C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  <c r="BZ979" s="11"/>
      <c r="CA979" s="11"/>
      <c r="CB979" s="11"/>
      <c r="CC979" s="11"/>
      <c r="CD979" s="11"/>
      <c r="CE979" s="11"/>
      <c r="CF979" s="11"/>
      <c r="CG979" s="11"/>
      <c r="CH979" s="11"/>
      <c r="CI979" s="11"/>
      <c r="CJ979" s="11"/>
      <c r="CK979" s="11"/>
      <c r="CL979" s="11"/>
      <c r="CM979" s="11"/>
      <c r="CN979" s="11"/>
      <c r="CO979" s="11"/>
      <c r="CP979" s="11"/>
      <c r="CQ979" s="11"/>
      <c r="CR979" s="11"/>
      <c r="CS979" s="11"/>
      <c r="CT979" s="11"/>
      <c r="CU979" s="11"/>
      <c r="CV979" s="11"/>
      <c r="CW979" s="11"/>
      <c r="CX979" s="11"/>
      <c r="CY979" s="11"/>
      <c r="C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  <c r="BZ980" s="11"/>
      <c r="CA980" s="11"/>
      <c r="CB980" s="11"/>
      <c r="CC980" s="11"/>
      <c r="CD980" s="11"/>
      <c r="CE980" s="11"/>
      <c r="CF980" s="11"/>
      <c r="CG980" s="11"/>
      <c r="CH980" s="11"/>
      <c r="CI980" s="11"/>
      <c r="CJ980" s="11"/>
      <c r="CK980" s="11"/>
      <c r="CL980" s="11"/>
      <c r="CM980" s="11"/>
      <c r="CN980" s="11"/>
      <c r="CO980" s="11"/>
      <c r="CP980" s="11"/>
      <c r="CQ980" s="11"/>
      <c r="CR980" s="11"/>
      <c r="CS980" s="11"/>
      <c r="CT980" s="11"/>
      <c r="CU980" s="11"/>
      <c r="CV980" s="11"/>
      <c r="CW980" s="11"/>
      <c r="CX980" s="11"/>
      <c r="CY980" s="11"/>
      <c r="C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  <c r="BZ981" s="11"/>
      <c r="CA981" s="11"/>
      <c r="CB981" s="11"/>
      <c r="CC981" s="11"/>
      <c r="CD981" s="11"/>
      <c r="CE981" s="11"/>
      <c r="CF981" s="11"/>
      <c r="CG981" s="11"/>
      <c r="CH981" s="11"/>
      <c r="CI981" s="11"/>
      <c r="CJ981" s="11"/>
      <c r="CK981" s="11"/>
      <c r="CL981" s="11"/>
      <c r="CM981" s="11"/>
      <c r="CN981" s="11"/>
      <c r="CO981" s="11"/>
      <c r="CP981" s="11"/>
      <c r="CQ981" s="11"/>
      <c r="CR981" s="11"/>
      <c r="CS981" s="11"/>
      <c r="CT981" s="11"/>
      <c r="CU981" s="11"/>
      <c r="CV981" s="11"/>
      <c r="CW981" s="11"/>
      <c r="CX981" s="11"/>
      <c r="CY981" s="11"/>
      <c r="C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  <c r="BZ982" s="11"/>
      <c r="CA982" s="11"/>
      <c r="CB982" s="11"/>
      <c r="CC982" s="11"/>
      <c r="CD982" s="11"/>
      <c r="CE982" s="11"/>
      <c r="CF982" s="11"/>
      <c r="CG982" s="11"/>
      <c r="CH982" s="11"/>
      <c r="CI982" s="11"/>
      <c r="CJ982" s="11"/>
      <c r="CK982" s="11"/>
      <c r="CL982" s="11"/>
      <c r="CM982" s="11"/>
      <c r="CN982" s="11"/>
      <c r="CO982" s="11"/>
      <c r="CP982" s="11"/>
      <c r="CQ982" s="11"/>
      <c r="CR982" s="11"/>
      <c r="CS982" s="11"/>
      <c r="CT982" s="11"/>
      <c r="CU982" s="11"/>
      <c r="CV982" s="11"/>
      <c r="CW982" s="11"/>
      <c r="CX982" s="11"/>
      <c r="CY982" s="11"/>
      <c r="C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  <c r="BZ983" s="11"/>
      <c r="CA983" s="11"/>
      <c r="CB983" s="11"/>
      <c r="CC983" s="11"/>
      <c r="CD983" s="11"/>
      <c r="CE983" s="11"/>
      <c r="CF983" s="11"/>
      <c r="CG983" s="11"/>
      <c r="CH983" s="11"/>
      <c r="CI983" s="11"/>
      <c r="CJ983" s="11"/>
      <c r="CK983" s="11"/>
      <c r="CL983" s="11"/>
      <c r="CM983" s="11"/>
      <c r="CN983" s="11"/>
      <c r="CO983" s="11"/>
      <c r="CP983" s="11"/>
      <c r="CQ983" s="11"/>
      <c r="CR983" s="11"/>
      <c r="CS983" s="11"/>
      <c r="CT983" s="11"/>
      <c r="CU983" s="11"/>
      <c r="CV983" s="11"/>
      <c r="CW983" s="11"/>
      <c r="CX983" s="11"/>
      <c r="CY983" s="11"/>
      <c r="C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  <c r="CW984" s="11"/>
      <c r="CX984" s="11"/>
      <c r="CY984" s="11"/>
      <c r="C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  <c r="CA986" s="11"/>
      <c r="CB986" s="11"/>
      <c r="CC986" s="11"/>
      <c r="CD986" s="11"/>
      <c r="CE986" s="11"/>
      <c r="CF986" s="11"/>
      <c r="CG986" s="11"/>
      <c r="CH986" s="11"/>
      <c r="CI986" s="11"/>
      <c r="CJ986" s="11"/>
      <c r="CK986" s="11"/>
      <c r="CL986" s="11"/>
      <c r="CM986" s="11"/>
      <c r="CN986" s="11"/>
      <c r="CO986" s="11"/>
      <c r="CP986" s="11"/>
      <c r="CQ986" s="11"/>
      <c r="CR986" s="11"/>
      <c r="CS986" s="11"/>
      <c r="CT986" s="11"/>
      <c r="CU986" s="11"/>
      <c r="CV986" s="11"/>
      <c r="CW986" s="11"/>
      <c r="CX986" s="11"/>
      <c r="CY986" s="11"/>
      <c r="C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  <c r="BZ987" s="11"/>
      <c r="CA987" s="11"/>
      <c r="CB987" s="11"/>
      <c r="CC987" s="11"/>
      <c r="CD987" s="11"/>
      <c r="CE987" s="11"/>
      <c r="CF987" s="11"/>
      <c r="CG987" s="11"/>
      <c r="CH987" s="11"/>
      <c r="CI987" s="11"/>
      <c r="CJ987" s="11"/>
      <c r="CK987" s="11"/>
      <c r="CL987" s="11"/>
      <c r="CM987" s="11"/>
      <c r="CN987" s="11"/>
      <c r="CO987" s="11"/>
      <c r="CP987" s="11"/>
      <c r="CQ987" s="11"/>
      <c r="CR987" s="11"/>
      <c r="CS987" s="11"/>
      <c r="CT987" s="11"/>
      <c r="CU987" s="11"/>
      <c r="CV987" s="11"/>
      <c r="CW987" s="11"/>
      <c r="CX987" s="11"/>
      <c r="CY987" s="11"/>
      <c r="C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  <c r="BZ988" s="11"/>
      <c r="CA988" s="11"/>
      <c r="CB988" s="11"/>
      <c r="CC988" s="11"/>
      <c r="CD988" s="11"/>
      <c r="CE988" s="11"/>
      <c r="CF988" s="11"/>
      <c r="CG988" s="11"/>
      <c r="CH988" s="11"/>
      <c r="CI988" s="11"/>
      <c r="CJ988" s="11"/>
      <c r="CK988" s="11"/>
      <c r="CL988" s="11"/>
      <c r="CM988" s="11"/>
      <c r="CN988" s="11"/>
      <c r="CO988" s="11"/>
      <c r="CP988" s="11"/>
      <c r="CQ988" s="11"/>
      <c r="CR988" s="11"/>
      <c r="CS988" s="11"/>
      <c r="CT988" s="11"/>
      <c r="CU988" s="11"/>
      <c r="CV988" s="11"/>
      <c r="CW988" s="11"/>
      <c r="CX988" s="11"/>
      <c r="CY988" s="11"/>
      <c r="C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  <c r="BZ989" s="11"/>
      <c r="CA989" s="11"/>
      <c r="CB989" s="11"/>
      <c r="CC989" s="11"/>
      <c r="CD989" s="11"/>
      <c r="CE989" s="11"/>
      <c r="CF989" s="11"/>
      <c r="CG989" s="11"/>
      <c r="CH989" s="11"/>
      <c r="CI989" s="11"/>
      <c r="CJ989" s="11"/>
      <c r="CK989" s="11"/>
      <c r="CL989" s="11"/>
      <c r="CM989" s="11"/>
      <c r="CN989" s="11"/>
      <c r="CO989" s="11"/>
      <c r="CP989" s="11"/>
      <c r="CQ989" s="11"/>
      <c r="CR989" s="11"/>
      <c r="CS989" s="11"/>
      <c r="CT989" s="11"/>
      <c r="CU989" s="11"/>
      <c r="CV989" s="11"/>
      <c r="CW989" s="11"/>
      <c r="CX989" s="11"/>
      <c r="CY989" s="11"/>
      <c r="C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  <c r="BZ990" s="11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/>
      <c r="CW990" s="11"/>
      <c r="CX990" s="11"/>
      <c r="CY990" s="11"/>
      <c r="C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  <c r="BZ991" s="11"/>
      <c r="CA991" s="11"/>
      <c r="CB991" s="11"/>
      <c r="CC991" s="11"/>
      <c r="CD991" s="11"/>
      <c r="CE991" s="11"/>
      <c r="CF991" s="11"/>
      <c r="CG991" s="11"/>
      <c r="CH991" s="11"/>
      <c r="CI991" s="11"/>
      <c r="CJ991" s="11"/>
      <c r="CK991" s="11"/>
      <c r="CL991" s="11"/>
      <c r="CM991" s="11"/>
      <c r="CN991" s="11"/>
      <c r="CO991" s="11"/>
      <c r="CP991" s="11"/>
      <c r="CQ991" s="11"/>
      <c r="CR991" s="11"/>
      <c r="CS991" s="11"/>
      <c r="CT991" s="11"/>
      <c r="CU991" s="11"/>
      <c r="CV991" s="11"/>
      <c r="CW991" s="11"/>
      <c r="CX991" s="11"/>
      <c r="CY991" s="11"/>
      <c r="C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  <c r="BZ992" s="11"/>
      <c r="CA992" s="11"/>
      <c r="CB992" s="11"/>
      <c r="CC992" s="11"/>
      <c r="CD992" s="11"/>
      <c r="CE992" s="11"/>
      <c r="CF992" s="11"/>
      <c r="CG992" s="11"/>
      <c r="CH992" s="11"/>
      <c r="CI992" s="11"/>
      <c r="CJ992" s="11"/>
      <c r="CK992" s="11"/>
      <c r="CL992" s="11"/>
      <c r="CM992" s="11"/>
      <c r="CN992" s="11"/>
      <c r="CO992" s="11"/>
      <c r="CP992" s="11"/>
      <c r="CQ992" s="11"/>
      <c r="CR992" s="11"/>
      <c r="CS992" s="11"/>
      <c r="CT992" s="11"/>
      <c r="CU992" s="11"/>
      <c r="CV992" s="11"/>
      <c r="CW992" s="11"/>
      <c r="CX992" s="11"/>
      <c r="CY992" s="11"/>
      <c r="C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  <c r="BZ993" s="11"/>
      <c r="CA993" s="11"/>
      <c r="CB993" s="11"/>
      <c r="CC993" s="11"/>
      <c r="CD993" s="11"/>
      <c r="CE993" s="11"/>
      <c r="CF993" s="11"/>
      <c r="CG993" s="11"/>
      <c r="CH993" s="11"/>
      <c r="CI993" s="11"/>
      <c r="CJ993" s="11"/>
      <c r="CK993" s="11"/>
      <c r="CL993" s="11"/>
      <c r="CM993" s="11"/>
      <c r="CN993" s="11"/>
      <c r="CO993" s="11"/>
      <c r="CP993" s="11"/>
      <c r="CQ993" s="11"/>
      <c r="CR993" s="11"/>
      <c r="CS993" s="11"/>
      <c r="CT993" s="11"/>
      <c r="CU993" s="11"/>
      <c r="CV993" s="11"/>
      <c r="CW993" s="11"/>
      <c r="CX993" s="11"/>
      <c r="CY993" s="11"/>
      <c r="C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  <c r="BZ994" s="11"/>
      <c r="CA994" s="11"/>
      <c r="CB994" s="11"/>
      <c r="CC994" s="11"/>
      <c r="CD994" s="11"/>
      <c r="CE994" s="11"/>
      <c r="CF994" s="11"/>
      <c r="CG994" s="11"/>
      <c r="CH994" s="11"/>
      <c r="CI994" s="11"/>
      <c r="CJ994" s="11"/>
      <c r="CK994" s="11"/>
      <c r="CL994" s="11"/>
      <c r="CM994" s="11"/>
      <c r="CN994" s="11"/>
      <c r="CO994" s="11"/>
      <c r="CP994" s="11"/>
      <c r="CQ994" s="11"/>
      <c r="CR994" s="11"/>
      <c r="CS994" s="11"/>
      <c r="CT994" s="11"/>
      <c r="CU994" s="11"/>
      <c r="CV994" s="11"/>
      <c r="CW994" s="11"/>
      <c r="CX994" s="11"/>
      <c r="CY994" s="11"/>
      <c r="C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  <c r="BZ995" s="11"/>
      <c r="CA995" s="11"/>
      <c r="CB995" s="11"/>
      <c r="CC995" s="11"/>
      <c r="CD995" s="11"/>
      <c r="CE995" s="11"/>
      <c r="CF995" s="11"/>
      <c r="CG995" s="11"/>
      <c r="CH995" s="11"/>
      <c r="CI995" s="11"/>
      <c r="CJ995" s="11"/>
      <c r="CK995" s="11"/>
      <c r="CL995" s="11"/>
      <c r="CM995" s="11"/>
      <c r="CN995" s="11"/>
      <c r="CO995" s="11"/>
      <c r="CP995" s="11"/>
      <c r="CQ995" s="11"/>
      <c r="CR995" s="11"/>
      <c r="CS995" s="11"/>
      <c r="CT995" s="11"/>
      <c r="CU995" s="11"/>
      <c r="CV995" s="11"/>
      <c r="CW995" s="11"/>
      <c r="CX995" s="11"/>
      <c r="CY995" s="11"/>
      <c r="C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  <c r="BZ996" s="11"/>
      <c r="CA996" s="11"/>
      <c r="CB996" s="11"/>
      <c r="CC996" s="11"/>
      <c r="CD996" s="11"/>
      <c r="CE996" s="11"/>
      <c r="CF996" s="11"/>
      <c r="CG996" s="11"/>
      <c r="CH996" s="11"/>
      <c r="CI996" s="11"/>
      <c r="CJ996" s="11"/>
      <c r="CK996" s="11"/>
      <c r="CL996" s="11"/>
      <c r="CM996" s="11"/>
      <c r="CN996" s="11"/>
      <c r="CO996" s="11"/>
      <c r="CP996" s="11"/>
      <c r="CQ996" s="11"/>
      <c r="CR996" s="11"/>
      <c r="CS996" s="11"/>
      <c r="CT996" s="11"/>
      <c r="CU996" s="11"/>
      <c r="CV996" s="11"/>
      <c r="CW996" s="11"/>
      <c r="CX996" s="11"/>
      <c r="CY996" s="11"/>
      <c r="C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  <c r="BZ997" s="11"/>
      <c r="CA997" s="11"/>
      <c r="CB997" s="11"/>
      <c r="CC997" s="11"/>
      <c r="CD997" s="11"/>
      <c r="CE997" s="11"/>
      <c r="CF997" s="11"/>
      <c r="CG997" s="11"/>
      <c r="CH997" s="11"/>
      <c r="CI997" s="11"/>
      <c r="CJ997" s="11"/>
      <c r="CK997" s="11"/>
      <c r="CL997" s="11"/>
      <c r="CM997" s="11"/>
      <c r="CN997" s="11"/>
      <c r="CO997" s="11"/>
      <c r="CP997" s="11"/>
      <c r="CQ997" s="11"/>
      <c r="CR997" s="11"/>
      <c r="CS997" s="11"/>
      <c r="CT997" s="11"/>
      <c r="CU997" s="11"/>
      <c r="CV997" s="11"/>
      <c r="CW997" s="11"/>
      <c r="CX997" s="11"/>
      <c r="CY997" s="11"/>
      <c r="C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  <c r="BZ998" s="11"/>
      <c r="CA998" s="11"/>
      <c r="CB998" s="11"/>
      <c r="CC998" s="11"/>
      <c r="CD998" s="11"/>
      <c r="CE998" s="11"/>
      <c r="CF998" s="11"/>
      <c r="CG998" s="11"/>
      <c r="CH998" s="11"/>
      <c r="CI998" s="11"/>
      <c r="CJ998" s="11"/>
      <c r="CK998" s="11"/>
      <c r="CL998" s="11"/>
      <c r="CM998" s="11"/>
      <c r="CN998" s="11"/>
      <c r="CO998" s="11"/>
      <c r="CP998" s="11"/>
      <c r="CQ998" s="11"/>
      <c r="CR998" s="11"/>
      <c r="CS998" s="11"/>
      <c r="CT998" s="11"/>
      <c r="CU998" s="11"/>
      <c r="CV998" s="11"/>
      <c r="CW998" s="11"/>
      <c r="CX998" s="11"/>
      <c r="CY998" s="11"/>
      <c r="C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  <c r="BZ999" s="11"/>
      <c r="CA999" s="11"/>
      <c r="CB999" s="11"/>
      <c r="CC999" s="11"/>
      <c r="CD999" s="11"/>
      <c r="CE999" s="11"/>
      <c r="CF999" s="11"/>
      <c r="CG999" s="11"/>
      <c r="CH999" s="11"/>
      <c r="CI999" s="11"/>
      <c r="CJ999" s="11"/>
      <c r="CK999" s="11"/>
      <c r="CL999" s="11"/>
      <c r="CM999" s="11"/>
      <c r="CN999" s="11"/>
      <c r="CO999" s="11"/>
      <c r="CP999" s="11"/>
      <c r="CQ999" s="11"/>
      <c r="CR999" s="11"/>
      <c r="CS999" s="11"/>
      <c r="CT999" s="11"/>
      <c r="CU999" s="11"/>
      <c r="CV999" s="11"/>
      <c r="CW999" s="11"/>
      <c r="CX999" s="11"/>
      <c r="CY999" s="11"/>
      <c r="C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  <c r="BZ1000" s="11"/>
      <c r="CA1000" s="11"/>
      <c r="CB1000" s="11"/>
      <c r="CC1000" s="11"/>
      <c r="CD1000" s="11"/>
      <c r="CE1000" s="11"/>
      <c r="CF1000" s="11"/>
      <c r="CG1000" s="11"/>
      <c r="CH1000" s="11"/>
      <c r="CI1000" s="11"/>
      <c r="CJ1000" s="11"/>
      <c r="CK1000" s="11"/>
      <c r="CL1000" s="11"/>
      <c r="CM1000" s="11"/>
      <c r="CN1000" s="11"/>
      <c r="CO1000" s="11"/>
      <c r="CP1000" s="11"/>
      <c r="CQ1000" s="11"/>
      <c r="CR1000" s="11"/>
      <c r="CS1000" s="11"/>
      <c r="CT1000" s="11"/>
      <c r="CU1000" s="11"/>
      <c r="CV1000" s="11"/>
      <c r="CW1000" s="11"/>
      <c r="CX1000" s="11"/>
      <c r="CY1000" s="11"/>
      <c r="CZ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  <c r="BN1001" s="11"/>
      <c r="BO1001" s="11"/>
      <c r="BP1001" s="11"/>
      <c r="BQ1001" s="11"/>
      <c r="BR1001" s="11"/>
      <c r="BS1001" s="11"/>
      <c r="BT1001" s="11"/>
      <c r="BU1001" s="11"/>
      <c r="BV1001" s="11"/>
      <c r="BW1001" s="11"/>
      <c r="BX1001" s="11"/>
      <c r="BY1001" s="11"/>
      <c r="BZ1001" s="11"/>
      <c r="CA1001" s="11"/>
      <c r="CB1001" s="11"/>
      <c r="CC1001" s="11"/>
      <c r="CD1001" s="11"/>
      <c r="CE1001" s="11"/>
      <c r="CF1001" s="11"/>
      <c r="CG1001" s="11"/>
      <c r="CH1001" s="11"/>
      <c r="CI1001" s="11"/>
      <c r="CJ1001" s="11"/>
      <c r="CK1001" s="11"/>
      <c r="CL1001" s="11"/>
      <c r="CM1001" s="11"/>
      <c r="CN1001" s="11"/>
      <c r="CO1001" s="11"/>
      <c r="CP1001" s="11"/>
      <c r="CQ1001" s="11"/>
      <c r="CR1001" s="11"/>
      <c r="CS1001" s="11"/>
      <c r="CT1001" s="11"/>
      <c r="CU1001" s="11"/>
      <c r="CV1001" s="11"/>
      <c r="CW1001" s="11"/>
      <c r="CX1001" s="11"/>
      <c r="CY1001" s="11"/>
      <c r="CZ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11"/>
      <c r="BK1002" s="11"/>
      <c r="BL1002" s="11"/>
      <c r="BM1002" s="11"/>
      <c r="BN1002" s="11"/>
      <c r="BO1002" s="11"/>
      <c r="BP1002" s="11"/>
      <c r="BQ1002" s="11"/>
      <c r="BR1002" s="11"/>
      <c r="BS1002" s="11"/>
      <c r="BT1002" s="11"/>
      <c r="BU1002" s="11"/>
      <c r="BV1002" s="11"/>
      <c r="BW1002" s="11"/>
      <c r="BX1002" s="11"/>
      <c r="BY1002" s="11"/>
      <c r="BZ1002" s="11"/>
      <c r="CA1002" s="11"/>
      <c r="CB1002" s="11"/>
      <c r="CC1002" s="11"/>
      <c r="CD1002" s="11"/>
      <c r="CE1002" s="11"/>
      <c r="CF1002" s="11"/>
      <c r="CG1002" s="11"/>
      <c r="CH1002" s="11"/>
      <c r="CI1002" s="11"/>
      <c r="CJ1002" s="11"/>
      <c r="CK1002" s="11"/>
      <c r="CL1002" s="11"/>
      <c r="CM1002" s="11"/>
      <c r="CN1002" s="11"/>
      <c r="CO1002" s="11"/>
      <c r="CP1002" s="11"/>
      <c r="CQ1002" s="11"/>
      <c r="CR1002" s="11"/>
      <c r="CS1002" s="11"/>
      <c r="CT1002" s="11"/>
      <c r="CU1002" s="11"/>
      <c r="CV1002" s="11"/>
      <c r="CW1002" s="11"/>
      <c r="CX1002" s="11"/>
      <c r="CY1002" s="11"/>
      <c r="CZ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1"/>
      <c r="BK1003" s="11"/>
      <c r="BL1003" s="11"/>
      <c r="BM1003" s="11"/>
      <c r="BN1003" s="11"/>
      <c r="BO1003" s="11"/>
      <c r="BP1003" s="11"/>
      <c r="BQ1003" s="11"/>
      <c r="BR1003" s="11"/>
      <c r="BS1003" s="11"/>
      <c r="BT1003" s="11"/>
      <c r="BU1003" s="11"/>
      <c r="BV1003" s="11"/>
      <c r="BW1003" s="11"/>
      <c r="BX1003" s="11"/>
      <c r="BY1003" s="11"/>
      <c r="BZ1003" s="11"/>
      <c r="CA1003" s="11"/>
      <c r="CB1003" s="11"/>
      <c r="CC1003" s="11"/>
      <c r="CD1003" s="11"/>
      <c r="CE1003" s="11"/>
      <c r="CF1003" s="11"/>
      <c r="CG1003" s="11"/>
      <c r="CH1003" s="11"/>
      <c r="CI1003" s="11"/>
      <c r="CJ1003" s="11"/>
      <c r="CK1003" s="11"/>
      <c r="CL1003" s="11"/>
      <c r="CM1003" s="11"/>
      <c r="CN1003" s="11"/>
      <c r="CO1003" s="11"/>
      <c r="CP1003" s="11"/>
      <c r="CQ1003" s="11"/>
      <c r="CR1003" s="11"/>
      <c r="CS1003" s="11"/>
      <c r="CT1003" s="11"/>
      <c r="CU1003" s="11"/>
      <c r="CV1003" s="11"/>
      <c r="CW1003" s="11"/>
      <c r="CX1003" s="11"/>
      <c r="CY1003" s="11"/>
      <c r="CZ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11"/>
      <c r="BK1004" s="11"/>
      <c r="BL1004" s="11"/>
      <c r="BM1004" s="11"/>
      <c r="BN1004" s="11"/>
      <c r="BO1004" s="11"/>
      <c r="BP1004" s="11"/>
      <c r="BQ1004" s="11"/>
      <c r="BR1004" s="11"/>
      <c r="BS1004" s="11"/>
      <c r="BT1004" s="11"/>
      <c r="BU1004" s="11"/>
      <c r="BV1004" s="11"/>
      <c r="BW1004" s="11"/>
      <c r="BX1004" s="11"/>
      <c r="BY1004" s="11"/>
      <c r="BZ1004" s="11"/>
      <c r="CA1004" s="11"/>
      <c r="CB1004" s="11"/>
      <c r="CC1004" s="11"/>
      <c r="CD1004" s="11"/>
      <c r="CE1004" s="11"/>
      <c r="CF1004" s="11"/>
      <c r="CG1004" s="11"/>
      <c r="CH1004" s="11"/>
      <c r="CI1004" s="11"/>
      <c r="CJ1004" s="11"/>
      <c r="CK1004" s="11"/>
      <c r="CL1004" s="11"/>
      <c r="CM1004" s="11"/>
      <c r="CN1004" s="11"/>
      <c r="CO1004" s="11"/>
      <c r="CP1004" s="11"/>
      <c r="CQ1004" s="11"/>
      <c r="CR1004" s="11"/>
      <c r="CS1004" s="11"/>
      <c r="CT1004" s="11"/>
      <c r="CU1004" s="11"/>
      <c r="CV1004" s="11"/>
      <c r="CW1004" s="11"/>
      <c r="CX1004" s="11"/>
      <c r="CY1004" s="11"/>
      <c r="CZ1004" s="11"/>
    </row>
    <row r="1005" ht="15.7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  <c r="BJ1005" s="11"/>
      <c r="BK1005" s="11"/>
      <c r="BL1005" s="11"/>
      <c r="BM1005" s="11"/>
      <c r="BN1005" s="11"/>
      <c r="BO1005" s="11"/>
      <c r="BP1005" s="11"/>
      <c r="BQ1005" s="11"/>
      <c r="BR1005" s="11"/>
      <c r="BS1005" s="11"/>
      <c r="BT1005" s="11"/>
      <c r="BU1005" s="11"/>
      <c r="BV1005" s="11"/>
      <c r="BW1005" s="11"/>
      <c r="BX1005" s="11"/>
      <c r="BY1005" s="11"/>
      <c r="BZ1005" s="11"/>
      <c r="CA1005" s="11"/>
      <c r="CB1005" s="11"/>
      <c r="CC1005" s="11"/>
      <c r="CD1005" s="11"/>
      <c r="CE1005" s="11"/>
      <c r="CF1005" s="11"/>
      <c r="CG1005" s="11"/>
      <c r="CH1005" s="11"/>
      <c r="CI1005" s="11"/>
      <c r="CJ1005" s="11"/>
      <c r="CK1005" s="11"/>
      <c r="CL1005" s="11"/>
      <c r="CM1005" s="11"/>
      <c r="CN1005" s="11"/>
      <c r="CO1005" s="11"/>
      <c r="CP1005" s="11"/>
      <c r="CQ1005" s="11"/>
      <c r="CR1005" s="11"/>
      <c r="CS1005" s="11"/>
      <c r="CT1005" s="11"/>
      <c r="CU1005" s="11"/>
      <c r="CV1005" s="11"/>
      <c r="CW1005" s="11"/>
      <c r="CX1005" s="11"/>
      <c r="CY1005" s="11"/>
      <c r="CZ1005" s="11"/>
    </row>
    <row r="1006" ht="15.7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  <c r="BJ1006" s="11"/>
      <c r="BK1006" s="11"/>
      <c r="BL1006" s="11"/>
      <c r="BM1006" s="11"/>
      <c r="BN1006" s="11"/>
      <c r="BO1006" s="11"/>
      <c r="BP1006" s="11"/>
      <c r="BQ1006" s="11"/>
      <c r="BR1006" s="11"/>
      <c r="BS1006" s="11"/>
      <c r="BT1006" s="11"/>
      <c r="BU1006" s="11"/>
      <c r="BV1006" s="11"/>
      <c r="BW1006" s="11"/>
      <c r="BX1006" s="11"/>
      <c r="BY1006" s="11"/>
      <c r="BZ1006" s="11"/>
      <c r="CA1006" s="11"/>
      <c r="CB1006" s="11"/>
      <c r="CC1006" s="11"/>
      <c r="CD1006" s="11"/>
      <c r="CE1006" s="11"/>
      <c r="CF1006" s="11"/>
      <c r="CG1006" s="11"/>
      <c r="CH1006" s="11"/>
      <c r="CI1006" s="11"/>
      <c r="CJ1006" s="11"/>
      <c r="CK1006" s="11"/>
      <c r="CL1006" s="11"/>
      <c r="CM1006" s="11"/>
      <c r="CN1006" s="11"/>
      <c r="CO1006" s="11"/>
      <c r="CP1006" s="11"/>
      <c r="CQ1006" s="11"/>
      <c r="CR1006" s="11"/>
      <c r="CS1006" s="11"/>
      <c r="CT1006" s="11"/>
      <c r="CU1006" s="11"/>
      <c r="CV1006" s="11"/>
      <c r="CW1006" s="11"/>
      <c r="CX1006" s="11"/>
      <c r="CY1006" s="11"/>
      <c r="CZ1006" s="11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9" width="8.71"/>
  </cols>
  <sheetData>
    <row r="1">
      <c r="A1" s="7" t="s">
        <v>171</v>
      </c>
      <c r="B1" s="29">
        <v>43830.0</v>
      </c>
      <c r="C1" s="29">
        <v>44196.0</v>
      </c>
      <c r="D1" s="29">
        <v>44561.0</v>
      </c>
      <c r="E1" s="29">
        <v>44926.0</v>
      </c>
      <c r="F1" s="29">
        <v>45291.0</v>
      </c>
      <c r="G1" s="29">
        <v>45565.0</v>
      </c>
      <c r="I1" s="7" t="s">
        <v>172</v>
      </c>
      <c r="J1" s="29">
        <v>43830.0</v>
      </c>
      <c r="K1" s="29">
        <v>44196.0</v>
      </c>
      <c r="L1" s="29">
        <v>44561.0</v>
      </c>
      <c r="M1" s="29">
        <v>44926.0</v>
      </c>
      <c r="N1" s="29">
        <v>45291.0</v>
      </c>
      <c r="O1" s="29">
        <v>45565.0</v>
      </c>
      <c r="Q1" s="7" t="s">
        <v>173</v>
      </c>
      <c r="R1" s="29">
        <v>43830.0</v>
      </c>
      <c r="S1" s="29">
        <v>44196.0</v>
      </c>
      <c r="T1" s="29">
        <v>44561.0</v>
      </c>
      <c r="U1" s="29">
        <v>44926.0</v>
      </c>
      <c r="V1" s="29">
        <v>45291.0</v>
      </c>
      <c r="W1" s="29">
        <v>45565.0</v>
      </c>
      <c r="Y1" s="7" t="s">
        <v>174</v>
      </c>
      <c r="Z1" s="29">
        <v>43830.0</v>
      </c>
      <c r="AA1" s="29">
        <v>44196.0</v>
      </c>
      <c r="AB1" s="29">
        <v>44561.0</v>
      </c>
      <c r="AC1" s="29">
        <v>44926.0</v>
      </c>
      <c r="AD1" s="29">
        <v>45291.0</v>
      </c>
      <c r="AE1" s="29">
        <v>45565.0</v>
      </c>
      <c r="AG1" s="7" t="s">
        <v>175</v>
      </c>
      <c r="AH1" s="29">
        <v>43830.0</v>
      </c>
      <c r="AI1" s="29">
        <v>44196.0</v>
      </c>
      <c r="AJ1" s="29">
        <v>44561.0</v>
      </c>
      <c r="AK1" s="29">
        <v>44926.0</v>
      </c>
      <c r="AL1" s="29">
        <v>45291.0</v>
      </c>
      <c r="AM1" s="29">
        <v>45657.0</v>
      </c>
    </row>
    <row r="2">
      <c r="A2" s="7" t="s">
        <v>230</v>
      </c>
      <c r="B2" s="29" t="s">
        <v>1014</v>
      </c>
      <c r="C2" s="29" t="s">
        <v>17</v>
      </c>
      <c r="D2" s="29" t="s">
        <v>18</v>
      </c>
      <c r="E2" s="29" t="s">
        <v>19</v>
      </c>
      <c r="F2" s="29" t="s">
        <v>20</v>
      </c>
      <c r="G2" s="29" t="s">
        <v>21</v>
      </c>
      <c r="I2" s="7" t="s">
        <v>230</v>
      </c>
      <c r="J2" s="29" t="s">
        <v>1014</v>
      </c>
      <c r="K2" s="29" t="s">
        <v>17</v>
      </c>
      <c r="L2" s="29" t="s">
        <v>18</v>
      </c>
      <c r="M2" s="29" t="s">
        <v>19</v>
      </c>
      <c r="N2" s="29" t="s">
        <v>20</v>
      </c>
      <c r="O2" s="29" t="s">
        <v>21</v>
      </c>
      <c r="Q2" s="7" t="s">
        <v>230</v>
      </c>
      <c r="R2" s="29" t="s">
        <v>1014</v>
      </c>
      <c r="S2" s="29" t="s">
        <v>17</v>
      </c>
      <c r="T2" s="29" t="s">
        <v>18</v>
      </c>
      <c r="U2" s="29" t="s">
        <v>19</v>
      </c>
      <c r="V2" s="29" t="s">
        <v>20</v>
      </c>
      <c r="W2" s="29" t="s">
        <v>21</v>
      </c>
      <c r="Y2" s="7" t="s">
        <v>230</v>
      </c>
      <c r="Z2" s="29" t="s">
        <v>1014</v>
      </c>
      <c r="AA2" s="29" t="s">
        <v>17</v>
      </c>
      <c r="AB2" s="29" t="s">
        <v>18</v>
      </c>
      <c r="AC2" s="29" t="s">
        <v>19</v>
      </c>
      <c r="AD2" s="29" t="s">
        <v>20</v>
      </c>
      <c r="AE2" s="29" t="s">
        <v>21</v>
      </c>
      <c r="AG2" s="7" t="s">
        <v>230</v>
      </c>
      <c r="AH2" s="29" t="s">
        <v>1014</v>
      </c>
      <c r="AI2" s="29" t="s">
        <v>17</v>
      </c>
      <c r="AJ2" s="29" t="s">
        <v>18</v>
      </c>
      <c r="AK2" s="29" t="s">
        <v>19</v>
      </c>
      <c r="AL2" s="29" t="s">
        <v>20</v>
      </c>
      <c r="AM2" s="29" t="s">
        <v>21</v>
      </c>
    </row>
    <row r="3">
      <c r="A3" s="7" t="s">
        <v>398</v>
      </c>
      <c r="C3" s="7">
        <v>219.281</v>
      </c>
      <c r="D3" s="7">
        <v>303.998</v>
      </c>
      <c r="E3" s="7">
        <v>467.822</v>
      </c>
      <c r="F3" s="7">
        <v>0.068</v>
      </c>
      <c r="G3" s="7">
        <v>388.108</v>
      </c>
      <c r="I3" s="7" t="s">
        <v>398</v>
      </c>
      <c r="K3" s="7">
        <v>10076.0</v>
      </c>
      <c r="L3" s="7">
        <v>18290.0</v>
      </c>
      <c r="Q3" s="7" t="s">
        <v>399</v>
      </c>
      <c r="R3" s="7">
        <v>1697.0</v>
      </c>
      <c r="S3" s="7">
        <v>1885.0</v>
      </c>
      <c r="V3" s="7">
        <v>1914.786</v>
      </c>
      <c r="Y3" s="7" t="s">
        <v>400</v>
      </c>
      <c r="AB3" s="7">
        <v>197.63</v>
      </c>
      <c r="AC3" s="7">
        <v>364.578</v>
      </c>
      <c r="AD3" s="7">
        <v>46.361</v>
      </c>
      <c r="AE3" s="7">
        <v>50.182</v>
      </c>
      <c r="AG3" s="7" t="s">
        <v>401</v>
      </c>
      <c r="AJ3" s="7">
        <v>0.0</v>
      </c>
      <c r="AK3" s="7">
        <v>23.0</v>
      </c>
      <c r="AM3" s="7">
        <v>28.0</v>
      </c>
    </row>
    <row r="4">
      <c r="A4" s="7" t="s">
        <v>406</v>
      </c>
      <c r="B4" s="7">
        <v>0.0</v>
      </c>
      <c r="C4" s="7">
        <v>219.281</v>
      </c>
      <c r="D4" s="7">
        <v>303.998</v>
      </c>
      <c r="E4" s="7">
        <v>467.822</v>
      </c>
      <c r="F4" s="7">
        <v>0.068</v>
      </c>
      <c r="G4" s="7">
        <v>388.108</v>
      </c>
      <c r="I4" s="7" t="s">
        <v>400</v>
      </c>
      <c r="K4" s="7">
        <v>4090.0</v>
      </c>
      <c r="L4" s="7">
        <v>8482.0</v>
      </c>
      <c r="Q4" s="7" t="s">
        <v>407</v>
      </c>
      <c r="R4" s="7">
        <v>427.0</v>
      </c>
      <c r="S4" s="7">
        <v>988.0</v>
      </c>
      <c r="T4" s="7">
        <v>6100.646</v>
      </c>
      <c r="U4" s="7">
        <v>8336.164</v>
      </c>
      <c r="V4" s="7">
        <v>450.83</v>
      </c>
      <c r="W4" s="7">
        <v>6421.995</v>
      </c>
      <c r="Y4" s="7" t="s">
        <v>406</v>
      </c>
      <c r="Z4" s="7">
        <v>0.0</v>
      </c>
      <c r="AA4" s="7">
        <v>0.0</v>
      </c>
      <c r="AB4" s="7">
        <v>197.63</v>
      </c>
      <c r="AC4" s="7">
        <v>364.578</v>
      </c>
      <c r="AD4" s="7">
        <v>46.361</v>
      </c>
      <c r="AE4" s="7">
        <v>50.182</v>
      </c>
      <c r="AG4" s="7" t="s">
        <v>408</v>
      </c>
      <c r="AJ4" s="7">
        <v>0.0</v>
      </c>
      <c r="AK4" s="7">
        <v>0.0</v>
      </c>
    </row>
    <row r="5">
      <c r="I5" s="7" t="s">
        <v>230</v>
      </c>
      <c r="M5" s="7">
        <v>38682.088</v>
      </c>
      <c r="N5" s="7">
        <v>13331.938</v>
      </c>
      <c r="O5" s="7">
        <v>10752.389</v>
      </c>
      <c r="Q5" s="7" t="s">
        <v>416</v>
      </c>
      <c r="R5" s="7">
        <v>436.0</v>
      </c>
      <c r="S5" s="7">
        <v>159.0</v>
      </c>
      <c r="V5" s="7">
        <v>1910.909</v>
      </c>
      <c r="AG5" s="7" t="s">
        <v>230</v>
      </c>
      <c r="AJ5" s="7">
        <v>0.0</v>
      </c>
      <c r="AK5" s="7">
        <v>742.951</v>
      </c>
      <c r="AL5" s="7">
        <v>1011.194</v>
      </c>
      <c r="AM5" s="7">
        <v>73.049</v>
      </c>
    </row>
    <row r="6">
      <c r="A6" s="7" t="s">
        <v>421</v>
      </c>
      <c r="B6" s="29" t="s">
        <v>1014</v>
      </c>
      <c r="C6" s="29" t="s">
        <v>17</v>
      </c>
      <c r="D6" s="29" t="s">
        <v>18</v>
      </c>
      <c r="E6" s="29" t="s">
        <v>19</v>
      </c>
      <c r="F6" s="29" t="s">
        <v>20</v>
      </c>
      <c r="G6" s="29" t="s">
        <v>21</v>
      </c>
      <c r="I6" s="7" t="s">
        <v>406</v>
      </c>
      <c r="J6" s="7">
        <v>0.0</v>
      </c>
      <c r="K6" s="7">
        <v>14166.0</v>
      </c>
      <c r="L6" s="7">
        <v>26772.0</v>
      </c>
      <c r="M6" s="7">
        <v>38682.088</v>
      </c>
      <c r="N6" s="7">
        <v>13331.938</v>
      </c>
      <c r="O6" s="7">
        <v>10752.389</v>
      </c>
      <c r="Q6" s="7" t="s">
        <v>422</v>
      </c>
      <c r="R6" s="7">
        <v>643.0</v>
      </c>
      <c r="S6" s="7">
        <v>364.0</v>
      </c>
      <c r="V6" s="7">
        <v>576.162</v>
      </c>
      <c r="Y6" s="7" t="s">
        <v>234</v>
      </c>
      <c r="Z6" s="29" t="s">
        <v>1014</v>
      </c>
      <c r="AA6" s="29" t="s">
        <v>17</v>
      </c>
      <c r="AB6" s="29" t="s">
        <v>18</v>
      </c>
      <c r="AC6" s="29" t="s">
        <v>19</v>
      </c>
      <c r="AD6" s="29" t="s">
        <v>20</v>
      </c>
      <c r="AE6" s="29" t="s">
        <v>21</v>
      </c>
      <c r="AG6" s="7" t="s">
        <v>406</v>
      </c>
      <c r="AH6" s="7">
        <v>0.0</v>
      </c>
      <c r="AI6" s="7">
        <v>0.0</v>
      </c>
      <c r="AJ6" s="7">
        <v>0.0</v>
      </c>
      <c r="AK6" s="7">
        <v>765.951</v>
      </c>
      <c r="AL6" s="7">
        <v>1011.194</v>
      </c>
      <c r="AM6" s="7">
        <v>101.049</v>
      </c>
    </row>
    <row r="7">
      <c r="A7" s="7" t="s">
        <v>429</v>
      </c>
      <c r="E7" s="7">
        <v>387.652</v>
      </c>
      <c r="Q7" s="7" t="s">
        <v>430</v>
      </c>
      <c r="R7" s="7">
        <v>2.0</v>
      </c>
      <c r="S7" s="7">
        <v>19.0</v>
      </c>
      <c r="V7" s="7">
        <v>78.349</v>
      </c>
      <c r="Y7" s="7" t="s">
        <v>431</v>
      </c>
      <c r="Z7" s="7">
        <v>0.0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</row>
    <row r="8">
      <c r="A8" s="7" t="s">
        <v>437</v>
      </c>
      <c r="B8" s="7">
        <v>0.0</v>
      </c>
      <c r="C8" s="7">
        <v>0.0</v>
      </c>
      <c r="D8" s="7">
        <v>0.0</v>
      </c>
      <c r="E8" s="7">
        <v>387.652</v>
      </c>
      <c r="F8" s="7">
        <v>0.0</v>
      </c>
      <c r="G8" s="7">
        <v>0.0</v>
      </c>
      <c r="I8" s="7" t="s">
        <v>234</v>
      </c>
      <c r="J8" s="29" t="s">
        <v>1014</v>
      </c>
      <c r="K8" s="29" t="s">
        <v>17</v>
      </c>
      <c r="L8" s="29" t="s">
        <v>18</v>
      </c>
      <c r="M8" s="29" t="s">
        <v>19</v>
      </c>
      <c r="N8" s="29" t="s">
        <v>20</v>
      </c>
      <c r="O8" s="29" t="s">
        <v>21</v>
      </c>
      <c r="Q8" s="7" t="s">
        <v>438</v>
      </c>
      <c r="R8" s="7">
        <v>66.0</v>
      </c>
      <c r="S8" s="7">
        <v>54.0</v>
      </c>
      <c r="V8" s="7">
        <v>502.24</v>
      </c>
      <c r="AG8" s="7" t="s">
        <v>234</v>
      </c>
      <c r="AH8" s="29" t="s">
        <v>1014</v>
      </c>
      <c r="AI8" s="29" t="s">
        <v>17</v>
      </c>
      <c r="AJ8" s="29" t="s">
        <v>18</v>
      </c>
      <c r="AK8" s="29" t="s">
        <v>19</v>
      </c>
      <c r="AL8" s="29" t="s">
        <v>20</v>
      </c>
      <c r="AM8" s="29" t="s">
        <v>21</v>
      </c>
    </row>
    <row r="9">
      <c r="I9" s="7" t="s">
        <v>445</v>
      </c>
      <c r="K9" s="7">
        <v>43767.0</v>
      </c>
      <c r="L9" s="7">
        <v>43767.0</v>
      </c>
      <c r="Q9" s="7" t="s">
        <v>446</v>
      </c>
      <c r="R9" s="7">
        <v>16.0</v>
      </c>
      <c r="S9" s="7">
        <v>98.0</v>
      </c>
      <c r="V9" s="7">
        <v>0.828</v>
      </c>
      <c r="Y9" s="7" t="s">
        <v>421</v>
      </c>
      <c r="Z9" s="29" t="s">
        <v>1014</v>
      </c>
      <c r="AA9" s="29" t="s">
        <v>17</v>
      </c>
      <c r="AB9" s="29" t="s">
        <v>18</v>
      </c>
      <c r="AC9" s="29" t="s">
        <v>19</v>
      </c>
      <c r="AD9" s="29" t="s">
        <v>20</v>
      </c>
      <c r="AE9" s="29" t="s">
        <v>21</v>
      </c>
      <c r="AG9" s="7" t="s">
        <v>447</v>
      </c>
      <c r="AJ9" s="7">
        <v>2463.0</v>
      </c>
      <c r="AK9" s="7">
        <v>5.914</v>
      </c>
      <c r="AM9" s="7">
        <v>5.941</v>
      </c>
    </row>
    <row r="10">
      <c r="A10" s="7" t="s">
        <v>455</v>
      </c>
      <c r="B10" s="29" t="s">
        <v>1014</v>
      </c>
      <c r="C10" s="29" t="s">
        <v>17</v>
      </c>
      <c r="D10" s="29" t="s">
        <v>18</v>
      </c>
      <c r="E10" s="29" t="s">
        <v>19</v>
      </c>
      <c r="F10" s="29" t="s">
        <v>20</v>
      </c>
      <c r="G10" s="29" t="s">
        <v>21</v>
      </c>
      <c r="I10" s="7" t="s">
        <v>456</v>
      </c>
      <c r="K10" s="7">
        <v>2088.0</v>
      </c>
      <c r="L10" s="7">
        <v>2088.0</v>
      </c>
      <c r="Q10" s="7" t="s">
        <v>457</v>
      </c>
      <c r="R10" s="7">
        <v>5.0</v>
      </c>
      <c r="S10" s="7">
        <v>16.0</v>
      </c>
      <c r="V10" s="7">
        <v>32.596</v>
      </c>
      <c r="Y10" s="7" t="s">
        <v>437</v>
      </c>
      <c r="Z10" s="7">
        <v>0.0</v>
      </c>
      <c r="AA10" s="7">
        <v>0.0</v>
      </c>
      <c r="AB10" s="7">
        <v>0.0</v>
      </c>
      <c r="AC10" s="7">
        <v>0.0</v>
      </c>
      <c r="AD10" s="7">
        <v>0.0</v>
      </c>
      <c r="AE10" s="7">
        <v>0.0</v>
      </c>
      <c r="AG10" s="7" t="s">
        <v>431</v>
      </c>
      <c r="AH10" s="7">
        <v>0.0</v>
      </c>
      <c r="AI10" s="7">
        <v>0.0</v>
      </c>
      <c r="AJ10" s="7">
        <v>4149.0</v>
      </c>
      <c r="AK10" s="7">
        <v>5.914</v>
      </c>
      <c r="AL10" s="7">
        <v>0.0</v>
      </c>
      <c r="AM10" s="7">
        <v>5.941</v>
      </c>
    </row>
    <row r="11">
      <c r="A11" s="7" t="s">
        <v>455</v>
      </c>
      <c r="C11" s="7">
        <v>21211.101</v>
      </c>
      <c r="D11" s="7">
        <v>15227.824</v>
      </c>
      <c r="G11" s="7">
        <v>25171.44</v>
      </c>
      <c r="I11" s="7" t="s">
        <v>447</v>
      </c>
      <c r="K11" s="7">
        <v>110.0</v>
      </c>
      <c r="L11" s="7">
        <v>110.0</v>
      </c>
      <c r="Q11" s="7" t="s">
        <v>462</v>
      </c>
      <c r="V11" s="7">
        <v>29.303</v>
      </c>
    </row>
    <row r="12">
      <c r="A12" s="7" t="s">
        <v>469</v>
      </c>
      <c r="B12" s="7">
        <v>0.0</v>
      </c>
      <c r="C12" s="7">
        <v>21211.101</v>
      </c>
      <c r="D12" s="7">
        <v>15227.824</v>
      </c>
      <c r="E12" s="7">
        <v>23900.83</v>
      </c>
      <c r="F12" s="7">
        <v>28045.861</v>
      </c>
      <c r="G12" s="7">
        <v>25171.44</v>
      </c>
      <c r="I12" s="7" t="s">
        <v>470</v>
      </c>
      <c r="K12" s="7">
        <v>5.0</v>
      </c>
      <c r="L12" s="7">
        <v>5.0</v>
      </c>
      <c r="Q12" s="7" t="s">
        <v>471</v>
      </c>
      <c r="V12" s="7">
        <v>443.202</v>
      </c>
      <c r="Y12" s="7" t="s">
        <v>472</v>
      </c>
      <c r="Z12" s="29" t="s">
        <v>1014</v>
      </c>
      <c r="AA12" s="29" t="s">
        <v>17</v>
      </c>
      <c r="AB12" s="29" t="s">
        <v>18</v>
      </c>
      <c r="AC12" s="29" t="s">
        <v>19</v>
      </c>
      <c r="AD12" s="29" t="s">
        <v>20</v>
      </c>
      <c r="AE12" s="29" t="s">
        <v>21</v>
      </c>
      <c r="AG12" s="7" t="s">
        <v>421</v>
      </c>
      <c r="AH12" s="29" t="s">
        <v>1014</v>
      </c>
      <c r="AI12" s="29" t="s">
        <v>17</v>
      </c>
      <c r="AJ12" s="29" t="s">
        <v>18</v>
      </c>
      <c r="AK12" s="29" t="s">
        <v>19</v>
      </c>
      <c r="AL12" s="29" t="s">
        <v>20</v>
      </c>
      <c r="AM12" s="29" t="s">
        <v>21</v>
      </c>
    </row>
    <row r="13">
      <c r="I13" s="7" t="s">
        <v>477</v>
      </c>
      <c r="K13" s="7">
        <v>0.0</v>
      </c>
      <c r="L13" s="7">
        <v>80299.0</v>
      </c>
      <c r="Q13" s="7" t="s">
        <v>478</v>
      </c>
      <c r="R13" s="7">
        <v>2.0</v>
      </c>
      <c r="S13" s="7">
        <v>2.0</v>
      </c>
      <c r="V13" s="7">
        <v>1.097</v>
      </c>
      <c r="Y13" s="7" t="s">
        <v>479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G13" s="7" t="s">
        <v>480</v>
      </c>
      <c r="AK13" s="7">
        <v>9294.08</v>
      </c>
      <c r="AL13" s="7">
        <v>5900.931999999997</v>
      </c>
      <c r="AM13" s="7">
        <v>32322.864</v>
      </c>
    </row>
    <row r="14">
      <c r="A14" s="7" t="s">
        <v>486</v>
      </c>
      <c r="B14" s="29" t="s">
        <v>1014</v>
      </c>
      <c r="C14" s="29" t="s">
        <v>17</v>
      </c>
      <c r="D14" s="29" t="s">
        <v>18</v>
      </c>
      <c r="E14" s="29" t="s">
        <v>19</v>
      </c>
      <c r="F14" s="29" t="s">
        <v>20</v>
      </c>
      <c r="G14" s="29" t="s">
        <v>21</v>
      </c>
      <c r="I14" s="7" t="s">
        <v>431</v>
      </c>
      <c r="J14" s="7">
        <v>0.0</v>
      </c>
      <c r="K14" s="7">
        <v>45970.0</v>
      </c>
      <c r="L14" s="7">
        <v>126269.0</v>
      </c>
      <c r="M14" s="7">
        <v>0.0</v>
      </c>
      <c r="N14" s="7">
        <v>0.0</v>
      </c>
      <c r="O14" s="7">
        <v>0.0</v>
      </c>
      <c r="Q14" s="7" t="s">
        <v>406</v>
      </c>
      <c r="R14" s="7">
        <v>3294.0</v>
      </c>
      <c r="S14" s="7">
        <v>3585.0</v>
      </c>
      <c r="T14" s="7">
        <v>6100.646</v>
      </c>
      <c r="U14" s="7">
        <v>8336.164</v>
      </c>
      <c r="V14" s="7">
        <v>5940.302</v>
      </c>
      <c r="W14" s="7">
        <v>6421.995</v>
      </c>
      <c r="AG14" s="7" t="s">
        <v>487</v>
      </c>
      <c r="AM14" s="7">
        <v>-69.022</v>
      </c>
    </row>
    <row r="15">
      <c r="A15" s="7" t="s">
        <v>486</v>
      </c>
      <c r="E15" s="7">
        <v>2501.694</v>
      </c>
      <c r="F15" s="7">
        <v>1689.761</v>
      </c>
      <c r="Y15" s="7" t="s">
        <v>455</v>
      </c>
      <c r="Z15" s="29" t="s">
        <v>1014</v>
      </c>
      <c r="AA15" s="29" t="s">
        <v>17</v>
      </c>
      <c r="AB15" s="29" t="s">
        <v>18</v>
      </c>
      <c r="AC15" s="29" t="s">
        <v>19</v>
      </c>
      <c r="AD15" s="29" t="s">
        <v>20</v>
      </c>
      <c r="AE15" s="29" t="s">
        <v>21</v>
      </c>
      <c r="AG15" s="7" t="s">
        <v>437</v>
      </c>
      <c r="AH15" s="7">
        <v>0.0</v>
      </c>
      <c r="AI15" s="7">
        <v>0.0</v>
      </c>
      <c r="AJ15" s="7">
        <v>0.0</v>
      </c>
      <c r="AK15" s="7">
        <v>9294.08</v>
      </c>
      <c r="AL15" s="7">
        <v>5900.931999999997</v>
      </c>
      <c r="AM15" s="7">
        <v>32253.842</v>
      </c>
    </row>
    <row r="16">
      <c r="A16" s="7" t="s">
        <v>496</v>
      </c>
      <c r="B16" s="7">
        <v>0.0</v>
      </c>
      <c r="C16" s="7">
        <v>0.0</v>
      </c>
      <c r="D16" s="7">
        <v>0.0</v>
      </c>
      <c r="E16" s="7">
        <v>2501.694</v>
      </c>
      <c r="F16" s="7">
        <v>1689.761</v>
      </c>
      <c r="G16" s="7">
        <v>0.0</v>
      </c>
      <c r="I16" s="7" t="s">
        <v>421</v>
      </c>
      <c r="J16" s="29" t="s">
        <v>1014</v>
      </c>
      <c r="K16" s="29" t="s">
        <v>17</v>
      </c>
      <c r="L16" s="29" t="s">
        <v>18</v>
      </c>
      <c r="M16" s="29" t="s">
        <v>19</v>
      </c>
      <c r="N16" s="29" t="s">
        <v>20</v>
      </c>
      <c r="O16" s="29" t="s">
        <v>21</v>
      </c>
      <c r="Q16" s="7" t="s">
        <v>234</v>
      </c>
      <c r="R16" s="29" t="s">
        <v>1014</v>
      </c>
      <c r="S16" s="29" t="s">
        <v>17</v>
      </c>
      <c r="T16" s="29" t="s">
        <v>18</v>
      </c>
      <c r="U16" s="29" t="s">
        <v>19</v>
      </c>
      <c r="V16" s="29" t="s">
        <v>20</v>
      </c>
      <c r="W16" s="29" t="s">
        <v>21</v>
      </c>
      <c r="Y16" s="7" t="s">
        <v>455</v>
      </c>
      <c r="AB16" s="7">
        <v>12224.957</v>
      </c>
      <c r="AC16" s="7">
        <v>13252.986</v>
      </c>
      <c r="AD16" s="7">
        <v>31311.08</v>
      </c>
      <c r="AE16" s="7">
        <v>13387.562</v>
      </c>
    </row>
    <row r="17">
      <c r="I17" s="7" t="s">
        <v>480</v>
      </c>
      <c r="K17" s="7">
        <v>12569.0</v>
      </c>
      <c r="L17" s="7">
        <v>11648.0</v>
      </c>
      <c r="Q17" s="7" t="s">
        <v>502</v>
      </c>
      <c r="W17" s="7">
        <v>4679.839</v>
      </c>
      <c r="Y17" s="7" t="s">
        <v>469</v>
      </c>
      <c r="Z17" s="7">
        <v>0.0</v>
      </c>
      <c r="AA17" s="7">
        <v>0.0</v>
      </c>
      <c r="AB17" s="7">
        <v>12224.957</v>
      </c>
      <c r="AC17" s="7">
        <v>13252.986</v>
      </c>
      <c r="AD17" s="7">
        <v>31311.08</v>
      </c>
      <c r="AE17" s="7">
        <v>13387.562</v>
      </c>
      <c r="AG17" s="7" t="s">
        <v>455</v>
      </c>
      <c r="AH17" s="29" t="s">
        <v>1014</v>
      </c>
      <c r="AI17" s="29" t="s">
        <v>17</v>
      </c>
      <c r="AJ17" s="29" t="s">
        <v>18</v>
      </c>
      <c r="AK17" s="29" t="s">
        <v>19</v>
      </c>
      <c r="AL17" s="29" t="s">
        <v>20</v>
      </c>
      <c r="AM17" s="29" t="s">
        <v>21</v>
      </c>
    </row>
    <row r="18">
      <c r="A18" s="7" t="s">
        <v>249</v>
      </c>
      <c r="B18" s="29" t="s">
        <v>1014</v>
      </c>
      <c r="C18" s="29" t="s">
        <v>17</v>
      </c>
      <c r="D18" s="29" t="s">
        <v>18</v>
      </c>
      <c r="E18" s="29" t="s">
        <v>19</v>
      </c>
      <c r="F18" s="29" t="s">
        <v>20</v>
      </c>
      <c r="G18" s="29" t="s">
        <v>21</v>
      </c>
      <c r="I18" s="7" t="s">
        <v>505</v>
      </c>
      <c r="K18" s="7">
        <v>1030.0</v>
      </c>
      <c r="L18" s="7">
        <v>2380.0</v>
      </c>
      <c r="Q18" s="7" t="s">
        <v>506</v>
      </c>
      <c r="R18" s="7">
        <v>264.0</v>
      </c>
      <c r="S18" s="7">
        <v>264.0</v>
      </c>
      <c r="T18" s="7">
        <v>264.295</v>
      </c>
      <c r="U18" s="7">
        <v>264.295</v>
      </c>
      <c r="V18" s="7">
        <v>264.295</v>
      </c>
      <c r="AG18" s="7" t="s">
        <v>507</v>
      </c>
      <c r="AK18" s="7">
        <v>19267.42</v>
      </c>
      <c r="AL18" s="7">
        <v>20016.31</v>
      </c>
      <c r="AM18" s="7">
        <v>0.0</v>
      </c>
    </row>
    <row r="19">
      <c r="A19" s="7" t="s">
        <v>511</v>
      </c>
      <c r="F19" s="7">
        <v>452.942</v>
      </c>
      <c r="I19" s="7" t="s">
        <v>512</v>
      </c>
      <c r="K19" s="7">
        <v>1851.0</v>
      </c>
      <c r="L19" s="7">
        <v>745.0</v>
      </c>
      <c r="Q19" s="7" t="s">
        <v>513</v>
      </c>
      <c r="R19" s="7">
        <v>202.0</v>
      </c>
      <c r="Y19" s="7" t="s">
        <v>486</v>
      </c>
      <c r="Z19" s="29" t="s">
        <v>1014</v>
      </c>
      <c r="AA19" s="29" t="s">
        <v>17</v>
      </c>
      <c r="AB19" s="29" t="s">
        <v>18</v>
      </c>
      <c r="AC19" s="29" t="s">
        <v>19</v>
      </c>
      <c r="AD19" s="29" t="s">
        <v>20</v>
      </c>
      <c r="AE19" s="29" t="s">
        <v>21</v>
      </c>
      <c r="AG19" s="7" t="s">
        <v>469</v>
      </c>
      <c r="AH19" s="7">
        <v>0.0</v>
      </c>
      <c r="AI19" s="7">
        <v>0.0</v>
      </c>
      <c r="AJ19" s="7">
        <v>0.0</v>
      </c>
      <c r="AK19" s="7">
        <v>19267.42</v>
      </c>
      <c r="AL19" s="7">
        <v>20016.31</v>
      </c>
      <c r="AM19" s="7">
        <v>0.0</v>
      </c>
    </row>
    <row r="20">
      <c r="A20" s="7" t="s">
        <v>519</v>
      </c>
      <c r="B20" s="7">
        <v>0.0</v>
      </c>
      <c r="C20" s="7">
        <v>0.0</v>
      </c>
      <c r="D20" s="7">
        <v>0.0</v>
      </c>
      <c r="E20" s="7">
        <v>0.0</v>
      </c>
      <c r="F20" s="7">
        <v>452.942</v>
      </c>
      <c r="G20" s="7">
        <v>0.0</v>
      </c>
      <c r="I20" s="7" t="s">
        <v>487</v>
      </c>
      <c r="K20" s="7">
        <v>-384.0</v>
      </c>
      <c r="L20" s="7">
        <v>-274.0</v>
      </c>
      <c r="Q20" s="7" t="s">
        <v>520</v>
      </c>
      <c r="R20" s="7">
        <v>13.98</v>
      </c>
      <c r="S20" s="7">
        <v>13.98</v>
      </c>
      <c r="T20" s="7">
        <v>13.975</v>
      </c>
      <c r="U20" s="7">
        <v>13.975</v>
      </c>
      <c r="V20" s="7">
        <v>13.975</v>
      </c>
      <c r="Y20" s="7" t="s">
        <v>496</v>
      </c>
      <c r="Z20" s="7">
        <v>0.0</v>
      </c>
      <c r="AA20" s="7">
        <v>0.0</v>
      </c>
      <c r="AB20" s="7">
        <v>0.0</v>
      </c>
      <c r="AC20" s="7">
        <v>0.0</v>
      </c>
      <c r="AD20" s="7">
        <v>0.0</v>
      </c>
      <c r="AE20" s="7">
        <v>0.0</v>
      </c>
    </row>
    <row r="21" ht="15.75" customHeight="1">
      <c r="I21" s="7" t="s">
        <v>429</v>
      </c>
      <c r="M21" s="7">
        <v>13337.418</v>
      </c>
      <c r="N21" s="7">
        <v>13468.897</v>
      </c>
      <c r="O21" s="7">
        <v>19104.821</v>
      </c>
      <c r="Q21" s="7" t="s">
        <v>524</v>
      </c>
      <c r="R21" s="7">
        <v>1.0</v>
      </c>
      <c r="S21" s="7">
        <v>1.0</v>
      </c>
      <c r="T21" s="7">
        <v>0.57</v>
      </c>
      <c r="U21" s="7">
        <v>0.57</v>
      </c>
      <c r="V21" s="7">
        <v>0.57</v>
      </c>
      <c r="AG21" s="7" t="s">
        <v>486</v>
      </c>
      <c r="AH21" s="29" t="s">
        <v>1014</v>
      </c>
      <c r="AI21" s="29" t="s">
        <v>17</v>
      </c>
      <c r="AJ21" s="29" t="s">
        <v>18</v>
      </c>
      <c r="AK21" s="29" t="s">
        <v>19</v>
      </c>
      <c r="AL21" s="29" t="s">
        <v>20</v>
      </c>
      <c r="AM21" s="29" t="s">
        <v>21</v>
      </c>
    </row>
    <row r="22" ht="15.75" customHeight="1">
      <c r="A22" s="7" t="s">
        <v>257</v>
      </c>
      <c r="B22" s="29" t="s">
        <v>1014</v>
      </c>
      <c r="C22" s="29" t="s">
        <v>17</v>
      </c>
      <c r="D22" s="29" t="s">
        <v>18</v>
      </c>
      <c r="E22" s="29" t="s">
        <v>19</v>
      </c>
      <c r="F22" s="29" t="s">
        <v>20</v>
      </c>
      <c r="G22" s="29" t="s">
        <v>21</v>
      </c>
      <c r="I22" s="7" t="s">
        <v>437</v>
      </c>
      <c r="J22" s="7">
        <v>0.0</v>
      </c>
      <c r="K22" s="7">
        <v>15066.0</v>
      </c>
      <c r="L22" s="7">
        <v>14499.0</v>
      </c>
      <c r="M22" s="7">
        <v>13337.418</v>
      </c>
      <c r="N22" s="7">
        <v>13468.897</v>
      </c>
      <c r="O22" s="7">
        <v>19104.821</v>
      </c>
      <c r="Q22" s="7" t="s">
        <v>431</v>
      </c>
      <c r="R22" s="7">
        <v>480.98</v>
      </c>
      <c r="S22" s="7">
        <v>278.98</v>
      </c>
      <c r="T22" s="7">
        <v>278.84</v>
      </c>
      <c r="U22" s="7">
        <v>278.84</v>
      </c>
      <c r="V22" s="7">
        <v>278.84</v>
      </c>
      <c r="W22" s="7">
        <v>4679.839</v>
      </c>
      <c r="Y22" s="7" t="s">
        <v>237</v>
      </c>
      <c r="Z22" s="29" t="s">
        <v>1014</v>
      </c>
      <c r="AA22" s="29" t="s">
        <v>17</v>
      </c>
      <c r="AB22" s="29" t="s">
        <v>18</v>
      </c>
      <c r="AC22" s="29" t="s">
        <v>19</v>
      </c>
      <c r="AD22" s="29" t="s">
        <v>20</v>
      </c>
      <c r="AE22" s="29" t="s">
        <v>21</v>
      </c>
      <c r="AG22" s="7" t="s">
        <v>486</v>
      </c>
      <c r="AK22" s="7">
        <v>2184.715</v>
      </c>
      <c r="AL22" s="7">
        <v>3803.379000000004</v>
      </c>
      <c r="AM22" s="7">
        <v>4915.002</v>
      </c>
    </row>
    <row r="23" ht="15.75" customHeight="1">
      <c r="A23" s="7" t="s">
        <v>246</v>
      </c>
      <c r="C23" s="7">
        <v>13.44</v>
      </c>
      <c r="D23" s="7">
        <v>615.944</v>
      </c>
      <c r="Y23" s="7" t="s">
        <v>529</v>
      </c>
      <c r="Z23" s="7">
        <v>0.0</v>
      </c>
      <c r="AA23" s="7">
        <v>0.0</v>
      </c>
      <c r="AB23" s="7">
        <v>0.0</v>
      </c>
      <c r="AC23" s="7">
        <v>0.0</v>
      </c>
      <c r="AD23" s="7">
        <v>0.0</v>
      </c>
      <c r="AE23" s="7">
        <v>0.0</v>
      </c>
      <c r="AG23" s="7" t="s">
        <v>496</v>
      </c>
      <c r="AH23" s="7">
        <v>0.0</v>
      </c>
      <c r="AI23" s="7">
        <v>0.0</v>
      </c>
      <c r="AJ23" s="7">
        <v>0.0</v>
      </c>
      <c r="AK23" s="7">
        <v>2184.715</v>
      </c>
      <c r="AL23" s="7">
        <v>3803.379000000004</v>
      </c>
      <c r="AM23" s="7">
        <v>4915.002</v>
      </c>
    </row>
    <row r="24" ht="15.75" customHeight="1">
      <c r="A24" s="7" t="s">
        <v>257</v>
      </c>
      <c r="G24" s="7">
        <v>3364.291</v>
      </c>
      <c r="I24" s="7" t="s">
        <v>455</v>
      </c>
      <c r="J24" s="29" t="s">
        <v>1014</v>
      </c>
      <c r="K24" s="29" t="s">
        <v>17</v>
      </c>
      <c r="L24" s="29" t="s">
        <v>18</v>
      </c>
      <c r="M24" s="29" t="s">
        <v>19</v>
      </c>
      <c r="N24" s="29" t="s">
        <v>20</v>
      </c>
      <c r="O24" s="29" t="s">
        <v>21</v>
      </c>
      <c r="Q24" s="7" t="s">
        <v>421</v>
      </c>
      <c r="R24" s="29" t="s">
        <v>1014</v>
      </c>
      <c r="S24" s="29" t="s">
        <v>17</v>
      </c>
      <c r="T24" s="29" t="s">
        <v>18</v>
      </c>
      <c r="U24" s="29" t="s">
        <v>19</v>
      </c>
      <c r="V24" s="29" t="s">
        <v>20</v>
      </c>
      <c r="W24" s="29" t="s">
        <v>21</v>
      </c>
    </row>
    <row r="25" ht="15.75" customHeight="1">
      <c r="A25" s="7" t="s">
        <v>535</v>
      </c>
      <c r="B25" s="7">
        <v>0.0</v>
      </c>
      <c r="C25" s="7">
        <v>13.44</v>
      </c>
      <c r="D25" s="7">
        <v>615.944</v>
      </c>
      <c r="E25" s="7">
        <v>0.0</v>
      </c>
      <c r="F25" s="7">
        <v>0.0</v>
      </c>
      <c r="G25" s="7">
        <v>3364.291</v>
      </c>
      <c r="I25" s="7" t="s">
        <v>507</v>
      </c>
      <c r="K25" s="7">
        <v>224911.0</v>
      </c>
      <c r="L25" s="7">
        <v>204926.0</v>
      </c>
      <c r="Q25" s="7" t="s">
        <v>536</v>
      </c>
      <c r="R25" s="7">
        <v>15679.0</v>
      </c>
      <c r="S25" s="7">
        <v>14806.0</v>
      </c>
      <c r="T25" s="7">
        <v>17314.2</v>
      </c>
      <c r="U25" s="7">
        <v>25084.24</v>
      </c>
      <c r="V25" s="7">
        <v>28476.013</v>
      </c>
      <c r="Y25" s="7" t="s">
        <v>240</v>
      </c>
      <c r="Z25" s="29" t="s">
        <v>1014</v>
      </c>
      <c r="AA25" s="29" t="s">
        <v>17</v>
      </c>
      <c r="AB25" s="29" t="s">
        <v>18</v>
      </c>
      <c r="AC25" s="29" t="s">
        <v>19</v>
      </c>
      <c r="AD25" s="29" t="s">
        <v>20</v>
      </c>
      <c r="AE25" s="29" t="s">
        <v>21</v>
      </c>
      <c r="AG25" s="7" t="s">
        <v>237</v>
      </c>
      <c r="AH25" s="29" t="s">
        <v>1014</v>
      </c>
      <c r="AI25" s="29" t="s">
        <v>17</v>
      </c>
      <c r="AJ25" s="29" t="s">
        <v>18</v>
      </c>
      <c r="AK25" s="29" t="s">
        <v>19</v>
      </c>
      <c r="AL25" s="29" t="s">
        <v>20</v>
      </c>
      <c r="AM25" s="29" t="s">
        <v>21</v>
      </c>
    </row>
    <row r="26" ht="15.75" customHeight="1">
      <c r="I26" s="7" t="s">
        <v>455</v>
      </c>
      <c r="M26" s="7">
        <v>475765.905</v>
      </c>
      <c r="N26" s="7">
        <v>556123.836</v>
      </c>
      <c r="O26" s="7">
        <v>409288.497</v>
      </c>
      <c r="Q26" s="7" t="s">
        <v>538</v>
      </c>
      <c r="W26" s="7">
        <v>3367.782</v>
      </c>
      <c r="Y26" s="7" t="s">
        <v>539</v>
      </c>
      <c r="AE26" s="7">
        <v>3178.024</v>
      </c>
      <c r="AG26" s="7" t="s">
        <v>540</v>
      </c>
      <c r="AL26" s="7">
        <v>18.185</v>
      </c>
    </row>
    <row r="27" ht="15.75" customHeight="1">
      <c r="A27" s="7" t="s">
        <v>270</v>
      </c>
      <c r="B27" s="29" t="s">
        <v>1014</v>
      </c>
      <c r="C27" s="29" t="s">
        <v>17</v>
      </c>
      <c r="D27" s="29" t="s">
        <v>18</v>
      </c>
      <c r="E27" s="29" t="s">
        <v>19</v>
      </c>
      <c r="F27" s="29" t="s">
        <v>20</v>
      </c>
      <c r="G27" s="29" t="s">
        <v>21</v>
      </c>
      <c r="I27" s="7" t="s">
        <v>469</v>
      </c>
      <c r="J27" s="7">
        <v>0.0</v>
      </c>
      <c r="K27" s="7">
        <v>224911.0</v>
      </c>
      <c r="L27" s="7">
        <v>204926.0</v>
      </c>
      <c r="M27" s="7">
        <v>475765.905</v>
      </c>
      <c r="N27" s="7">
        <v>556123.836</v>
      </c>
      <c r="O27" s="7">
        <v>409288.497</v>
      </c>
      <c r="Q27" s="7" t="s">
        <v>543</v>
      </c>
      <c r="W27" s="7">
        <v>1770.299</v>
      </c>
      <c r="Y27" s="7" t="s">
        <v>544</v>
      </c>
      <c r="Z27" s="7">
        <v>0.0</v>
      </c>
      <c r="AA27" s="7">
        <v>0.0</v>
      </c>
      <c r="AB27" s="7">
        <v>0.0</v>
      </c>
      <c r="AC27" s="7">
        <v>0.0</v>
      </c>
      <c r="AD27" s="7">
        <v>0.0</v>
      </c>
      <c r="AE27" s="7">
        <v>3178.024</v>
      </c>
      <c r="AG27" s="7" t="s">
        <v>545</v>
      </c>
      <c r="AK27" s="7">
        <v>1781.202</v>
      </c>
      <c r="AL27" s="7">
        <v>1983.43</v>
      </c>
      <c r="AM27" s="7">
        <v>2279.828</v>
      </c>
    </row>
    <row r="28" ht="15.75" customHeight="1">
      <c r="A28" s="7" t="s">
        <v>270</v>
      </c>
      <c r="C28" s="7">
        <v>2944.895</v>
      </c>
      <c r="D28" s="7">
        <v>9056.64</v>
      </c>
      <c r="E28" s="7">
        <v>4863.318</v>
      </c>
      <c r="F28" s="7">
        <v>12874.545</v>
      </c>
      <c r="G28" s="7">
        <v>32998.625</v>
      </c>
      <c r="Q28" s="7" t="s">
        <v>550</v>
      </c>
      <c r="W28" s="7">
        <v>1105.103</v>
      </c>
      <c r="AG28" s="7" t="s">
        <v>551</v>
      </c>
      <c r="AK28" s="7">
        <v>9789.0</v>
      </c>
      <c r="AL28" s="7">
        <v>1040.017</v>
      </c>
      <c r="AM28" s="7">
        <v>442.489</v>
      </c>
    </row>
    <row r="29" ht="15.75" customHeight="1">
      <c r="A29" s="7" t="s">
        <v>555</v>
      </c>
      <c r="B29" s="7">
        <v>0.0</v>
      </c>
      <c r="C29" s="7">
        <v>2944.895</v>
      </c>
      <c r="D29" s="7">
        <v>9056.64</v>
      </c>
      <c r="E29" s="7">
        <v>4863.318</v>
      </c>
      <c r="F29" s="7">
        <v>12874.545</v>
      </c>
      <c r="G29" s="7">
        <v>32998.625</v>
      </c>
      <c r="I29" s="7" t="s">
        <v>237</v>
      </c>
      <c r="J29" s="29" t="s">
        <v>1014</v>
      </c>
      <c r="K29" s="29" t="s">
        <v>17</v>
      </c>
      <c r="L29" s="29" t="s">
        <v>18</v>
      </c>
      <c r="M29" s="29" t="s">
        <v>19</v>
      </c>
      <c r="N29" s="29" t="s">
        <v>20</v>
      </c>
      <c r="O29" s="29" t="s">
        <v>21</v>
      </c>
      <c r="Q29" s="7" t="s">
        <v>556</v>
      </c>
      <c r="W29" s="7">
        <v>1957.615</v>
      </c>
      <c r="Y29" s="7" t="s">
        <v>92</v>
      </c>
      <c r="Z29" s="29" t="s">
        <v>1014</v>
      </c>
      <c r="AA29" s="29" t="s">
        <v>17</v>
      </c>
      <c r="AB29" s="29" t="s">
        <v>18</v>
      </c>
      <c r="AC29" s="29" t="s">
        <v>19</v>
      </c>
      <c r="AD29" s="29" t="s">
        <v>20</v>
      </c>
      <c r="AE29" s="29" t="s">
        <v>21</v>
      </c>
      <c r="AG29" s="7" t="s">
        <v>529</v>
      </c>
      <c r="AH29" s="7">
        <v>0.0</v>
      </c>
      <c r="AI29" s="7">
        <v>0.0</v>
      </c>
      <c r="AJ29" s="7">
        <v>0.0</v>
      </c>
      <c r="AK29" s="7">
        <v>11570.202</v>
      </c>
      <c r="AL29" s="7">
        <v>3041.632</v>
      </c>
      <c r="AM29" s="7">
        <v>2722.317</v>
      </c>
    </row>
    <row r="30" ht="15.75" customHeight="1">
      <c r="I30" s="7" t="s">
        <v>559</v>
      </c>
      <c r="K30" s="7">
        <v>30852.0</v>
      </c>
      <c r="L30" s="7">
        <v>30714.0</v>
      </c>
      <c r="Q30" s="7" t="s">
        <v>560</v>
      </c>
      <c r="W30" s="7">
        <v>1244.77</v>
      </c>
      <c r="Y30" s="7" t="s">
        <v>561</v>
      </c>
      <c r="AC30" s="7">
        <v>2275.958</v>
      </c>
      <c r="AD30" s="7">
        <v>2412.788</v>
      </c>
    </row>
    <row r="31" ht="15.75" customHeight="1">
      <c r="A31" s="7" t="s">
        <v>563</v>
      </c>
      <c r="B31" s="29" t="s">
        <v>1014</v>
      </c>
      <c r="C31" s="29" t="s">
        <v>17</v>
      </c>
      <c r="D31" s="29" t="s">
        <v>18</v>
      </c>
      <c r="E31" s="29" t="s">
        <v>19</v>
      </c>
      <c r="F31" s="29" t="s">
        <v>20</v>
      </c>
      <c r="G31" s="29" t="s">
        <v>21</v>
      </c>
      <c r="I31" s="7" t="s">
        <v>540</v>
      </c>
      <c r="K31" s="7">
        <v>11350.0</v>
      </c>
      <c r="L31" s="7">
        <v>12047.0</v>
      </c>
      <c r="Q31" s="7" t="s">
        <v>564</v>
      </c>
      <c r="W31" s="7">
        <v>1105.695</v>
      </c>
      <c r="Y31" s="7" t="s">
        <v>92</v>
      </c>
      <c r="AB31" s="7">
        <v>3481.167</v>
      </c>
      <c r="AE31" s="7">
        <v>5320.602</v>
      </c>
      <c r="AG31" s="7" t="s">
        <v>92</v>
      </c>
      <c r="AH31" s="29" t="s">
        <v>1014</v>
      </c>
      <c r="AI31" s="29" t="s">
        <v>17</v>
      </c>
      <c r="AJ31" s="29" t="s">
        <v>18</v>
      </c>
      <c r="AK31" s="29" t="s">
        <v>19</v>
      </c>
      <c r="AL31" s="29" t="s">
        <v>20</v>
      </c>
      <c r="AM31" s="29" t="s">
        <v>21</v>
      </c>
    </row>
    <row r="32" ht="15.75" customHeight="1">
      <c r="A32" s="7" t="s">
        <v>305</v>
      </c>
      <c r="C32" s="7">
        <v>40909.739</v>
      </c>
      <c r="D32" s="7">
        <v>38454.37</v>
      </c>
      <c r="E32" s="7">
        <v>38454.37</v>
      </c>
      <c r="F32" s="7">
        <v>38454.37</v>
      </c>
      <c r="G32" s="7">
        <v>40223.788</v>
      </c>
      <c r="I32" s="7" t="s">
        <v>569</v>
      </c>
      <c r="K32" s="7">
        <v>1603.0</v>
      </c>
      <c r="L32" s="7">
        <v>1603.0</v>
      </c>
      <c r="Q32" s="7" t="s">
        <v>570</v>
      </c>
      <c r="W32" s="7">
        <v>14648.657</v>
      </c>
      <c r="Y32" s="7" t="s">
        <v>571</v>
      </c>
      <c r="Z32" s="7">
        <v>0.0</v>
      </c>
      <c r="AA32" s="7">
        <v>0.0</v>
      </c>
      <c r="AB32" s="7">
        <v>3481.167</v>
      </c>
      <c r="AC32" s="7">
        <v>2275.958</v>
      </c>
      <c r="AD32" s="7">
        <v>2412.788</v>
      </c>
      <c r="AE32" s="7">
        <v>5320.602</v>
      </c>
      <c r="AG32" s="7" t="s">
        <v>561</v>
      </c>
      <c r="AK32" s="7">
        <v>2666.773</v>
      </c>
      <c r="AL32" s="7">
        <v>0.0</v>
      </c>
    </row>
    <row r="33" ht="15.75" customHeight="1">
      <c r="A33" s="7" t="s">
        <v>575</v>
      </c>
      <c r="B33" s="7">
        <v>0.0</v>
      </c>
      <c r="C33" s="7">
        <v>40909.739</v>
      </c>
      <c r="D33" s="7">
        <v>38454.37</v>
      </c>
      <c r="E33" s="7">
        <v>38454.37</v>
      </c>
      <c r="F33" s="7">
        <v>38454.37</v>
      </c>
      <c r="G33" s="7">
        <v>40223.788</v>
      </c>
      <c r="I33" s="7" t="s">
        <v>576</v>
      </c>
      <c r="K33" s="7">
        <v>-42202.0</v>
      </c>
      <c r="L33" s="7">
        <v>-42760.0</v>
      </c>
      <c r="Q33" s="7" t="s">
        <v>437</v>
      </c>
      <c r="R33" s="7">
        <v>15477.0</v>
      </c>
      <c r="S33" s="7">
        <v>14682.0</v>
      </c>
      <c r="T33" s="7">
        <v>17314.2</v>
      </c>
      <c r="U33" s="7">
        <v>25084.24</v>
      </c>
      <c r="V33" s="7">
        <v>28476.013</v>
      </c>
      <c r="W33" s="7">
        <v>25199.921</v>
      </c>
      <c r="AG33" s="7" t="s">
        <v>577</v>
      </c>
      <c r="AK33" s="7">
        <v>512.876</v>
      </c>
      <c r="AL33" s="7">
        <v>0.0</v>
      </c>
    </row>
    <row r="34" ht="15.75" customHeight="1">
      <c r="I34" s="7" t="s">
        <v>545</v>
      </c>
      <c r="K34" s="7">
        <v>21058.0</v>
      </c>
      <c r="L34" s="7">
        <v>23207.0</v>
      </c>
      <c r="Y34" s="7" t="s">
        <v>238</v>
      </c>
      <c r="Z34" s="29" t="s">
        <v>1014</v>
      </c>
      <c r="AA34" s="29" t="s">
        <v>17</v>
      </c>
      <c r="AB34" s="29" t="s">
        <v>18</v>
      </c>
      <c r="AC34" s="29" t="s">
        <v>19</v>
      </c>
      <c r="AD34" s="29" t="s">
        <v>20</v>
      </c>
      <c r="AE34" s="29" t="s">
        <v>21</v>
      </c>
      <c r="AG34" s="7" t="s">
        <v>92</v>
      </c>
      <c r="AL34" s="7">
        <v>4199.378</v>
      </c>
      <c r="AM34" s="7">
        <v>2754.552</v>
      </c>
    </row>
    <row r="35" ht="15.75" customHeight="1">
      <c r="A35" s="7" t="s">
        <v>284</v>
      </c>
      <c r="B35" s="29" t="s">
        <v>1014</v>
      </c>
      <c r="C35" s="29" t="s">
        <v>17</v>
      </c>
      <c r="D35" s="29" t="s">
        <v>18</v>
      </c>
      <c r="E35" s="29" t="s">
        <v>19</v>
      </c>
      <c r="F35" s="29" t="s">
        <v>20</v>
      </c>
      <c r="G35" s="29" t="s">
        <v>21</v>
      </c>
      <c r="I35" s="7" t="s">
        <v>551</v>
      </c>
      <c r="K35" s="7">
        <v>6170.0</v>
      </c>
      <c r="L35" s="7">
        <v>6690.0</v>
      </c>
      <c r="Q35" s="7" t="s">
        <v>455</v>
      </c>
      <c r="R35" s="29" t="s">
        <v>1014</v>
      </c>
      <c r="S35" s="29" t="s">
        <v>17</v>
      </c>
      <c r="T35" s="29" t="s">
        <v>18</v>
      </c>
      <c r="U35" s="29" t="s">
        <v>19</v>
      </c>
      <c r="V35" s="29" t="s">
        <v>20</v>
      </c>
      <c r="W35" s="29" t="s">
        <v>21</v>
      </c>
      <c r="Y35" s="7" t="s">
        <v>584</v>
      </c>
      <c r="Z35" s="7">
        <v>0.0</v>
      </c>
      <c r="AA35" s="7">
        <v>0.0</v>
      </c>
      <c r="AB35" s="7">
        <v>0.0</v>
      </c>
      <c r="AC35" s="7">
        <v>0.0</v>
      </c>
      <c r="AD35" s="7">
        <v>0.0</v>
      </c>
      <c r="AE35" s="7">
        <v>0.0</v>
      </c>
      <c r="AG35" s="7" t="s">
        <v>571</v>
      </c>
      <c r="AH35" s="7">
        <v>0.0</v>
      </c>
      <c r="AI35" s="7">
        <v>0.0</v>
      </c>
      <c r="AJ35" s="7">
        <v>0.0</v>
      </c>
      <c r="AK35" s="7">
        <v>3179.649</v>
      </c>
      <c r="AL35" s="7">
        <v>4199.378</v>
      </c>
      <c r="AM35" s="7">
        <v>2754.552</v>
      </c>
    </row>
    <row r="36" ht="15.75" customHeight="1">
      <c r="A36" s="7" t="s">
        <v>284</v>
      </c>
      <c r="G36" s="7">
        <v>352.171</v>
      </c>
      <c r="I36" s="7" t="s">
        <v>589</v>
      </c>
      <c r="K36" s="7">
        <v>999.0</v>
      </c>
      <c r="L36" s="7">
        <v>999.0</v>
      </c>
      <c r="Q36" s="7" t="s">
        <v>590</v>
      </c>
      <c r="S36" s="7">
        <v>3750.0</v>
      </c>
    </row>
    <row r="37" ht="15.75" customHeight="1">
      <c r="A37" s="7" t="s">
        <v>597</v>
      </c>
      <c r="B37" s="7">
        <v>0.0</v>
      </c>
      <c r="C37" s="7">
        <v>0.0</v>
      </c>
      <c r="D37" s="7">
        <v>0.0</v>
      </c>
      <c r="E37" s="7">
        <v>0.0</v>
      </c>
      <c r="F37" s="7">
        <v>0.0</v>
      </c>
      <c r="G37" s="7">
        <v>352.171</v>
      </c>
      <c r="I37" s="7" t="s">
        <v>529</v>
      </c>
      <c r="J37" s="7">
        <v>0.0</v>
      </c>
      <c r="K37" s="7">
        <v>29830.0</v>
      </c>
      <c r="L37" s="7">
        <v>32500.0</v>
      </c>
      <c r="M37" s="7">
        <v>0.0</v>
      </c>
      <c r="N37" s="7">
        <v>0.0</v>
      </c>
      <c r="O37" s="7">
        <v>0.0</v>
      </c>
      <c r="Q37" s="7" t="s">
        <v>598</v>
      </c>
      <c r="R37" s="7">
        <v>35.0</v>
      </c>
      <c r="S37" s="7">
        <v>3403.0</v>
      </c>
      <c r="Y37" s="7" t="s">
        <v>245</v>
      </c>
      <c r="Z37" s="29" t="s">
        <v>1014</v>
      </c>
      <c r="AA37" s="29" t="s">
        <v>17</v>
      </c>
      <c r="AB37" s="29" t="s">
        <v>18</v>
      </c>
      <c r="AC37" s="29" t="s">
        <v>19</v>
      </c>
      <c r="AD37" s="29" t="s">
        <v>20</v>
      </c>
      <c r="AE37" s="29" t="s">
        <v>21</v>
      </c>
      <c r="AG37" s="7" t="s">
        <v>245</v>
      </c>
      <c r="AH37" s="29" t="s">
        <v>1014</v>
      </c>
      <c r="AI37" s="29" t="s">
        <v>17</v>
      </c>
      <c r="AJ37" s="29" t="s">
        <v>18</v>
      </c>
      <c r="AK37" s="29" t="s">
        <v>19</v>
      </c>
      <c r="AL37" s="29" t="s">
        <v>20</v>
      </c>
      <c r="AM37" s="29" t="s">
        <v>21</v>
      </c>
    </row>
    <row r="38" ht="15.75" customHeight="1">
      <c r="Q38" s="7" t="s">
        <v>603</v>
      </c>
      <c r="R38" s="7">
        <v>2624.0</v>
      </c>
      <c r="S38" s="7">
        <v>1863.0</v>
      </c>
      <c r="Y38" s="7" t="s">
        <v>604</v>
      </c>
      <c r="AC38" s="7">
        <v>3099.5</v>
      </c>
      <c r="AD38" s="7">
        <v>2798.307</v>
      </c>
      <c r="AG38" s="7" t="s">
        <v>604</v>
      </c>
      <c r="AK38" s="7">
        <v>9594.615</v>
      </c>
      <c r="AL38" s="7">
        <v>9594.615</v>
      </c>
      <c r="AM38" s="7">
        <v>11019.014</v>
      </c>
    </row>
    <row r="39" ht="15.75" customHeight="1">
      <c r="A39" s="7" t="s">
        <v>610</v>
      </c>
      <c r="B39" s="29" t="s">
        <v>1014</v>
      </c>
      <c r="C39" s="29" t="s">
        <v>17</v>
      </c>
      <c r="D39" s="29" t="s">
        <v>18</v>
      </c>
      <c r="E39" s="29" t="s">
        <v>19</v>
      </c>
      <c r="F39" s="29" t="s">
        <v>20</v>
      </c>
      <c r="G39" s="29" t="s">
        <v>21</v>
      </c>
      <c r="I39" s="7" t="s">
        <v>240</v>
      </c>
      <c r="J39" s="29" t="s">
        <v>1014</v>
      </c>
      <c r="K39" s="29" t="s">
        <v>17</v>
      </c>
      <c r="L39" s="29" t="s">
        <v>18</v>
      </c>
      <c r="M39" s="29" t="s">
        <v>19</v>
      </c>
      <c r="N39" s="29" t="s">
        <v>20</v>
      </c>
      <c r="O39" s="29" t="s">
        <v>21</v>
      </c>
      <c r="Q39" s="7" t="s">
        <v>611</v>
      </c>
      <c r="R39" s="7">
        <v>14287.0</v>
      </c>
      <c r="S39" s="7">
        <v>2121.0</v>
      </c>
      <c r="Y39" s="7" t="s">
        <v>612</v>
      </c>
      <c r="Z39" s="7">
        <v>0.0</v>
      </c>
      <c r="AA39" s="7">
        <v>0.0</v>
      </c>
      <c r="AB39" s="7">
        <v>0.0</v>
      </c>
      <c r="AC39" s="7">
        <v>3099.5</v>
      </c>
      <c r="AD39" s="7">
        <v>2798.307</v>
      </c>
      <c r="AE39" s="7">
        <v>0.0</v>
      </c>
      <c r="AG39" s="7" t="s">
        <v>612</v>
      </c>
      <c r="AH39" s="7">
        <v>0.0</v>
      </c>
      <c r="AI39" s="7">
        <v>0.0</v>
      </c>
      <c r="AJ39" s="7">
        <v>0.0</v>
      </c>
      <c r="AK39" s="7">
        <v>9594.615</v>
      </c>
      <c r="AL39" s="7">
        <v>9594.615</v>
      </c>
      <c r="AM39" s="7">
        <v>11019.014</v>
      </c>
    </row>
    <row r="40" ht="15.75" customHeight="1">
      <c r="A40" s="7" t="s">
        <v>610</v>
      </c>
      <c r="C40" s="7">
        <v>40675.406</v>
      </c>
      <c r="D40" s="7">
        <v>29714.975</v>
      </c>
      <c r="E40" s="7">
        <v>33648.575</v>
      </c>
      <c r="F40" s="7">
        <v>21083.726</v>
      </c>
      <c r="I40" s="7" t="s">
        <v>539</v>
      </c>
      <c r="K40" s="7">
        <v>42202.0</v>
      </c>
      <c r="L40" s="7">
        <v>42760.0</v>
      </c>
      <c r="M40" s="7">
        <v>39072.231</v>
      </c>
      <c r="N40" s="7">
        <v>44778.312</v>
      </c>
      <c r="O40" s="7">
        <v>110252.666</v>
      </c>
      <c r="Q40" s="7" t="s">
        <v>618</v>
      </c>
      <c r="T40" s="7">
        <v>5972.802</v>
      </c>
      <c r="U40" s="7">
        <v>11191.979</v>
      </c>
      <c r="V40" s="7">
        <v>12528.005</v>
      </c>
      <c r="W40" s="7">
        <v>13489.001</v>
      </c>
    </row>
    <row r="41" ht="15.75" customHeight="1">
      <c r="A41" s="7" t="s">
        <v>624</v>
      </c>
      <c r="B41" s="7">
        <v>0.0</v>
      </c>
      <c r="C41" s="7">
        <v>40675.406</v>
      </c>
      <c r="D41" s="7">
        <v>29714.975</v>
      </c>
      <c r="E41" s="7">
        <v>33648.575</v>
      </c>
      <c r="F41" s="7">
        <v>21083.726</v>
      </c>
      <c r="G41" s="7">
        <v>0.0</v>
      </c>
      <c r="I41" s="7" t="s">
        <v>544</v>
      </c>
      <c r="J41" s="7">
        <v>0.0</v>
      </c>
      <c r="K41" s="7">
        <v>42202.0</v>
      </c>
      <c r="L41" s="7">
        <v>42760.0</v>
      </c>
      <c r="M41" s="7">
        <v>39072.231</v>
      </c>
      <c r="N41" s="7">
        <v>44778.312</v>
      </c>
      <c r="O41" s="7">
        <v>110252.666</v>
      </c>
      <c r="Q41" s="7" t="s">
        <v>469</v>
      </c>
      <c r="R41" s="7">
        <v>50162.0</v>
      </c>
      <c r="S41" s="7">
        <v>12099.0</v>
      </c>
      <c r="T41" s="7">
        <v>5972.802</v>
      </c>
      <c r="U41" s="7">
        <v>11191.979</v>
      </c>
      <c r="V41" s="7">
        <v>12528.005</v>
      </c>
      <c r="W41" s="7">
        <v>13489.001</v>
      </c>
      <c r="Y41" s="7" t="s">
        <v>249</v>
      </c>
      <c r="Z41" s="29" t="s">
        <v>1014</v>
      </c>
      <c r="AA41" s="29" t="s">
        <v>17</v>
      </c>
      <c r="AB41" s="29" t="s">
        <v>18</v>
      </c>
      <c r="AC41" s="29" t="s">
        <v>19</v>
      </c>
      <c r="AD41" s="29" t="s">
        <v>20</v>
      </c>
      <c r="AE41" s="29" t="s">
        <v>21</v>
      </c>
      <c r="AG41" s="7" t="s">
        <v>625</v>
      </c>
      <c r="AH41" s="29" t="s">
        <v>1014</v>
      </c>
      <c r="AI41" s="29" t="s">
        <v>17</v>
      </c>
      <c r="AJ41" s="29" t="s">
        <v>18</v>
      </c>
      <c r="AK41" s="29" t="s">
        <v>19</v>
      </c>
      <c r="AL41" s="29" t="s">
        <v>20</v>
      </c>
      <c r="AM41" s="29" t="s">
        <v>21</v>
      </c>
    </row>
    <row r="42" ht="15.75" customHeight="1">
      <c r="Y42" s="7" t="s">
        <v>511</v>
      </c>
      <c r="AB42" s="7">
        <v>267.691</v>
      </c>
      <c r="AC42" s="7">
        <v>1287.722</v>
      </c>
      <c r="AD42" s="7">
        <v>1566.337</v>
      </c>
      <c r="AG42" s="7" t="s">
        <v>252</v>
      </c>
      <c r="AK42" s="7">
        <v>213.817</v>
      </c>
      <c r="AL42" s="7">
        <v>213.817</v>
      </c>
    </row>
    <row r="43" ht="15.75" customHeight="1">
      <c r="A43" s="7" t="s">
        <v>281</v>
      </c>
      <c r="B43" s="29" t="s">
        <v>1014</v>
      </c>
      <c r="C43" s="29" t="s">
        <v>17</v>
      </c>
      <c r="D43" s="29" t="s">
        <v>18</v>
      </c>
      <c r="E43" s="29" t="s">
        <v>19</v>
      </c>
      <c r="F43" s="29" t="s">
        <v>20</v>
      </c>
      <c r="G43" s="29" t="s">
        <v>21</v>
      </c>
      <c r="I43" s="7" t="s">
        <v>92</v>
      </c>
      <c r="J43" s="29" t="s">
        <v>1014</v>
      </c>
      <c r="K43" s="29" t="s">
        <v>17</v>
      </c>
      <c r="L43" s="29" t="s">
        <v>18</v>
      </c>
      <c r="M43" s="29" t="s">
        <v>19</v>
      </c>
      <c r="N43" s="29" t="s">
        <v>20</v>
      </c>
      <c r="O43" s="29" t="s">
        <v>21</v>
      </c>
      <c r="Q43" s="7" t="s">
        <v>486</v>
      </c>
      <c r="R43" s="29" t="s">
        <v>1014</v>
      </c>
      <c r="S43" s="29" t="s">
        <v>17</v>
      </c>
      <c r="T43" s="29" t="s">
        <v>18</v>
      </c>
      <c r="U43" s="29" t="s">
        <v>19</v>
      </c>
      <c r="V43" s="29" t="s">
        <v>20</v>
      </c>
      <c r="W43" s="29" t="s">
        <v>21</v>
      </c>
      <c r="Y43" s="7" t="s">
        <v>519</v>
      </c>
      <c r="Z43" s="7">
        <v>0.0</v>
      </c>
      <c r="AA43" s="7">
        <v>0.0</v>
      </c>
      <c r="AB43" s="7">
        <v>267.691</v>
      </c>
      <c r="AC43" s="7">
        <v>1287.722</v>
      </c>
      <c r="AD43" s="7">
        <v>1566.337</v>
      </c>
      <c r="AE43" s="7">
        <v>0.0</v>
      </c>
      <c r="AG43" s="7" t="s">
        <v>241</v>
      </c>
      <c r="AK43" s="7">
        <v>28392.108</v>
      </c>
      <c r="AL43" s="7">
        <v>28763.889</v>
      </c>
      <c r="AM43" s="7">
        <v>33008.888</v>
      </c>
    </row>
    <row r="44" ht="15.75" customHeight="1">
      <c r="A44" s="7" t="s">
        <v>639</v>
      </c>
      <c r="E44" s="7">
        <v>682.065</v>
      </c>
      <c r="F44" s="7">
        <v>81.696</v>
      </c>
      <c r="I44" s="7" t="s">
        <v>561</v>
      </c>
      <c r="K44" s="7">
        <v>60923.0</v>
      </c>
      <c r="L44" s="7">
        <v>48736.0</v>
      </c>
      <c r="Q44" s="7" t="s">
        <v>640</v>
      </c>
      <c r="R44" s="7">
        <v>4973.0</v>
      </c>
      <c r="S44" s="7">
        <v>4499.0</v>
      </c>
      <c r="W44" s="7">
        <v>7840.422</v>
      </c>
      <c r="AG44" s="7" t="s">
        <v>242</v>
      </c>
      <c r="AK44" s="7">
        <v>926.367</v>
      </c>
      <c r="AL44" s="7">
        <v>926.367</v>
      </c>
    </row>
    <row r="45" ht="15.75" customHeight="1">
      <c r="A45" s="7" t="s">
        <v>281</v>
      </c>
      <c r="C45" s="7">
        <v>117.53</v>
      </c>
      <c r="D45" s="7">
        <v>426.734</v>
      </c>
      <c r="E45" s="7">
        <v>3741.719</v>
      </c>
      <c r="F45" s="7">
        <v>9367.026</v>
      </c>
      <c r="G45" s="7">
        <v>11321.268</v>
      </c>
      <c r="I45" s="7" t="s">
        <v>646</v>
      </c>
      <c r="K45" s="7">
        <v>7327.0</v>
      </c>
      <c r="L45" s="7">
        <v>7078.0</v>
      </c>
      <c r="Q45" s="7" t="s">
        <v>496</v>
      </c>
      <c r="R45" s="7">
        <v>4973.0</v>
      </c>
      <c r="S45" s="7">
        <v>4499.0</v>
      </c>
      <c r="T45" s="7">
        <v>0.0</v>
      </c>
      <c r="U45" s="7">
        <v>0.0</v>
      </c>
      <c r="V45" s="7">
        <v>0.0</v>
      </c>
      <c r="W45" s="7">
        <v>7840.422</v>
      </c>
      <c r="Y45" s="7" t="s">
        <v>263</v>
      </c>
      <c r="Z45" s="29" t="s">
        <v>1014</v>
      </c>
      <c r="AA45" s="29" t="s">
        <v>17</v>
      </c>
      <c r="AB45" s="29" t="s">
        <v>18</v>
      </c>
      <c r="AC45" s="29" t="s">
        <v>19</v>
      </c>
      <c r="AD45" s="29" t="s">
        <v>20</v>
      </c>
      <c r="AE45" s="29" t="s">
        <v>21</v>
      </c>
      <c r="AG45" s="7" t="s">
        <v>243</v>
      </c>
      <c r="AK45" s="7">
        <v>218.121</v>
      </c>
      <c r="AL45" s="7">
        <v>262.07</v>
      </c>
    </row>
    <row r="46" ht="15.75" customHeight="1">
      <c r="A46" s="7" t="s">
        <v>651</v>
      </c>
      <c r="B46" s="7">
        <v>0.0</v>
      </c>
      <c r="C46" s="7">
        <v>117.53</v>
      </c>
      <c r="D46" s="7">
        <v>426.734</v>
      </c>
      <c r="E46" s="7">
        <v>4423.784</v>
      </c>
      <c r="F46" s="7">
        <v>9448.722</v>
      </c>
      <c r="G46" s="7">
        <v>11321.268</v>
      </c>
      <c r="I46" s="7" t="s">
        <v>652</v>
      </c>
      <c r="K46" s="7">
        <v>11745.0</v>
      </c>
      <c r="L46" s="7">
        <v>11166.0</v>
      </c>
      <c r="Y46" s="7" t="s">
        <v>263</v>
      </c>
      <c r="AB46" s="7">
        <v>947.235</v>
      </c>
      <c r="AC46" s="7">
        <v>2322.586</v>
      </c>
      <c r="AD46" s="7">
        <v>3694.445</v>
      </c>
      <c r="AG46" s="7" t="s">
        <v>244</v>
      </c>
      <c r="AK46" s="7">
        <v>535.786</v>
      </c>
      <c r="AL46" s="7">
        <v>645.345</v>
      </c>
    </row>
    <row r="47" ht="15.75" customHeight="1">
      <c r="I47" s="7" t="s">
        <v>577</v>
      </c>
      <c r="K47" s="7">
        <v>4914.0</v>
      </c>
      <c r="L47" s="7">
        <v>3510.0</v>
      </c>
      <c r="Q47" s="7" t="s">
        <v>237</v>
      </c>
      <c r="R47" s="29" t="s">
        <v>1014</v>
      </c>
      <c r="S47" s="29" t="s">
        <v>17</v>
      </c>
      <c r="T47" s="29" t="s">
        <v>18</v>
      </c>
      <c r="U47" s="29" t="s">
        <v>19</v>
      </c>
      <c r="V47" s="29" t="s">
        <v>20</v>
      </c>
      <c r="W47" s="29" t="s">
        <v>21</v>
      </c>
      <c r="Y47" s="7" t="s">
        <v>658</v>
      </c>
      <c r="Z47" s="7">
        <v>0.0</v>
      </c>
      <c r="AA47" s="7">
        <v>0.0</v>
      </c>
      <c r="AB47" s="7">
        <v>947.235</v>
      </c>
      <c r="AC47" s="7">
        <v>2322.586</v>
      </c>
      <c r="AD47" s="7">
        <v>3694.445</v>
      </c>
      <c r="AE47" s="7">
        <v>0.0</v>
      </c>
      <c r="AG47" s="7" t="s">
        <v>248</v>
      </c>
      <c r="AK47" s="7">
        <v>114.586</v>
      </c>
      <c r="AL47" s="7">
        <v>144.359</v>
      </c>
    </row>
    <row r="48" ht="15.75" customHeight="1">
      <c r="A48" s="7" t="s">
        <v>663</v>
      </c>
      <c r="B48" s="29" t="s">
        <v>1014</v>
      </c>
      <c r="C48" s="29" t="s">
        <v>17</v>
      </c>
      <c r="D48" s="29" t="s">
        <v>18</v>
      </c>
      <c r="E48" s="29" t="s">
        <v>19</v>
      </c>
      <c r="F48" s="29" t="s">
        <v>20</v>
      </c>
      <c r="G48" s="29" t="s">
        <v>21</v>
      </c>
      <c r="I48" s="7" t="s">
        <v>664</v>
      </c>
      <c r="K48" s="7">
        <v>-3407.0</v>
      </c>
      <c r="L48" s="7">
        <v>-1479.0</v>
      </c>
      <c r="Q48" s="7" t="s">
        <v>240</v>
      </c>
      <c r="R48" s="7">
        <v>9020.0</v>
      </c>
      <c r="S48" s="7">
        <v>10010.0</v>
      </c>
      <c r="T48" s="7">
        <v>6074.48</v>
      </c>
      <c r="U48" s="7">
        <v>7179.542</v>
      </c>
      <c r="V48" s="7">
        <v>8529.582</v>
      </c>
      <c r="W48" s="7">
        <v>10283.608</v>
      </c>
      <c r="AG48" s="7" t="s">
        <v>260</v>
      </c>
      <c r="AH48" s="7">
        <v>0.0</v>
      </c>
      <c r="AK48" s="7">
        <v>-18449.081</v>
      </c>
      <c r="AL48" s="7">
        <v>-20298.672</v>
      </c>
      <c r="AM48" s="7">
        <v>-22202.915</v>
      </c>
    </row>
    <row r="49" ht="15.75" customHeight="1">
      <c r="A49" s="7" t="s">
        <v>663</v>
      </c>
      <c r="E49" s="7">
        <v>3227.955</v>
      </c>
      <c r="F49" s="7">
        <v>3844.663</v>
      </c>
      <c r="I49" s="7" t="s">
        <v>670</v>
      </c>
      <c r="K49" s="7">
        <v>538.0</v>
      </c>
      <c r="L49" s="7">
        <v>538.0</v>
      </c>
      <c r="Q49" s="7" t="s">
        <v>529</v>
      </c>
      <c r="R49" s="7">
        <v>17787.0</v>
      </c>
      <c r="S49" s="7">
        <v>108635.0</v>
      </c>
      <c r="T49" s="7">
        <v>6074.48</v>
      </c>
      <c r="U49" s="7">
        <v>7179.542</v>
      </c>
      <c r="V49" s="7">
        <v>8529.582</v>
      </c>
      <c r="W49" s="7">
        <v>10283.608</v>
      </c>
      <c r="Y49" s="7" t="s">
        <v>257</v>
      </c>
      <c r="Z49" s="29" t="s">
        <v>1014</v>
      </c>
      <c r="AA49" s="29" t="s">
        <v>17</v>
      </c>
      <c r="AB49" s="29" t="s">
        <v>18</v>
      </c>
      <c r="AC49" s="29" t="s">
        <v>19</v>
      </c>
      <c r="AD49" s="29" t="s">
        <v>20</v>
      </c>
      <c r="AE49" s="29" t="s">
        <v>21</v>
      </c>
      <c r="AG49" s="7" t="s">
        <v>671</v>
      </c>
      <c r="AH49" s="7">
        <v>0.0</v>
      </c>
      <c r="AI49" s="7">
        <v>0.0</v>
      </c>
      <c r="AJ49" s="7">
        <v>0.0</v>
      </c>
      <c r="AK49" s="7">
        <v>11951.704</v>
      </c>
      <c r="AL49" s="7">
        <v>10657.175</v>
      </c>
      <c r="AM49" s="7">
        <v>10805.973</v>
      </c>
    </row>
    <row r="50" ht="15.75" customHeight="1">
      <c r="A50" s="7" t="s">
        <v>677</v>
      </c>
      <c r="B50" s="7">
        <v>0.0</v>
      </c>
      <c r="C50" s="7">
        <v>0.0</v>
      </c>
      <c r="D50" s="7">
        <v>0.0</v>
      </c>
      <c r="E50" s="7">
        <v>3227.955</v>
      </c>
      <c r="F50" s="7">
        <v>3844.663</v>
      </c>
      <c r="G50" s="7">
        <v>0.0</v>
      </c>
      <c r="I50" s="7" t="s">
        <v>92</v>
      </c>
      <c r="M50" s="7">
        <v>58821.594</v>
      </c>
      <c r="N50" s="7">
        <v>60654.179</v>
      </c>
      <c r="O50" s="7">
        <v>152555.974</v>
      </c>
      <c r="Y50" s="7" t="s">
        <v>257</v>
      </c>
      <c r="AE50" s="7">
        <v>71.945</v>
      </c>
    </row>
    <row r="51" ht="15.75" customHeight="1">
      <c r="I51" s="7" t="s">
        <v>571</v>
      </c>
      <c r="J51" s="7">
        <v>0.0</v>
      </c>
      <c r="K51" s="7">
        <v>82040.0</v>
      </c>
      <c r="L51" s="7">
        <v>69549.0</v>
      </c>
      <c r="M51" s="7">
        <v>58821.594</v>
      </c>
      <c r="N51" s="7">
        <v>60654.179</v>
      </c>
      <c r="O51" s="7">
        <v>152555.974</v>
      </c>
      <c r="Q51" s="7" t="s">
        <v>92</v>
      </c>
      <c r="R51" s="29" t="s">
        <v>1014</v>
      </c>
      <c r="S51" s="29" t="s">
        <v>17</v>
      </c>
      <c r="T51" s="29" t="s">
        <v>18</v>
      </c>
      <c r="U51" s="29" t="s">
        <v>19</v>
      </c>
      <c r="V51" s="29" t="s">
        <v>20</v>
      </c>
      <c r="W51" s="29" t="s">
        <v>21</v>
      </c>
      <c r="Y51" s="7" t="s">
        <v>535</v>
      </c>
      <c r="Z51" s="7">
        <v>0.0</v>
      </c>
      <c r="AA51" s="7">
        <v>0.0</v>
      </c>
      <c r="AB51" s="7">
        <v>0.0</v>
      </c>
      <c r="AC51" s="7">
        <v>0.0</v>
      </c>
      <c r="AD51" s="7">
        <v>0.0</v>
      </c>
      <c r="AE51" s="7">
        <v>71.945</v>
      </c>
      <c r="AG51" s="7" t="s">
        <v>270</v>
      </c>
      <c r="AH51" s="29" t="s">
        <v>1014</v>
      </c>
      <c r="AI51" s="29" t="s">
        <v>17</v>
      </c>
      <c r="AJ51" s="29" t="s">
        <v>18</v>
      </c>
      <c r="AK51" s="29" t="s">
        <v>19</v>
      </c>
      <c r="AL51" s="29" t="s">
        <v>20</v>
      </c>
      <c r="AM51" s="29" t="s">
        <v>21</v>
      </c>
    </row>
    <row r="52" ht="15.75" customHeight="1">
      <c r="A52" s="7" t="s">
        <v>687</v>
      </c>
      <c r="B52" s="29" t="s">
        <v>1014</v>
      </c>
      <c r="C52" s="29" t="s">
        <v>17</v>
      </c>
      <c r="D52" s="29" t="s">
        <v>18</v>
      </c>
      <c r="E52" s="29" t="s">
        <v>19</v>
      </c>
      <c r="F52" s="29" t="s">
        <v>20</v>
      </c>
      <c r="G52" s="29" t="s">
        <v>21</v>
      </c>
      <c r="Q52" s="7" t="s">
        <v>688</v>
      </c>
      <c r="R52" s="7">
        <v>12482.0</v>
      </c>
      <c r="S52" s="7">
        <v>11000.0</v>
      </c>
      <c r="T52" s="7">
        <v>9027.959</v>
      </c>
      <c r="U52" s="7">
        <v>9936.311</v>
      </c>
      <c r="V52" s="7">
        <v>11853.918</v>
      </c>
      <c r="W52" s="7">
        <v>20667.477</v>
      </c>
      <c r="AG52" s="7" t="s">
        <v>270</v>
      </c>
      <c r="AK52" s="7">
        <v>11319.385</v>
      </c>
      <c r="AL52" s="7">
        <v>20216.327</v>
      </c>
      <c r="AM52" s="7">
        <v>14995.304</v>
      </c>
    </row>
    <row r="53" ht="15.75" customHeight="1">
      <c r="A53" s="7" t="s">
        <v>663</v>
      </c>
      <c r="C53" s="7">
        <v>10181.019</v>
      </c>
      <c r="D53" s="7">
        <v>16090.981</v>
      </c>
      <c r="E53" s="7">
        <v>6822.458</v>
      </c>
      <c r="F53" s="7">
        <v>18468.018</v>
      </c>
      <c r="G53" s="7">
        <v>21738.022</v>
      </c>
      <c r="I53" s="7" t="s">
        <v>245</v>
      </c>
      <c r="J53" s="29" t="s">
        <v>1014</v>
      </c>
      <c r="K53" s="29" t="s">
        <v>17</v>
      </c>
      <c r="L53" s="29" t="s">
        <v>18</v>
      </c>
      <c r="M53" s="29" t="s">
        <v>19</v>
      </c>
      <c r="N53" s="29" t="s">
        <v>20</v>
      </c>
      <c r="O53" s="29" t="s">
        <v>21</v>
      </c>
      <c r="Q53" s="7" t="s">
        <v>571</v>
      </c>
      <c r="R53" s="7">
        <v>8623.0</v>
      </c>
      <c r="S53" s="7">
        <v>5924.0</v>
      </c>
      <c r="T53" s="7">
        <v>9027.959</v>
      </c>
      <c r="U53" s="7">
        <v>9936.311</v>
      </c>
      <c r="V53" s="7">
        <v>11853.918</v>
      </c>
      <c r="W53" s="7">
        <v>20667.477</v>
      </c>
      <c r="Y53" s="7" t="s">
        <v>625</v>
      </c>
      <c r="Z53" s="29" t="s">
        <v>1014</v>
      </c>
      <c r="AA53" s="29" t="s">
        <v>17</v>
      </c>
      <c r="AB53" s="29" t="s">
        <v>18</v>
      </c>
      <c r="AC53" s="29" t="s">
        <v>19</v>
      </c>
      <c r="AD53" s="29" t="s">
        <v>20</v>
      </c>
      <c r="AE53" s="29" t="s">
        <v>21</v>
      </c>
      <c r="AG53" s="7" t="s">
        <v>555</v>
      </c>
      <c r="AH53" s="7">
        <v>0.0</v>
      </c>
      <c r="AI53" s="7">
        <v>0.0</v>
      </c>
      <c r="AJ53" s="7">
        <v>0.0</v>
      </c>
      <c r="AK53" s="7">
        <v>11319.385</v>
      </c>
      <c r="AL53" s="7">
        <v>20216.327</v>
      </c>
      <c r="AM53" s="7">
        <v>14995.304</v>
      </c>
    </row>
    <row r="54" ht="15.75" customHeight="1">
      <c r="A54" s="7" t="s">
        <v>696</v>
      </c>
      <c r="B54" s="7">
        <v>0.0</v>
      </c>
      <c r="C54" s="7">
        <v>10181.019</v>
      </c>
      <c r="D54" s="7">
        <v>16090.981</v>
      </c>
      <c r="E54" s="7">
        <v>6822.458</v>
      </c>
      <c r="F54" s="7">
        <v>18468.018</v>
      </c>
      <c r="G54" s="7">
        <v>21738.022</v>
      </c>
      <c r="I54" s="7" t="s">
        <v>604</v>
      </c>
      <c r="K54" s="7">
        <v>30848.0</v>
      </c>
      <c r="L54" s="7">
        <v>30427.0</v>
      </c>
      <c r="Y54" s="7" t="s">
        <v>254</v>
      </c>
      <c r="AC54" s="7">
        <v>1689.486</v>
      </c>
      <c r="AD54" s="7">
        <v>2505.577</v>
      </c>
    </row>
    <row r="55" ht="15.75" customHeight="1">
      <c r="I55" s="7" t="s">
        <v>699</v>
      </c>
      <c r="M55" s="7">
        <v>22300.368</v>
      </c>
      <c r="N55" s="7">
        <v>34945.174</v>
      </c>
      <c r="Q55" s="7" t="s">
        <v>245</v>
      </c>
      <c r="R55" s="29" t="s">
        <v>1014</v>
      </c>
      <c r="S55" s="29" t="s">
        <v>17</v>
      </c>
      <c r="T55" s="29" t="s">
        <v>18</v>
      </c>
      <c r="U55" s="29" t="s">
        <v>19</v>
      </c>
      <c r="V55" s="29" t="s">
        <v>20</v>
      </c>
      <c r="W55" s="29" t="s">
        <v>21</v>
      </c>
      <c r="Y55" s="7" t="s">
        <v>241</v>
      </c>
      <c r="AC55" s="7">
        <v>945.096</v>
      </c>
      <c r="AD55" s="7">
        <v>683.986</v>
      </c>
      <c r="AG55" s="7" t="s">
        <v>249</v>
      </c>
      <c r="AH55" s="29" t="s">
        <v>1014</v>
      </c>
      <c r="AI55" s="29" t="s">
        <v>17</v>
      </c>
      <c r="AJ55" s="29" t="s">
        <v>18</v>
      </c>
      <c r="AK55" s="29" t="s">
        <v>19</v>
      </c>
      <c r="AL55" s="29" t="s">
        <v>20</v>
      </c>
      <c r="AM55" s="29" t="s">
        <v>21</v>
      </c>
    </row>
    <row r="56" ht="15.75" customHeight="1">
      <c r="A56" s="7" t="s">
        <v>326</v>
      </c>
      <c r="B56" s="29" t="s">
        <v>1014</v>
      </c>
      <c r="C56" s="29" t="s">
        <v>17</v>
      </c>
      <c r="D56" s="29" t="s">
        <v>18</v>
      </c>
      <c r="E56" s="29" t="s">
        <v>19</v>
      </c>
      <c r="F56" s="29" t="s">
        <v>20</v>
      </c>
      <c r="G56" s="29" t="s">
        <v>21</v>
      </c>
      <c r="I56" s="7" t="s">
        <v>612</v>
      </c>
      <c r="J56" s="7">
        <v>0.0</v>
      </c>
      <c r="K56" s="7">
        <v>30848.0</v>
      </c>
      <c r="L56" s="7">
        <v>30427.0</v>
      </c>
      <c r="M56" s="7">
        <v>22300.368</v>
      </c>
      <c r="N56" s="7">
        <v>34945.174</v>
      </c>
      <c r="O56" s="7">
        <v>0.0</v>
      </c>
      <c r="Q56" s="7" t="s">
        <v>699</v>
      </c>
      <c r="R56" s="7">
        <v>2664.0</v>
      </c>
      <c r="S56" s="7">
        <v>2545.0</v>
      </c>
      <c r="T56" s="7">
        <v>2433.912</v>
      </c>
      <c r="U56" s="7">
        <v>2840.836</v>
      </c>
      <c r="V56" s="7">
        <v>4465.012</v>
      </c>
      <c r="Y56" s="7" t="s">
        <v>243</v>
      </c>
      <c r="AC56" s="7">
        <v>20.875</v>
      </c>
      <c r="AD56" s="7">
        <v>15.342</v>
      </c>
      <c r="AG56" s="7" t="s">
        <v>249</v>
      </c>
      <c r="AM56" s="7">
        <v>165.382</v>
      </c>
    </row>
    <row r="57" ht="15.75" customHeight="1">
      <c r="A57" s="7" t="s">
        <v>326</v>
      </c>
      <c r="D57" s="7">
        <v>40.0</v>
      </c>
      <c r="Q57" s="7" t="s">
        <v>612</v>
      </c>
      <c r="R57" s="7">
        <v>5631.0</v>
      </c>
      <c r="S57" s="7">
        <v>7037.0</v>
      </c>
      <c r="T57" s="7">
        <v>2433.912</v>
      </c>
      <c r="U57" s="7">
        <v>2840.836</v>
      </c>
      <c r="V57" s="7">
        <v>4465.012</v>
      </c>
      <c r="W57" s="7">
        <v>0.0</v>
      </c>
      <c r="Y57" s="7" t="s">
        <v>244</v>
      </c>
      <c r="AC57" s="7">
        <v>5.576</v>
      </c>
      <c r="AD57" s="7">
        <v>3.417</v>
      </c>
      <c r="AG57" s="7" t="s">
        <v>519</v>
      </c>
      <c r="AH57" s="7">
        <v>0.0</v>
      </c>
      <c r="AI57" s="7">
        <v>0.0</v>
      </c>
      <c r="AJ57" s="7">
        <v>0.0</v>
      </c>
      <c r="AK57" s="7">
        <v>0.0</v>
      </c>
      <c r="AL57" s="7">
        <v>0.0</v>
      </c>
      <c r="AM57" s="7">
        <v>165.382</v>
      </c>
    </row>
    <row r="58" ht="15.75" customHeight="1">
      <c r="A58" s="7" t="s">
        <v>706</v>
      </c>
      <c r="B58" s="7">
        <v>0.0</v>
      </c>
      <c r="C58" s="7">
        <v>0.0</v>
      </c>
      <c r="D58" s="7">
        <v>40.0</v>
      </c>
      <c r="E58" s="7">
        <v>0.0</v>
      </c>
      <c r="F58" s="7">
        <v>0.0</v>
      </c>
      <c r="G58" s="7">
        <v>0.0</v>
      </c>
      <c r="I58" s="7" t="s">
        <v>249</v>
      </c>
      <c r="J58" s="29" t="s">
        <v>1014</v>
      </c>
      <c r="K58" s="29" t="s">
        <v>17</v>
      </c>
      <c r="L58" s="29" t="s">
        <v>18</v>
      </c>
      <c r="M58" s="29" t="s">
        <v>19</v>
      </c>
      <c r="N58" s="29" t="s">
        <v>20</v>
      </c>
      <c r="O58" s="29" t="s">
        <v>21</v>
      </c>
      <c r="Y58" s="7" t="s">
        <v>248</v>
      </c>
      <c r="AB58" s="7">
        <v>45079.636</v>
      </c>
      <c r="AE58" s="7">
        <v>5083.783</v>
      </c>
    </row>
    <row r="59" ht="15.75" customHeight="1">
      <c r="I59" s="7" t="s">
        <v>710</v>
      </c>
      <c r="K59" s="7">
        <v>2613.0</v>
      </c>
      <c r="L59" s="7">
        <v>9931.0</v>
      </c>
      <c r="Q59" s="7" t="s">
        <v>711</v>
      </c>
      <c r="R59" s="29" t="s">
        <v>1014</v>
      </c>
      <c r="S59" s="29" t="s">
        <v>17</v>
      </c>
      <c r="T59" s="29" t="s">
        <v>18</v>
      </c>
      <c r="U59" s="29" t="s">
        <v>19</v>
      </c>
      <c r="V59" s="29" t="s">
        <v>20</v>
      </c>
      <c r="W59" s="29" t="s">
        <v>21</v>
      </c>
      <c r="Y59" s="7" t="s">
        <v>260</v>
      </c>
      <c r="Z59" s="7">
        <v>0.0</v>
      </c>
      <c r="AG59" s="7" t="s">
        <v>284</v>
      </c>
      <c r="AH59" s="29" t="s">
        <v>1014</v>
      </c>
      <c r="AI59" s="29" t="s">
        <v>17</v>
      </c>
      <c r="AJ59" s="29" t="s">
        <v>18</v>
      </c>
      <c r="AK59" s="29" t="s">
        <v>19</v>
      </c>
      <c r="AL59" s="29" t="s">
        <v>20</v>
      </c>
      <c r="AM59" s="29" t="s">
        <v>21</v>
      </c>
    </row>
    <row r="60" ht="15.75" customHeight="1">
      <c r="A60" s="7" t="s">
        <v>715</v>
      </c>
      <c r="B60" s="29" t="s">
        <v>1014</v>
      </c>
      <c r="C60" s="29" t="s">
        <v>17</v>
      </c>
      <c r="D60" s="29" t="s">
        <v>18</v>
      </c>
      <c r="E60" s="29" t="s">
        <v>19</v>
      </c>
      <c r="F60" s="29" t="s">
        <v>20</v>
      </c>
      <c r="G60" s="29" t="s">
        <v>21</v>
      </c>
      <c r="I60" s="7" t="s">
        <v>716</v>
      </c>
      <c r="K60" s="7">
        <v>1523.0</v>
      </c>
      <c r="L60" s="7">
        <v>1266.0</v>
      </c>
      <c r="Q60" s="7" t="s">
        <v>246</v>
      </c>
      <c r="T60" s="7">
        <v>3140.73</v>
      </c>
      <c r="U60" s="7">
        <v>4404.015</v>
      </c>
      <c r="V60" s="7">
        <v>8225.29</v>
      </c>
      <c r="Y60" s="7" t="s">
        <v>671</v>
      </c>
      <c r="Z60" s="7">
        <v>0.0</v>
      </c>
      <c r="AA60" s="7">
        <v>0.0</v>
      </c>
      <c r="AB60" s="7">
        <v>45079.636</v>
      </c>
      <c r="AC60" s="7">
        <v>2661.033</v>
      </c>
      <c r="AD60" s="7">
        <v>3208.322</v>
      </c>
      <c r="AE60" s="7">
        <v>5083.783</v>
      </c>
      <c r="AG60" s="7" t="s">
        <v>717</v>
      </c>
      <c r="AK60" s="7">
        <v>9493.161</v>
      </c>
      <c r="AL60" s="7">
        <v>8845.636</v>
      </c>
      <c r="AM60" s="7">
        <v>6171.487</v>
      </c>
    </row>
    <row r="61" ht="15.75" customHeight="1">
      <c r="A61" s="7" t="s">
        <v>332</v>
      </c>
      <c r="C61" s="7">
        <v>0.2</v>
      </c>
      <c r="D61" s="7">
        <v>0.2</v>
      </c>
      <c r="E61" s="7">
        <v>0.2</v>
      </c>
      <c r="F61" s="7">
        <v>0.2</v>
      </c>
      <c r="G61" s="7">
        <v>0.2</v>
      </c>
      <c r="I61" s="7" t="s">
        <v>512</v>
      </c>
      <c r="K61" s="7">
        <v>2.0</v>
      </c>
      <c r="L61" s="7">
        <v>274.0</v>
      </c>
      <c r="Q61" s="7" t="s">
        <v>721</v>
      </c>
      <c r="R61" s="7">
        <v>0.0</v>
      </c>
      <c r="S61" s="7">
        <v>0.0</v>
      </c>
      <c r="T61" s="7">
        <v>3140.73</v>
      </c>
      <c r="U61" s="7">
        <v>4404.015</v>
      </c>
      <c r="V61" s="7">
        <v>8225.29</v>
      </c>
      <c r="W61" s="7">
        <v>0.0</v>
      </c>
      <c r="AG61" s="7" t="s">
        <v>722</v>
      </c>
      <c r="AM61" s="7">
        <v>5608.684</v>
      </c>
    </row>
    <row r="62" ht="15.75" customHeight="1">
      <c r="A62" s="7" t="s">
        <v>337</v>
      </c>
      <c r="C62" s="7">
        <v>14324.555</v>
      </c>
      <c r="D62" s="7">
        <v>17218.238</v>
      </c>
      <c r="E62" s="7">
        <v>22452.714</v>
      </c>
      <c r="F62" s="7">
        <v>28672.218</v>
      </c>
      <c r="G62" s="7">
        <v>35115.24</v>
      </c>
      <c r="I62" s="7" t="s">
        <v>519</v>
      </c>
      <c r="J62" s="7">
        <v>0.0</v>
      </c>
      <c r="K62" s="7">
        <v>4138.0</v>
      </c>
      <c r="L62" s="7">
        <v>11471.0</v>
      </c>
      <c r="M62" s="7">
        <v>0.0</v>
      </c>
      <c r="N62" s="7">
        <v>0.0</v>
      </c>
      <c r="O62" s="7">
        <v>0.0</v>
      </c>
      <c r="Y62" s="7" t="s">
        <v>275</v>
      </c>
      <c r="Z62" s="29" t="s">
        <v>1014</v>
      </c>
      <c r="AA62" s="29" t="s">
        <v>17</v>
      </c>
      <c r="AB62" s="29" t="s">
        <v>18</v>
      </c>
      <c r="AC62" s="29" t="s">
        <v>19</v>
      </c>
      <c r="AD62" s="29" t="s">
        <v>20</v>
      </c>
      <c r="AE62" s="29" t="s">
        <v>21</v>
      </c>
      <c r="AG62" s="7" t="s">
        <v>597</v>
      </c>
      <c r="AH62" s="7">
        <v>0.0</v>
      </c>
      <c r="AI62" s="7">
        <v>0.0</v>
      </c>
      <c r="AJ62" s="7">
        <v>0.0</v>
      </c>
      <c r="AK62" s="7">
        <v>9493.161</v>
      </c>
      <c r="AL62" s="7">
        <v>8845.636</v>
      </c>
      <c r="AM62" s="7">
        <v>11780.171</v>
      </c>
    </row>
    <row r="63" ht="15.75" customHeight="1">
      <c r="A63" s="7" t="s">
        <v>728</v>
      </c>
      <c r="G63" s="7">
        <v>3790.436</v>
      </c>
      <c r="Q63" s="7" t="s">
        <v>625</v>
      </c>
      <c r="R63" s="29" t="s">
        <v>1014</v>
      </c>
      <c r="S63" s="29" t="s">
        <v>17</v>
      </c>
      <c r="T63" s="29" t="s">
        <v>18</v>
      </c>
      <c r="U63" s="29" t="s">
        <v>19</v>
      </c>
      <c r="V63" s="29" t="s">
        <v>20</v>
      </c>
      <c r="W63" s="29" t="s">
        <v>21</v>
      </c>
      <c r="Y63" s="7" t="s">
        <v>729</v>
      </c>
      <c r="Z63" s="7">
        <v>0.0</v>
      </c>
      <c r="AA63" s="7">
        <v>0.0</v>
      </c>
      <c r="AB63" s="7">
        <v>0.0</v>
      </c>
      <c r="AC63" s="7">
        <v>0.0</v>
      </c>
      <c r="AD63" s="7">
        <v>0.0</v>
      </c>
      <c r="AE63" s="7">
        <v>0.0</v>
      </c>
    </row>
    <row r="64" ht="15.75" customHeight="1">
      <c r="A64" s="7" t="s">
        <v>733</v>
      </c>
      <c r="B64" s="7">
        <v>0.0</v>
      </c>
      <c r="C64" s="7">
        <v>14324.755</v>
      </c>
      <c r="D64" s="7">
        <v>17218.438</v>
      </c>
      <c r="E64" s="7">
        <v>22452.914</v>
      </c>
      <c r="F64" s="7">
        <v>28672.418</v>
      </c>
      <c r="G64" s="7">
        <v>38905.876</v>
      </c>
      <c r="I64" s="7" t="s">
        <v>257</v>
      </c>
      <c r="J64" s="29" t="s">
        <v>1014</v>
      </c>
      <c r="K64" s="29" t="s">
        <v>17</v>
      </c>
      <c r="L64" s="29" t="s">
        <v>18</v>
      </c>
      <c r="M64" s="29" t="s">
        <v>19</v>
      </c>
      <c r="N64" s="29" t="s">
        <v>20</v>
      </c>
      <c r="O64" s="29" t="s">
        <v>21</v>
      </c>
      <c r="Q64" s="7" t="s">
        <v>269</v>
      </c>
      <c r="R64" s="7">
        <v>11063.0</v>
      </c>
      <c r="S64" s="7">
        <v>10925.0</v>
      </c>
      <c r="T64" s="7">
        <v>26300.778</v>
      </c>
      <c r="U64" s="7">
        <v>23715.271</v>
      </c>
      <c r="V64" s="7">
        <v>28567.047</v>
      </c>
      <c r="W64" s="7">
        <v>29221.778</v>
      </c>
      <c r="AG64" s="7" t="s">
        <v>281</v>
      </c>
      <c r="AH64" s="29" t="s">
        <v>1014</v>
      </c>
      <c r="AI64" s="29" t="s">
        <v>17</v>
      </c>
      <c r="AJ64" s="29" t="s">
        <v>18</v>
      </c>
      <c r="AK64" s="29" t="s">
        <v>19</v>
      </c>
      <c r="AL64" s="29" t="s">
        <v>20</v>
      </c>
      <c r="AM64" s="29" t="s">
        <v>21</v>
      </c>
    </row>
    <row r="65" ht="15.75" customHeight="1">
      <c r="I65" s="7" t="s">
        <v>257</v>
      </c>
      <c r="M65" s="7">
        <v>10409.053</v>
      </c>
      <c r="N65" s="7">
        <v>24411.839</v>
      </c>
      <c r="O65" s="7">
        <v>29587.734</v>
      </c>
      <c r="Q65" s="7" t="s">
        <v>736</v>
      </c>
      <c r="R65" s="7">
        <v>0.0</v>
      </c>
      <c r="S65" s="7">
        <v>0.0</v>
      </c>
      <c r="T65" s="7">
        <v>0.0</v>
      </c>
      <c r="U65" s="7">
        <v>0.0</v>
      </c>
      <c r="V65" s="7">
        <v>0.0</v>
      </c>
      <c r="W65" s="7">
        <v>0.0</v>
      </c>
      <c r="Y65" s="7" t="s">
        <v>270</v>
      </c>
      <c r="Z65" s="29" t="s">
        <v>1014</v>
      </c>
      <c r="AA65" s="29" t="s">
        <v>17</v>
      </c>
      <c r="AB65" s="29" t="s">
        <v>18</v>
      </c>
      <c r="AC65" s="29" t="s">
        <v>19</v>
      </c>
      <c r="AD65" s="29" t="s">
        <v>20</v>
      </c>
      <c r="AE65" s="29" t="s">
        <v>21</v>
      </c>
      <c r="AG65" s="7" t="s">
        <v>737</v>
      </c>
      <c r="AM65" s="7">
        <v>79.107</v>
      </c>
    </row>
    <row r="66" ht="15.75" customHeight="1">
      <c r="A66" s="7" t="s">
        <v>347</v>
      </c>
      <c r="B66" s="29" t="s">
        <v>1014</v>
      </c>
      <c r="C66" s="29" t="s">
        <v>17</v>
      </c>
      <c r="D66" s="29" t="s">
        <v>18</v>
      </c>
      <c r="E66" s="29" t="s">
        <v>19</v>
      </c>
      <c r="F66" s="29" t="s">
        <v>20</v>
      </c>
      <c r="G66" s="29" t="s">
        <v>21</v>
      </c>
      <c r="I66" s="7" t="s">
        <v>535</v>
      </c>
      <c r="J66" s="7">
        <v>0.0</v>
      </c>
      <c r="K66" s="7">
        <v>0.0</v>
      </c>
      <c r="L66" s="7">
        <v>0.0</v>
      </c>
      <c r="M66" s="7">
        <v>10409.053</v>
      </c>
      <c r="N66" s="7">
        <v>24411.839</v>
      </c>
      <c r="O66" s="7">
        <v>29587.734</v>
      </c>
      <c r="Q66" s="7" t="s">
        <v>671</v>
      </c>
      <c r="R66" s="7">
        <v>23422.0</v>
      </c>
      <c r="S66" s="7">
        <v>25948.0</v>
      </c>
      <c r="T66" s="7">
        <v>26300.778</v>
      </c>
      <c r="U66" s="7">
        <v>23715.271</v>
      </c>
      <c r="V66" s="7">
        <v>28567.047</v>
      </c>
      <c r="W66" s="7">
        <v>29221.778</v>
      </c>
      <c r="Y66" s="7" t="s">
        <v>270</v>
      </c>
      <c r="AE66" s="7">
        <v>31265.551</v>
      </c>
      <c r="AG66" s="7" t="s">
        <v>741</v>
      </c>
      <c r="AK66" s="7">
        <v>2706.317999999999</v>
      </c>
      <c r="AL66" s="7">
        <v>2775.771</v>
      </c>
      <c r="AM66" s="7">
        <v>1108.452</v>
      </c>
    </row>
    <row r="67" ht="15.75" customHeight="1">
      <c r="A67" s="7" t="s">
        <v>347</v>
      </c>
      <c r="C67" s="7">
        <v>23930.151</v>
      </c>
      <c r="D67" s="7">
        <v>23578.78</v>
      </c>
      <c r="E67" s="7">
        <v>27754.206</v>
      </c>
      <c r="F67" s="7">
        <v>31468.79</v>
      </c>
      <c r="G67" s="7">
        <v>24145.584</v>
      </c>
      <c r="Y67" s="7" t="s">
        <v>555</v>
      </c>
      <c r="Z67" s="7">
        <v>0.0</v>
      </c>
      <c r="AA67" s="7">
        <v>0.0</v>
      </c>
      <c r="AB67" s="7">
        <v>0.0</v>
      </c>
      <c r="AC67" s="7">
        <v>0.0</v>
      </c>
      <c r="AD67" s="7">
        <v>0.0</v>
      </c>
      <c r="AE67" s="7">
        <v>31265.551</v>
      </c>
      <c r="AG67" s="7" t="s">
        <v>745</v>
      </c>
      <c r="AK67" s="7">
        <v>673.496</v>
      </c>
      <c r="AL67" s="7">
        <v>616.376</v>
      </c>
      <c r="AM67" s="7">
        <v>746.424</v>
      </c>
    </row>
    <row r="68" ht="15.75" customHeight="1">
      <c r="A68" s="7" t="s">
        <v>748</v>
      </c>
      <c r="E68" s="7">
        <v>2038.037</v>
      </c>
      <c r="F68" s="7">
        <v>1299.313</v>
      </c>
      <c r="I68" s="7" t="s">
        <v>625</v>
      </c>
      <c r="J68" s="29" t="s">
        <v>1014</v>
      </c>
      <c r="K68" s="29" t="s">
        <v>17</v>
      </c>
      <c r="L68" s="29" t="s">
        <v>18</v>
      </c>
      <c r="M68" s="29" t="s">
        <v>19</v>
      </c>
      <c r="N68" s="29" t="s">
        <v>20</v>
      </c>
      <c r="O68" s="29" t="s">
        <v>21</v>
      </c>
      <c r="Q68" s="7" t="s">
        <v>749</v>
      </c>
      <c r="R68" s="29" t="s">
        <v>1014</v>
      </c>
      <c r="S68" s="29" t="s">
        <v>17</v>
      </c>
      <c r="T68" s="29" t="s">
        <v>18</v>
      </c>
      <c r="U68" s="29" t="s">
        <v>19</v>
      </c>
      <c r="V68" s="29" t="s">
        <v>20</v>
      </c>
      <c r="W68" s="29" t="s">
        <v>21</v>
      </c>
      <c r="AG68" s="7" t="s">
        <v>750</v>
      </c>
      <c r="AM68" s="7">
        <v>100.936</v>
      </c>
    </row>
    <row r="69" ht="15.75" customHeight="1">
      <c r="A69" s="7" t="s">
        <v>753</v>
      </c>
      <c r="B69" s="7">
        <v>0.0</v>
      </c>
      <c r="C69" s="7">
        <v>23930.151</v>
      </c>
      <c r="D69" s="7">
        <v>23578.78</v>
      </c>
      <c r="E69" s="7">
        <v>29792.243</v>
      </c>
      <c r="F69" s="7">
        <v>32768.103</v>
      </c>
      <c r="G69" s="7">
        <v>24145.584</v>
      </c>
      <c r="I69" s="7" t="s">
        <v>247</v>
      </c>
      <c r="K69" s="7">
        <v>58054.0</v>
      </c>
      <c r="L69" s="7">
        <v>51873.0</v>
      </c>
      <c r="Q69" s="7" t="s">
        <v>751</v>
      </c>
      <c r="R69" s="7">
        <v>4999.0</v>
      </c>
      <c r="S69" s="7">
        <v>4062.0</v>
      </c>
      <c r="T69" s="7">
        <v>15287.065</v>
      </c>
      <c r="U69" s="7">
        <v>12178.625</v>
      </c>
      <c r="V69" s="7">
        <v>11363.427</v>
      </c>
      <c r="W69" s="7">
        <v>10791.562</v>
      </c>
      <c r="Y69" s="7" t="s">
        <v>303</v>
      </c>
      <c r="Z69" s="29" t="s">
        <v>1014</v>
      </c>
      <c r="AA69" s="29" t="s">
        <v>17</v>
      </c>
      <c r="AB69" s="29" t="s">
        <v>18</v>
      </c>
      <c r="AC69" s="29" t="s">
        <v>19</v>
      </c>
      <c r="AD69" s="29" t="s">
        <v>20</v>
      </c>
      <c r="AE69" s="29" t="s">
        <v>21</v>
      </c>
      <c r="AG69" s="7" t="s">
        <v>651</v>
      </c>
      <c r="AH69" s="7">
        <v>0.0</v>
      </c>
      <c r="AI69" s="7">
        <v>0.0</v>
      </c>
      <c r="AJ69" s="7">
        <v>0.0</v>
      </c>
      <c r="AK69" s="7">
        <v>3379.813999999999</v>
      </c>
      <c r="AL69" s="7">
        <v>3392.147</v>
      </c>
      <c r="AM69" s="7">
        <v>2034.919</v>
      </c>
    </row>
    <row r="70" ht="15.75" customHeight="1">
      <c r="I70" s="7" t="s">
        <v>252</v>
      </c>
      <c r="K70" s="7">
        <v>42183.0</v>
      </c>
      <c r="L70" s="7">
        <v>43456.0</v>
      </c>
      <c r="Q70" s="7" t="s">
        <v>757</v>
      </c>
      <c r="S70" s="7">
        <v>30351.0</v>
      </c>
      <c r="T70" s="7">
        <v>30351.24</v>
      </c>
      <c r="U70" s="7">
        <v>30351.24</v>
      </c>
      <c r="V70" s="7">
        <v>30351.24</v>
      </c>
      <c r="W70" s="7">
        <v>30351.24</v>
      </c>
      <c r="Y70" s="7" t="s">
        <v>758</v>
      </c>
      <c r="Z70" s="7">
        <v>0.0</v>
      </c>
      <c r="AA70" s="7">
        <v>0.0</v>
      </c>
      <c r="AB70" s="7">
        <v>0.0</v>
      </c>
      <c r="AC70" s="7">
        <v>0.0</v>
      </c>
      <c r="AD70" s="7">
        <v>0.0</v>
      </c>
      <c r="AE70" s="7">
        <v>0.0</v>
      </c>
    </row>
    <row r="71" ht="15.75" customHeight="1">
      <c r="A71" s="7" t="s">
        <v>351</v>
      </c>
      <c r="B71" s="29" t="s">
        <v>1014</v>
      </c>
      <c r="C71" s="29" t="s">
        <v>17</v>
      </c>
      <c r="D71" s="29" t="s">
        <v>18</v>
      </c>
      <c r="E71" s="29" t="s">
        <v>19</v>
      </c>
      <c r="F71" s="29" t="s">
        <v>20</v>
      </c>
      <c r="G71" s="29" t="s">
        <v>21</v>
      </c>
      <c r="I71" s="7" t="s">
        <v>254</v>
      </c>
      <c r="K71" s="7">
        <v>7791.0</v>
      </c>
      <c r="L71" s="7">
        <v>5995.0</v>
      </c>
      <c r="Q71" s="7" t="s">
        <v>301</v>
      </c>
      <c r="T71" s="7">
        <v>97601.242</v>
      </c>
      <c r="U71" s="7">
        <v>97601.242</v>
      </c>
      <c r="V71" s="7">
        <v>97601.242</v>
      </c>
      <c r="W71" s="7">
        <v>97601.242</v>
      </c>
      <c r="AG71" s="7" t="s">
        <v>277</v>
      </c>
      <c r="AH71" s="29" t="s">
        <v>1014</v>
      </c>
      <c r="AI71" s="29" t="s">
        <v>17</v>
      </c>
      <c r="AJ71" s="29" t="s">
        <v>18</v>
      </c>
      <c r="AK71" s="29" t="s">
        <v>19</v>
      </c>
      <c r="AL71" s="29" t="s">
        <v>20</v>
      </c>
      <c r="AM71" s="29" t="s">
        <v>21</v>
      </c>
    </row>
    <row r="72" ht="15.75" customHeight="1">
      <c r="A72" s="7" t="s">
        <v>351</v>
      </c>
      <c r="C72" s="7">
        <v>15462.805</v>
      </c>
      <c r="D72" s="7">
        <v>12915.445</v>
      </c>
      <c r="E72" s="7">
        <v>11598.504</v>
      </c>
      <c r="F72" s="7">
        <v>11683.729</v>
      </c>
      <c r="G72" s="7">
        <v>8954.474</v>
      </c>
      <c r="I72" s="7" t="s">
        <v>241</v>
      </c>
      <c r="K72" s="7">
        <v>142121.0</v>
      </c>
      <c r="L72" s="7">
        <v>124902.0</v>
      </c>
      <c r="M72" s="7">
        <v>183901.697</v>
      </c>
      <c r="N72" s="7">
        <v>221052.018</v>
      </c>
      <c r="O72" s="7">
        <v>95615.30599999963</v>
      </c>
      <c r="Q72" s="7" t="s">
        <v>291</v>
      </c>
      <c r="T72" s="7">
        <v>6188.536</v>
      </c>
      <c r="U72" s="7">
        <v>1095.01</v>
      </c>
      <c r="V72" s="7">
        <v>2592.901</v>
      </c>
      <c r="W72" s="7">
        <v>2145.317</v>
      </c>
      <c r="Y72" s="7" t="s">
        <v>563</v>
      </c>
      <c r="Z72" s="29" t="s">
        <v>1014</v>
      </c>
      <c r="AA72" s="29" t="s">
        <v>17</v>
      </c>
      <c r="AB72" s="29" t="s">
        <v>18</v>
      </c>
      <c r="AC72" s="29" t="s">
        <v>19</v>
      </c>
      <c r="AD72" s="29" t="s">
        <v>20</v>
      </c>
      <c r="AE72" s="29" t="s">
        <v>21</v>
      </c>
      <c r="AG72" s="7" t="s">
        <v>769</v>
      </c>
      <c r="AK72" s="7">
        <v>1459.251</v>
      </c>
      <c r="AL72" s="7">
        <v>1088.722</v>
      </c>
      <c r="AM72" s="7">
        <v>839.323</v>
      </c>
    </row>
    <row r="73" ht="15.75" customHeight="1">
      <c r="A73" s="7" t="s">
        <v>772</v>
      </c>
      <c r="B73" s="29" t="s">
        <v>1014</v>
      </c>
      <c r="C73" s="29" t="s">
        <v>17</v>
      </c>
      <c r="D73" s="29" t="s">
        <v>18</v>
      </c>
      <c r="E73" s="29" t="s">
        <v>19</v>
      </c>
      <c r="F73" s="29" t="s">
        <v>20</v>
      </c>
      <c r="G73" s="29" t="s">
        <v>21</v>
      </c>
      <c r="I73" s="7" t="s">
        <v>242</v>
      </c>
      <c r="K73" s="7">
        <v>4450.0</v>
      </c>
      <c r="L73" s="7">
        <v>4298.0</v>
      </c>
      <c r="Q73" s="7" t="s">
        <v>295</v>
      </c>
      <c r="T73" s="7">
        <v>5595.623</v>
      </c>
      <c r="U73" s="7">
        <v>5139.42</v>
      </c>
      <c r="V73" s="7">
        <v>6574.83</v>
      </c>
      <c r="W73" s="7">
        <v>7982.494</v>
      </c>
      <c r="Y73" s="7" t="s">
        <v>575</v>
      </c>
      <c r="Z73" s="7">
        <v>0.0</v>
      </c>
      <c r="AA73" s="7">
        <v>0.0</v>
      </c>
      <c r="AB73" s="7">
        <v>0.0</v>
      </c>
      <c r="AC73" s="7">
        <v>0.0</v>
      </c>
      <c r="AD73" s="7">
        <v>0.0</v>
      </c>
      <c r="AE73" s="7">
        <v>0.0</v>
      </c>
      <c r="AG73" s="7" t="s">
        <v>773</v>
      </c>
      <c r="AH73" s="7">
        <v>0.0</v>
      </c>
      <c r="AI73" s="7">
        <v>0.0</v>
      </c>
      <c r="AJ73" s="7">
        <v>0.0</v>
      </c>
      <c r="AK73" s="7">
        <v>1459.251</v>
      </c>
      <c r="AL73" s="7">
        <v>1088.722</v>
      </c>
      <c r="AM73" s="7">
        <v>839.323</v>
      </c>
    </row>
    <row r="74" ht="15.75" customHeight="1">
      <c r="A74" s="7" t="s">
        <v>772</v>
      </c>
      <c r="C74" s="7">
        <v>5280.811</v>
      </c>
      <c r="D74" s="7">
        <v>7727.857</v>
      </c>
      <c r="E74" s="7">
        <v>13232.878</v>
      </c>
      <c r="F74" s="7">
        <v>14878.945</v>
      </c>
      <c r="I74" s="7" t="s">
        <v>243</v>
      </c>
      <c r="K74" s="7">
        <v>15355.0</v>
      </c>
      <c r="L74" s="7">
        <v>15000.0</v>
      </c>
      <c r="Q74" s="7" t="s">
        <v>246</v>
      </c>
      <c r="T74" s="7">
        <v>1.728</v>
      </c>
      <c r="U74" s="7">
        <v>34.374</v>
      </c>
    </row>
    <row r="75" ht="15.75" customHeight="1">
      <c r="A75" s="7" t="s">
        <v>778</v>
      </c>
      <c r="B75" s="7">
        <v>0.0</v>
      </c>
      <c r="C75" s="7">
        <v>5280.811</v>
      </c>
      <c r="D75" s="7">
        <v>7727.857</v>
      </c>
      <c r="E75" s="7">
        <v>13232.878</v>
      </c>
      <c r="F75" s="7">
        <v>14878.945</v>
      </c>
      <c r="G75" s="7">
        <v>0.0</v>
      </c>
      <c r="I75" s="7" t="s">
        <v>244</v>
      </c>
      <c r="K75" s="7">
        <v>39919.0</v>
      </c>
      <c r="L75" s="7">
        <v>40033.0</v>
      </c>
      <c r="Q75" s="7" t="s">
        <v>270</v>
      </c>
      <c r="R75" s="29" t="s">
        <v>1014</v>
      </c>
      <c r="S75" s="29" t="s">
        <v>17</v>
      </c>
      <c r="T75" s="29" t="s">
        <v>18</v>
      </c>
      <c r="U75" s="29" t="s">
        <v>19</v>
      </c>
      <c r="V75" s="29" t="s">
        <v>20</v>
      </c>
      <c r="W75" s="29" t="s">
        <v>21</v>
      </c>
      <c r="Y75" s="7" t="s">
        <v>249</v>
      </c>
      <c r="Z75" s="29" t="s">
        <v>1014</v>
      </c>
      <c r="AA75" s="29" t="s">
        <v>17</v>
      </c>
      <c r="AB75" s="29" t="s">
        <v>18</v>
      </c>
      <c r="AC75" s="29" t="s">
        <v>19</v>
      </c>
      <c r="AD75" s="29" t="s">
        <v>20</v>
      </c>
      <c r="AE75" s="29" t="s">
        <v>21</v>
      </c>
      <c r="AG75" s="7" t="s">
        <v>687</v>
      </c>
      <c r="AH75" s="29" t="s">
        <v>1014</v>
      </c>
      <c r="AI75" s="29" t="s">
        <v>17</v>
      </c>
      <c r="AJ75" s="29" t="s">
        <v>18</v>
      </c>
      <c r="AK75" s="29" t="s">
        <v>19</v>
      </c>
      <c r="AL75" s="29" t="s">
        <v>20</v>
      </c>
      <c r="AM75" s="29" t="s">
        <v>21</v>
      </c>
    </row>
    <row r="76" ht="15.75" customHeight="1">
      <c r="I76" s="7" t="s">
        <v>248</v>
      </c>
      <c r="K76" s="7">
        <v>6462.0</v>
      </c>
      <c r="L76" s="7">
        <v>9819.0</v>
      </c>
      <c r="Q76" s="7" t="s">
        <v>270</v>
      </c>
      <c r="T76" s="7">
        <v>7753.363000000041</v>
      </c>
      <c r="U76" s="7">
        <v>2320.991999999969</v>
      </c>
      <c r="V76" s="7">
        <v>6389.589</v>
      </c>
      <c r="W76" s="7">
        <v>19758.36</v>
      </c>
      <c r="Y76" s="7" t="s">
        <v>519</v>
      </c>
      <c r="Z76" s="7">
        <v>0.0</v>
      </c>
      <c r="AA76" s="7">
        <v>0.0</v>
      </c>
      <c r="AB76" s="7">
        <v>0.0</v>
      </c>
      <c r="AC76" s="7">
        <v>0.0</v>
      </c>
      <c r="AD76" s="7">
        <v>0.0</v>
      </c>
      <c r="AE76" s="7">
        <v>0.0</v>
      </c>
      <c r="AG76" s="7" t="s">
        <v>687</v>
      </c>
      <c r="AK76" s="7">
        <v>818.466</v>
      </c>
      <c r="AL76" s="7">
        <v>2164.079</v>
      </c>
    </row>
    <row r="77" ht="15.75" customHeight="1">
      <c r="A77" s="7" t="s">
        <v>783</v>
      </c>
      <c r="B77" s="29" t="s">
        <v>1014</v>
      </c>
      <c r="C77" s="29" t="s">
        <v>17</v>
      </c>
      <c r="D77" s="29" t="s">
        <v>18</v>
      </c>
      <c r="E77" s="29" t="s">
        <v>19</v>
      </c>
      <c r="F77" s="29" t="s">
        <v>20</v>
      </c>
      <c r="G77" s="29" t="s">
        <v>21</v>
      </c>
      <c r="I77" s="7" t="s">
        <v>260</v>
      </c>
      <c r="J77" s="7">
        <v>0.0</v>
      </c>
      <c r="K77" s="7">
        <v>-199056.718</v>
      </c>
      <c r="L77" s="7">
        <v>-190039.0</v>
      </c>
      <c r="M77" s="7">
        <v>0.0</v>
      </c>
      <c r="N77" s="7">
        <v>0.0</v>
      </c>
      <c r="O77" s="7">
        <v>0.0</v>
      </c>
      <c r="Q77" s="7" t="s">
        <v>555</v>
      </c>
      <c r="R77" s="7">
        <v>0.0</v>
      </c>
      <c r="S77" s="7">
        <v>0.0</v>
      </c>
      <c r="T77" s="7">
        <v>7753.363000000041</v>
      </c>
      <c r="U77" s="7">
        <v>2320.991999999969</v>
      </c>
      <c r="V77" s="7">
        <v>6389.589</v>
      </c>
      <c r="W77" s="7">
        <v>19758.36</v>
      </c>
      <c r="AG77" s="7" t="s">
        <v>696</v>
      </c>
      <c r="AH77" s="7">
        <v>0.0</v>
      </c>
      <c r="AI77" s="7">
        <v>0.0</v>
      </c>
      <c r="AJ77" s="7">
        <v>0.0</v>
      </c>
      <c r="AK77" s="7">
        <v>818.466</v>
      </c>
      <c r="AL77" s="7">
        <v>2164.079</v>
      </c>
      <c r="AM77" s="7">
        <v>0.0</v>
      </c>
    </row>
    <row r="78" ht="15.75" customHeight="1">
      <c r="A78" s="7" t="s">
        <v>363</v>
      </c>
      <c r="G78" s="7">
        <v>9665.694</v>
      </c>
      <c r="I78" s="7" t="s">
        <v>671</v>
      </c>
      <c r="J78" s="7">
        <v>0.0</v>
      </c>
      <c r="K78" s="7">
        <v>117278.282</v>
      </c>
      <c r="L78" s="7">
        <v>105337.0</v>
      </c>
      <c r="M78" s="7">
        <v>183901.697</v>
      </c>
      <c r="N78" s="7">
        <v>221052.018</v>
      </c>
      <c r="O78" s="7">
        <v>95615.30599999963</v>
      </c>
      <c r="Y78" s="7" t="s">
        <v>284</v>
      </c>
      <c r="Z78" s="29" t="s">
        <v>1014</v>
      </c>
      <c r="AA78" s="29" t="s">
        <v>17</v>
      </c>
      <c r="AB78" s="29" t="s">
        <v>18</v>
      </c>
      <c r="AC78" s="29" t="s">
        <v>19</v>
      </c>
      <c r="AD78" s="29" t="s">
        <v>20</v>
      </c>
      <c r="AE78" s="29" t="s">
        <v>21</v>
      </c>
    </row>
    <row r="79" ht="15.75" customHeight="1">
      <c r="A79" s="7" t="s">
        <v>789</v>
      </c>
      <c r="B79" s="7">
        <v>0.0</v>
      </c>
      <c r="C79" s="7">
        <v>0.0</v>
      </c>
      <c r="D79" s="7">
        <v>0.0</v>
      </c>
      <c r="E79" s="7">
        <v>0.0</v>
      </c>
      <c r="F79" s="7">
        <v>0.0</v>
      </c>
      <c r="G79" s="7">
        <v>9665.694</v>
      </c>
      <c r="Q79" s="7" t="s">
        <v>284</v>
      </c>
      <c r="R79" s="29" t="s">
        <v>1014</v>
      </c>
      <c r="S79" s="29" t="s">
        <v>17</v>
      </c>
      <c r="T79" s="29" t="s">
        <v>18</v>
      </c>
      <c r="U79" s="29" t="s">
        <v>19</v>
      </c>
      <c r="V79" s="29" t="s">
        <v>20</v>
      </c>
      <c r="W79" s="29" t="s">
        <v>21</v>
      </c>
      <c r="Y79" s="7" t="s">
        <v>284</v>
      </c>
      <c r="AE79" s="7">
        <v>2448.012</v>
      </c>
      <c r="AG79" s="7" t="s">
        <v>790</v>
      </c>
      <c r="AH79" s="7">
        <v>0.0</v>
      </c>
      <c r="AI79" s="7">
        <v>0.0</v>
      </c>
      <c r="AJ79" s="7">
        <v>0.0</v>
      </c>
      <c r="AK79" s="7">
        <v>7707.914</v>
      </c>
      <c r="AL79" s="7">
        <v>7463.864</v>
      </c>
      <c r="AM79" s="7">
        <v>0.0</v>
      </c>
    </row>
    <row r="80" ht="15.75" customHeight="1">
      <c r="I80" s="7" t="s">
        <v>270</v>
      </c>
      <c r="J80" s="29" t="s">
        <v>1014</v>
      </c>
      <c r="K80" s="29" t="s">
        <v>17</v>
      </c>
      <c r="L80" s="29" t="s">
        <v>18</v>
      </c>
      <c r="M80" s="29" t="s">
        <v>19</v>
      </c>
      <c r="N80" s="29" t="s">
        <v>20</v>
      </c>
      <c r="O80" s="29" t="s">
        <v>21</v>
      </c>
      <c r="Q80" s="7" t="s">
        <v>284</v>
      </c>
      <c r="R80" s="7">
        <v>10493.0</v>
      </c>
      <c r="S80" s="7">
        <v>7409.0</v>
      </c>
      <c r="T80" s="7">
        <v>8841.711</v>
      </c>
      <c r="U80" s="7">
        <v>10580.451</v>
      </c>
      <c r="V80" s="7">
        <v>14254.249</v>
      </c>
      <c r="W80" s="7">
        <v>18722.91</v>
      </c>
      <c r="Y80" s="7" t="s">
        <v>597</v>
      </c>
      <c r="Z80" s="7">
        <v>0.0</v>
      </c>
      <c r="AA80" s="7">
        <v>0.0</v>
      </c>
      <c r="AB80" s="7">
        <v>0.0</v>
      </c>
      <c r="AC80" s="7">
        <v>0.0</v>
      </c>
      <c r="AD80" s="7">
        <v>0.0</v>
      </c>
      <c r="AE80" s="7">
        <v>2448.012</v>
      </c>
      <c r="AG80" s="7" t="s">
        <v>794</v>
      </c>
      <c r="AH80" s="29" t="s">
        <v>1014</v>
      </c>
      <c r="AI80" s="29" t="s">
        <v>17</v>
      </c>
      <c r="AJ80" s="29" t="s">
        <v>18</v>
      </c>
      <c r="AK80" s="29" t="s">
        <v>19</v>
      </c>
      <c r="AL80" s="29" t="s">
        <v>20</v>
      </c>
      <c r="AM80" s="29" t="s">
        <v>21</v>
      </c>
    </row>
    <row r="81" ht="15.75" customHeight="1">
      <c r="A81" s="7" t="s">
        <v>796</v>
      </c>
      <c r="B81" s="29" t="s">
        <v>1014</v>
      </c>
      <c r="C81" s="29" t="s">
        <v>17</v>
      </c>
      <c r="D81" s="29" t="s">
        <v>18</v>
      </c>
      <c r="E81" s="29" t="s">
        <v>19</v>
      </c>
      <c r="F81" s="29" t="s">
        <v>20</v>
      </c>
      <c r="G81" s="29" t="s">
        <v>21</v>
      </c>
      <c r="I81" s="7" t="s">
        <v>797</v>
      </c>
      <c r="K81" s="7">
        <v>328552.0</v>
      </c>
      <c r="L81" s="7">
        <v>270224.0</v>
      </c>
      <c r="Q81" s="7" t="s">
        <v>597</v>
      </c>
      <c r="R81" s="7">
        <v>10493.0</v>
      </c>
      <c r="S81" s="7">
        <v>7409.0</v>
      </c>
      <c r="T81" s="7">
        <v>8841.711</v>
      </c>
      <c r="U81" s="7">
        <v>10580.451</v>
      </c>
      <c r="V81" s="7">
        <v>14254.249</v>
      </c>
      <c r="W81" s="7">
        <v>18722.91</v>
      </c>
      <c r="AG81" s="7" t="s">
        <v>798</v>
      </c>
      <c r="AK81" s="7">
        <v>16827.203</v>
      </c>
      <c r="AL81" s="7">
        <v>14063.864</v>
      </c>
      <c r="AM81" s="7">
        <v>10884.524</v>
      </c>
    </row>
    <row r="82" ht="15.75" customHeight="1">
      <c r="A82" s="7" t="s">
        <v>373</v>
      </c>
      <c r="C82" s="7">
        <v>11232.151</v>
      </c>
      <c r="D82" s="7">
        <v>-41.595</v>
      </c>
      <c r="E82" s="7">
        <v>273.615</v>
      </c>
      <c r="F82" s="7">
        <v>14.075</v>
      </c>
      <c r="G82" s="7">
        <v>-1734.978</v>
      </c>
      <c r="I82" s="7" t="s">
        <v>800</v>
      </c>
      <c r="K82" s="7">
        <v>212739.0</v>
      </c>
      <c r="L82" s="7">
        <v>266808.0</v>
      </c>
      <c r="Y82" s="7" t="s">
        <v>801</v>
      </c>
      <c r="Z82" s="29" t="s">
        <v>1014</v>
      </c>
      <c r="AA82" s="29" t="s">
        <v>17</v>
      </c>
      <c r="AB82" s="29" t="s">
        <v>18</v>
      </c>
      <c r="AC82" s="29" t="s">
        <v>19</v>
      </c>
      <c r="AD82" s="29" t="s">
        <v>20</v>
      </c>
      <c r="AE82" s="29" t="s">
        <v>21</v>
      </c>
      <c r="AG82" s="7" t="s">
        <v>802</v>
      </c>
      <c r="AK82" s="7">
        <v>-7707.914</v>
      </c>
      <c r="AL82" s="7">
        <v>-7463.864</v>
      </c>
    </row>
    <row r="83" ht="15.75" customHeight="1">
      <c r="I83" s="7" t="s">
        <v>576</v>
      </c>
      <c r="K83" s="7">
        <v>-224911.0</v>
      </c>
      <c r="L83" s="7">
        <v>-204926.0</v>
      </c>
      <c r="Q83" s="7" t="s">
        <v>610</v>
      </c>
      <c r="R83" s="29" t="s">
        <v>1014</v>
      </c>
      <c r="S83" s="29" t="s">
        <v>17</v>
      </c>
      <c r="T83" s="29" t="s">
        <v>18</v>
      </c>
      <c r="U83" s="29" t="s">
        <v>19</v>
      </c>
      <c r="V83" s="29" t="s">
        <v>20</v>
      </c>
      <c r="W83" s="29" t="s">
        <v>21</v>
      </c>
      <c r="Y83" s="7" t="s">
        <v>804</v>
      </c>
      <c r="AB83" s="7">
        <v>1385.148</v>
      </c>
      <c r="AC83" s="7">
        <v>2086.333</v>
      </c>
      <c r="AD83" s="7">
        <v>1685.257</v>
      </c>
      <c r="AE83" s="7">
        <v>13982.314</v>
      </c>
      <c r="AG83" s="7" t="s">
        <v>805</v>
      </c>
      <c r="AK83" s="7">
        <v>9838.951</v>
      </c>
      <c r="AL83" s="7">
        <v>4282.094</v>
      </c>
    </row>
    <row r="84" ht="15.75" customHeight="1">
      <c r="I84" s="7" t="s">
        <v>270</v>
      </c>
      <c r="M84" s="7">
        <v>7311.429</v>
      </c>
      <c r="N84" s="7">
        <v>16609.091</v>
      </c>
      <c r="O84" s="7">
        <v>307871.699</v>
      </c>
      <c r="Q84" s="7" t="s">
        <v>610</v>
      </c>
      <c r="T84" s="7">
        <v>1885.574</v>
      </c>
      <c r="U84" s="7">
        <v>1350.257</v>
      </c>
      <c r="V84" s="7">
        <v>1506.6</v>
      </c>
      <c r="W84" s="7">
        <v>2543.829000000001</v>
      </c>
      <c r="Y84" s="7" t="s">
        <v>806</v>
      </c>
      <c r="Z84" s="7">
        <v>0.0</v>
      </c>
      <c r="AA84" s="7">
        <v>0.0</v>
      </c>
      <c r="AB84" s="7">
        <v>1385.148</v>
      </c>
      <c r="AC84" s="7">
        <v>2086.333</v>
      </c>
      <c r="AD84" s="7">
        <v>1685.257</v>
      </c>
      <c r="AE84" s="7">
        <v>13982.314</v>
      </c>
      <c r="AG84" s="7" t="s">
        <v>807</v>
      </c>
      <c r="AH84" s="7">
        <v>0.0</v>
      </c>
      <c r="AI84" s="7">
        <v>0.0</v>
      </c>
      <c r="AJ84" s="7">
        <v>0.0</v>
      </c>
      <c r="AK84" s="7">
        <v>18958.24</v>
      </c>
      <c r="AL84" s="7">
        <v>10882.094</v>
      </c>
      <c r="AM84" s="7">
        <v>10884.524</v>
      </c>
    </row>
    <row r="85" ht="15.75" customHeight="1">
      <c r="I85" s="7" t="s">
        <v>555</v>
      </c>
      <c r="J85" s="7">
        <v>0.0</v>
      </c>
      <c r="K85" s="7">
        <v>316380.0</v>
      </c>
      <c r="L85" s="7">
        <v>332106.0</v>
      </c>
      <c r="M85" s="7">
        <v>7311.429</v>
      </c>
      <c r="N85" s="7">
        <v>16609.091</v>
      </c>
      <c r="O85" s="7">
        <v>307871.699</v>
      </c>
      <c r="Q85" s="7" t="s">
        <v>624</v>
      </c>
      <c r="R85" s="7">
        <v>0.0</v>
      </c>
      <c r="S85" s="7">
        <v>0.0</v>
      </c>
      <c r="T85" s="7">
        <v>1885.574</v>
      </c>
      <c r="U85" s="7">
        <v>1350.257</v>
      </c>
      <c r="V85" s="7">
        <v>1506.6</v>
      </c>
      <c r="W85" s="7">
        <v>2543.829000000001</v>
      </c>
      <c r="AG85" s="7" t="s">
        <v>810</v>
      </c>
      <c r="AH85" s="7">
        <v>0.0</v>
      </c>
      <c r="AI85" s="7">
        <v>0.0</v>
      </c>
      <c r="AJ85" s="7">
        <v>0.0</v>
      </c>
      <c r="AK85" s="7">
        <v>26666.154</v>
      </c>
      <c r="AL85" s="7">
        <v>18345.958</v>
      </c>
      <c r="AM85" s="7">
        <v>10884.524</v>
      </c>
    </row>
    <row r="86" ht="15.75" customHeight="1">
      <c r="Y86" s="7" t="s">
        <v>610</v>
      </c>
      <c r="Z86" s="29" t="s">
        <v>1014</v>
      </c>
      <c r="AA86" s="29" t="s">
        <v>17</v>
      </c>
      <c r="AB86" s="29" t="s">
        <v>18</v>
      </c>
      <c r="AC86" s="29" t="s">
        <v>19</v>
      </c>
      <c r="AD86" s="29" t="s">
        <v>20</v>
      </c>
      <c r="AE86" s="29" t="s">
        <v>21</v>
      </c>
    </row>
    <row r="87" ht="15.75" customHeight="1">
      <c r="I87" s="7" t="s">
        <v>303</v>
      </c>
      <c r="J87" s="29" t="s">
        <v>1014</v>
      </c>
      <c r="K87" s="29" t="s">
        <v>17</v>
      </c>
      <c r="L87" s="29" t="s">
        <v>18</v>
      </c>
      <c r="M87" s="29" t="s">
        <v>19</v>
      </c>
      <c r="N87" s="29" t="s">
        <v>20</v>
      </c>
      <c r="O87" s="29" t="s">
        <v>21</v>
      </c>
      <c r="Q87" s="7" t="s">
        <v>281</v>
      </c>
      <c r="R87" s="29" t="s">
        <v>1014</v>
      </c>
      <c r="S87" s="29" t="s">
        <v>17</v>
      </c>
      <c r="T87" s="29" t="s">
        <v>18</v>
      </c>
      <c r="U87" s="29" t="s">
        <v>19</v>
      </c>
      <c r="V87" s="29" t="s">
        <v>20</v>
      </c>
      <c r="W87" s="29" t="s">
        <v>21</v>
      </c>
      <c r="Y87" s="7" t="s">
        <v>610</v>
      </c>
      <c r="AB87" s="7">
        <v>38811.518</v>
      </c>
      <c r="AC87" s="7">
        <v>3411.621</v>
      </c>
      <c r="AD87" s="7">
        <v>22482.224</v>
      </c>
      <c r="AE87" s="7">
        <v>1198.654</v>
      </c>
      <c r="AG87" s="7" t="s">
        <v>304</v>
      </c>
      <c r="AH87" s="29" t="s">
        <v>1014</v>
      </c>
      <c r="AI87" s="29" t="s">
        <v>17</v>
      </c>
      <c r="AJ87" s="29" t="s">
        <v>18</v>
      </c>
      <c r="AK87" s="29" t="s">
        <v>19</v>
      </c>
      <c r="AL87" s="29" t="s">
        <v>20</v>
      </c>
      <c r="AM87" s="29" t="s">
        <v>21</v>
      </c>
    </row>
    <row r="88" ht="15.75" customHeight="1">
      <c r="I88" s="7" t="s">
        <v>817</v>
      </c>
      <c r="M88" s="7">
        <v>39483.25199999994</v>
      </c>
      <c r="N88" s="7">
        <v>50117.098</v>
      </c>
      <c r="Q88" s="7" t="s">
        <v>818</v>
      </c>
      <c r="R88" s="7">
        <v>5131.0</v>
      </c>
      <c r="S88" s="7">
        <v>4321.0</v>
      </c>
      <c r="T88" s="7">
        <v>2312.236</v>
      </c>
      <c r="Y88" s="7" t="s">
        <v>624</v>
      </c>
      <c r="Z88" s="7">
        <v>0.0</v>
      </c>
      <c r="AA88" s="7">
        <v>0.0</v>
      </c>
      <c r="AB88" s="7">
        <v>38811.518</v>
      </c>
      <c r="AC88" s="7">
        <v>3411.621</v>
      </c>
      <c r="AD88" s="7">
        <v>22482.224</v>
      </c>
      <c r="AE88" s="7">
        <v>1198.654</v>
      </c>
      <c r="AG88" s="7" t="s">
        <v>304</v>
      </c>
      <c r="AK88" s="7">
        <v>10249.01</v>
      </c>
      <c r="AL88" s="7">
        <v>6795.92</v>
      </c>
      <c r="AM88" s="7">
        <v>13575.185</v>
      </c>
    </row>
    <row r="89" ht="15.75" customHeight="1">
      <c r="I89" s="7" t="s">
        <v>758</v>
      </c>
      <c r="J89" s="7">
        <v>0.0</v>
      </c>
      <c r="K89" s="7">
        <v>0.0</v>
      </c>
      <c r="L89" s="7">
        <v>0.0</v>
      </c>
      <c r="M89" s="7">
        <v>39483.25199999994</v>
      </c>
      <c r="N89" s="7">
        <v>50117.098</v>
      </c>
      <c r="O89" s="7">
        <v>0.0</v>
      </c>
      <c r="Q89" s="7" t="s">
        <v>281</v>
      </c>
      <c r="R89" s="7">
        <v>2007.0</v>
      </c>
      <c r="S89" s="7">
        <v>10551.0</v>
      </c>
      <c r="W89" s="7">
        <v>11622.018</v>
      </c>
      <c r="AG89" s="7" t="s">
        <v>820</v>
      </c>
      <c r="AK89" s="7">
        <v>-9838.951</v>
      </c>
    </row>
    <row r="90" ht="15.75" customHeight="1">
      <c r="Q90" s="7" t="s">
        <v>822</v>
      </c>
      <c r="R90" s="7">
        <v>174.0</v>
      </c>
      <c r="S90" s="7">
        <v>926.0</v>
      </c>
      <c r="T90" s="7">
        <v>1099.422</v>
      </c>
      <c r="U90" s="7">
        <v>1814.749</v>
      </c>
      <c r="V90" s="7">
        <v>1635.3</v>
      </c>
      <c r="W90" s="7">
        <v>1730.198</v>
      </c>
      <c r="Y90" s="7" t="s">
        <v>281</v>
      </c>
      <c r="Z90" s="29" t="s">
        <v>1014</v>
      </c>
      <c r="AA90" s="29" t="s">
        <v>17</v>
      </c>
      <c r="AB90" s="29" t="s">
        <v>18</v>
      </c>
      <c r="AC90" s="29" t="s">
        <v>19</v>
      </c>
      <c r="AD90" s="29" t="s">
        <v>20</v>
      </c>
      <c r="AE90" s="29" t="s">
        <v>21</v>
      </c>
      <c r="AG90" s="7" t="s">
        <v>823</v>
      </c>
      <c r="AH90" s="7">
        <v>0.0</v>
      </c>
      <c r="AI90" s="7">
        <v>0.0</v>
      </c>
      <c r="AJ90" s="7">
        <v>0.0</v>
      </c>
      <c r="AK90" s="7">
        <v>410.0590000000011</v>
      </c>
      <c r="AL90" s="7">
        <v>6795.92</v>
      </c>
      <c r="AM90" s="7">
        <v>13575.185</v>
      </c>
    </row>
    <row r="91" ht="15.75" customHeight="1">
      <c r="I91" s="7" t="s">
        <v>563</v>
      </c>
      <c r="J91" s="29" t="s">
        <v>1014</v>
      </c>
      <c r="K91" s="29" t="s">
        <v>17</v>
      </c>
      <c r="L91" s="29" t="s">
        <v>18</v>
      </c>
      <c r="M91" s="29" t="s">
        <v>19</v>
      </c>
      <c r="N91" s="29" t="s">
        <v>20</v>
      </c>
      <c r="O91" s="29" t="s">
        <v>21</v>
      </c>
      <c r="Q91" s="7" t="s">
        <v>825</v>
      </c>
      <c r="T91" s="7">
        <v>1432.358</v>
      </c>
      <c r="U91" s="7">
        <v>2197.94</v>
      </c>
      <c r="V91" s="7">
        <v>1598.089</v>
      </c>
      <c r="W91" s="7">
        <v>2010.123</v>
      </c>
      <c r="Y91" s="7" t="s">
        <v>745</v>
      </c>
      <c r="AB91" s="7">
        <v>215.82</v>
      </c>
      <c r="AC91" s="7">
        <v>217.796</v>
      </c>
      <c r="AD91" s="7">
        <v>268.154</v>
      </c>
    </row>
    <row r="92" ht="15.75" customHeight="1">
      <c r="I92" s="7" t="s">
        <v>305</v>
      </c>
      <c r="M92" s="7">
        <v>134425.41</v>
      </c>
      <c r="N92" s="7">
        <v>134425.41</v>
      </c>
      <c r="O92" s="7">
        <v>134425.41</v>
      </c>
      <c r="Q92" s="7" t="s">
        <v>826</v>
      </c>
      <c r="U92" s="7">
        <v>1692.494</v>
      </c>
      <c r="V92" s="7">
        <v>1872.212</v>
      </c>
      <c r="Y92" s="7" t="s">
        <v>281</v>
      </c>
      <c r="AB92" s="7">
        <v>160.443</v>
      </c>
      <c r="AC92" s="7">
        <v>376.548</v>
      </c>
      <c r="AD92" s="7">
        <v>851.975</v>
      </c>
      <c r="AE92" s="7">
        <v>4314.751</v>
      </c>
      <c r="AG92" s="7" t="s">
        <v>715</v>
      </c>
      <c r="AH92" s="29" t="s">
        <v>1014</v>
      </c>
      <c r="AI92" s="29" t="s">
        <v>17</v>
      </c>
      <c r="AJ92" s="29" t="s">
        <v>18</v>
      </c>
      <c r="AK92" s="29" t="s">
        <v>19</v>
      </c>
      <c r="AL92" s="29" t="s">
        <v>20</v>
      </c>
      <c r="AM92" s="29" t="s">
        <v>21</v>
      </c>
    </row>
    <row r="93" ht="15.75" customHeight="1">
      <c r="I93" s="7" t="s">
        <v>309</v>
      </c>
      <c r="M93" s="7">
        <v>88271.098</v>
      </c>
      <c r="N93" s="7">
        <v>81032.767</v>
      </c>
      <c r="Q93" s="7" t="s">
        <v>281</v>
      </c>
      <c r="T93" s="7">
        <v>19315.683</v>
      </c>
      <c r="U93" s="7">
        <v>27856.868</v>
      </c>
      <c r="V93" s="7">
        <v>23249.50700000002</v>
      </c>
      <c r="Y93" s="7" t="s">
        <v>651</v>
      </c>
      <c r="Z93" s="7">
        <v>0.0</v>
      </c>
      <c r="AA93" s="7">
        <v>0.0</v>
      </c>
      <c r="AB93" s="7">
        <v>376.263</v>
      </c>
      <c r="AC93" s="7">
        <v>594.344</v>
      </c>
      <c r="AD93" s="7">
        <v>1120.129</v>
      </c>
      <c r="AE93" s="7">
        <v>4314.751</v>
      </c>
      <c r="AG93" s="7" t="s">
        <v>332</v>
      </c>
      <c r="AK93" s="7">
        <v>20598.0</v>
      </c>
      <c r="AL93" s="7">
        <v>20598.0</v>
      </c>
      <c r="AM93" s="7">
        <v>20598.0</v>
      </c>
    </row>
    <row r="94" ht="15.75" customHeight="1">
      <c r="I94" s="7" t="s">
        <v>575</v>
      </c>
      <c r="J94" s="7">
        <v>0.0</v>
      </c>
      <c r="K94" s="7">
        <v>0.0</v>
      </c>
      <c r="L94" s="7">
        <v>0.0</v>
      </c>
      <c r="M94" s="7">
        <v>222696.508</v>
      </c>
      <c r="N94" s="7">
        <v>215458.177</v>
      </c>
      <c r="O94" s="7">
        <v>134425.41</v>
      </c>
      <c r="Q94" s="7" t="s">
        <v>651</v>
      </c>
      <c r="R94" s="7">
        <v>11208.0</v>
      </c>
      <c r="S94" s="7">
        <v>24226.0</v>
      </c>
      <c r="T94" s="7">
        <v>24159.699</v>
      </c>
      <c r="U94" s="7">
        <v>33562.051</v>
      </c>
      <c r="V94" s="7">
        <v>28355.10800000001</v>
      </c>
      <c r="W94" s="7">
        <v>15362.339</v>
      </c>
      <c r="AG94" s="7" t="s">
        <v>334</v>
      </c>
      <c r="AM94" s="7">
        <v>694.589</v>
      </c>
    </row>
    <row r="95" ht="15.75" customHeight="1">
      <c r="Y95" s="7" t="s">
        <v>277</v>
      </c>
      <c r="Z95" s="29" t="s">
        <v>1014</v>
      </c>
      <c r="AA95" s="29" t="s">
        <v>17</v>
      </c>
      <c r="AB95" s="29" t="s">
        <v>18</v>
      </c>
      <c r="AC95" s="29" t="s">
        <v>19</v>
      </c>
      <c r="AD95" s="29" t="s">
        <v>20</v>
      </c>
      <c r="AE95" s="29" t="s">
        <v>21</v>
      </c>
      <c r="AG95" s="7" t="s">
        <v>834</v>
      </c>
      <c r="AM95" s="7">
        <v>5439.5</v>
      </c>
    </row>
    <row r="96" ht="15.75" customHeight="1">
      <c r="I96" s="7" t="s">
        <v>284</v>
      </c>
      <c r="J96" s="29" t="s">
        <v>1014</v>
      </c>
      <c r="K96" s="29" t="s">
        <v>17</v>
      </c>
      <c r="L96" s="29" t="s">
        <v>18</v>
      </c>
      <c r="M96" s="29" t="s">
        <v>19</v>
      </c>
      <c r="N96" s="29" t="s">
        <v>20</v>
      </c>
      <c r="O96" s="29" t="s">
        <v>21</v>
      </c>
      <c r="Q96" s="7" t="s">
        <v>277</v>
      </c>
      <c r="R96" s="29" t="s">
        <v>1014</v>
      </c>
      <c r="S96" s="29" t="s">
        <v>17</v>
      </c>
      <c r="T96" s="29" t="s">
        <v>18</v>
      </c>
      <c r="U96" s="29" t="s">
        <v>19</v>
      </c>
      <c r="V96" s="29" t="s">
        <v>20</v>
      </c>
      <c r="W96" s="29" t="s">
        <v>21</v>
      </c>
      <c r="Y96" s="7" t="s">
        <v>773</v>
      </c>
      <c r="Z96" s="7">
        <v>0.0</v>
      </c>
      <c r="AA96" s="7">
        <v>0.0</v>
      </c>
      <c r="AB96" s="7">
        <v>0.0</v>
      </c>
      <c r="AC96" s="7">
        <v>0.0</v>
      </c>
      <c r="AD96" s="7">
        <v>0.0</v>
      </c>
      <c r="AE96" s="7">
        <v>0.0</v>
      </c>
      <c r="AG96" s="7" t="s">
        <v>337</v>
      </c>
      <c r="AK96" s="7">
        <v>16308.73</v>
      </c>
      <c r="AL96" s="7">
        <v>17210.48</v>
      </c>
      <c r="AM96" s="7">
        <v>10923.642</v>
      </c>
    </row>
    <row r="97" ht="15.75" customHeight="1">
      <c r="I97" s="7" t="s">
        <v>717</v>
      </c>
      <c r="K97" s="7">
        <v>36558.0</v>
      </c>
      <c r="L97" s="7">
        <v>42754.0</v>
      </c>
      <c r="Q97" s="7" t="s">
        <v>835</v>
      </c>
      <c r="S97" s="7">
        <v>1033.0</v>
      </c>
      <c r="T97" s="7">
        <v>428.733</v>
      </c>
      <c r="U97" s="7">
        <v>1763.227</v>
      </c>
      <c r="V97" s="7">
        <v>1185.71</v>
      </c>
      <c r="W97" s="7">
        <v>459.902</v>
      </c>
      <c r="AG97" s="7" t="s">
        <v>728</v>
      </c>
      <c r="AM97" s="7">
        <v>2968.523</v>
      </c>
    </row>
    <row r="98" ht="15.75" customHeight="1">
      <c r="I98" s="7" t="s">
        <v>722</v>
      </c>
      <c r="K98" s="7">
        <v>10947.0</v>
      </c>
      <c r="L98" s="7">
        <v>11783.0</v>
      </c>
      <c r="Q98" s="7" t="s">
        <v>773</v>
      </c>
      <c r="R98" s="7">
        <v>0.0</v>
      </c>
      <c r="S98" s="7">
        <v>1033.0</v>
      </c>
      <c r="T98" s="7">
        <v>428.733</v>
      </c>
      <c r="U98" s="7">
        <v>1763.227</v>
      </c>
      <c r="V98" s="7">
        <v>1185.71</v>
      </c>
      <c r="W98" s="7">
        <v>459.902</v>
      </c>
      <c r="Y98" s="7" t="s">
        <v>322</v>
      </c>
      <c r="Z98" s="29" t="s">
        <v>1014</v>
      </c>
      <c r="AA98" s="29" t="s">
        <v>17</v>
      </c>
      <c r="AB98" s="29" t="s">
        <v>18</v>
      </c>
      <c r="AC98" s="29" t="s">
        <v>19</v>
      </c>
      <c r="AD98" s="29" t="s">
        <v>20</v>
      </c>
      <c r="AE98" s="29" t="s">
        <v>21</v>
      </c>
      <c r="AG98" s="7" t="s">
        <v>733</v>
      </c>
      <c r="AH98" s="7">
        <v>0.0</v>
      </c>
      <c r="AI98" s="7">
        <v>0.0</v>
      </c>
      <c r="AJ98" s="7">
        <v>0.0</v>
      </c>
      <c r="AK98" s="7">
        <v>36906.73</v>
      </c>
      <c r="AL98" s="7">
        <v>37808.48</v>
      </c>
      <c r="AM98" s="7">
        <v>40624.254</v>
      </c>
    </row>
    <row r="99" ht="15.75" customHeight="1">
      <c r="I99" s="7" t="s">
        <v>284</v>
      </c>
      <c r="M99" s="7">
        <v>48400.023</v>
      </c>
      <c r="N99" s="7">
        <v>57465.915</v>
      </c>
      <c r="O99" s="7">
        <v>88200.035</v>
      </c>
      <c r="Y99" s="7" t="s">
        <v>849</v>
      </c>
      <c r="Z99" s="7">
        <v>0.0</v>
      </c>
      <c r="AA99" s="7">
        <v>0.0</v>
      </c>
      <c r="AB99" s="7">
        <v>0.0</v>
      </c>
      <c r="AC99" s="7">
        <v>0.0</v>
      </c>
      <c r="AD99" s="7">
        <v>0.0</v>
      </c>
      <c r="AE99" s="7">
        <v>0.0</v>
      </c>
    </row>
    <row r="100" ht="15.75" customHeight="1">
      <c r="I100" s="7" t="s">
        <v>597</v>
      </c>
      <c r="J100" s="7">
        <v>0.0</v>
      </c>
      <c r="K100" s="7">
        <v>47505.0</v>
      </c>
      <c r="L100" s="7">
        <v>54537.0</v>
      </c>
      <c r="M100" s="7">
        <v>48400.023</v>
      </c>
      <c r="N100" s="7">
        <v>57465.915</v>
      </c>
      <c r="O100" s="7">
        <v>88200.035</v>
      </c>
      <c r="Q100" s="7" t="s">
        <v>663</v>
      </c>
      <c r="R100" s="29" t="s">
        <v>1014</v>
      </c>
      <c r="S100" s="29" t="s">
        <v>17</v>
      </c>
      <c r="T100" s="29" t="s">
        <v>18</v>
      </c>
      <c r="U100" s="29" t="s">
        <v>19</v>
      </c>
      <c r="V100" s="29" t="s">
        <v>20</v>
      </c>
      <c r="W100" s="29" t="s">
        <v>21</v>
      </c>
      <c r="AG100" s="7" t="s">
        <v>347</v>
      </c>
      <c r="AH100" s="29" t="s">
        <v>1014</v>
      </c>
      <c r="AI100" s="29" t="s">
        <v>17</v>
      </c>
      <c r="AJ100" s="29" t="s">
        <v>18</v>
      </c>
      <c r="AK100" s="29" t="s">
        <v>19</v>
      </c>
      <c r="AL100" s="29" t="s">
        <v>20</v>
      </c>
      <c r="AM100" s="29" t="s">
        <v>21</v>
      </c>
    </row>
    <row r="101" ht="15.75" customHeight="1">
      <c r="Q101" s="7" t="s">
        <v>856</v>
      </c>
      <c r="T101" s="7">
        <v>4467.323</v>
      </c>
      <c r="U101" s="7">
        <v>5211.23</v>
      </c>
      <c r="V101" s="7">
        <v>5461.158</v>
      </c>
      <c r="W101" s="7">
        <v>5502.549</v>
      </c>
      <c r="Y101" s="7" t="s">
        <v>663</v>
      </c>
      <c r="Z101" s="29" t="s">
        <v>1014</v>
      </c>
      <c r="AA101" s="29" t="s">
        <v>17</v>
      </c>
      <c r="AB101" s="29" t="s">
        <v>18</v>
      </c>
      <c r="AC101" s="29" t="s">
        <v>19</v>
      </c>
      <c r="AD101" s="29" t="s">
        <v>20</v>
      </c>
      <c r="AE101" s="29" t="s">
        <v>21</v>
      </c>
      <c r="AG101" s="7" t="s">
        <v>347</v>
      </c>
      <c r="AK101" s="7">
        <v>39281.699</v>
      </c>
      <c r="AL101" s="7">
        <v>52097.658</v>
      </c>
      <c r="AM101" s="7">
        <v>54416.681</v>
      </c>
    </row>
    <row r="102" ht="15.75" customHeight="1">
      <c r="I102" s="7" t="s">
        <v>610</v>
      </c>
      <c r="J102" s="29" t="s">
        <v>1014</v>
      </c>
      <c r="K102" s="29" t="s">
        <v>17</v>
      </c>
      <c r="L102" s="29" t="s">
        <v>18</v>
      </c>
      <c r="M102" s="29" t="s">
        <v>19</v>
      </c>
      <c r="N102" s="29" t="s">
        <v>20</v>
      </c>
      <c r="O102" s="29" t="s">
        <v>21</v>
      </c>
      <c r="Q102" s="7" t="s">
        <v>677</v>
      </c>
      <c r="R102" s="7">
        <v>0.0</v>
      </c>
      <c r="S102" s="7">
        <v>0.0</v>
      </c>
      <c r="T102" s="7">
        <v>4467.323</v>
      </c>
      <c r="U102" s="7">
        <v>5211.23</v>
      </c>
      <c r="V102" s="7">
        <v>5461.158</v>
      </c>
      <c r="W102" s="7">
        <v>5502.549</v>
      </c>
      <c r="Y102" s="7" t="s">
        <v>856</v>
      </c>
      <c r="AB102" s="7">
        <v>77.481</v>
      </c>
      <c r="AC102" s="7">
        <v>331.962</v>
      </c>
      <c r="AD102" s="7">
        <v>198.82</v>
      </c>
      <c r="AE102" s="7">
        <v>167.502</v>
      </c>
      <c r="AG102" s="7" t="s">
        <v>753</v>
      </c>
      <c r="AH102" s="7">
        <v>0.0</v>
      </c>
      <c r="AI102" s="7">
        <v>0.0</v>
      </c>
      <c r="AJ102" s="7">
        <v>0.0</v>
      </c>
      <c r="AK102" s="7">
        <v>39281.699</v>
      </c>
      <c r="AL102" s="7">
        <v>52097.658</v>
      </c>
      <c r="AM102" s="7">
        <v>54416.681</v>
      </c>
    </row>
    <row r="103" ht="15.75" customHeight="1">
      <c r="I103" s="7" t="s">
        <v>797</v>
      </c>
      <c r="K103" s="7">
        <v>13028.0</v>
      </c>
      <c r="L103" s="7">
        <v>24611.0</v>
      </c>
      <c r="Y103" s="7" t="s">
        <v>677</v>
      </c>
      <c r="Z103" s="7">
        <v>0.0</v>
      </c>
      <c r="AA103" s="7">
        <v>0.0</v>
      </c>
      <c r="AB103" s="7">
        <v>77.481</v>
      </c>
      <c r="AC103" s="7">
        <v>331.962</v>
      </c>
      <c r="AD103" s="7">
        <v>198.82</v>
      </c>
      <c r="AE103" s="7">
        <v>167.502</v>
      </c>
    </row>
    <row r="104" ht="15.75" customHeight="1">
      <c r="I104" s="7" t="s">
        <v>800</v>
      </c>
      <c r="K104" s="7">
        <v>10421.0</v>
      </c>
      <c r="L104" s="7">
        <v>4374.0</v>
      </c>
      <c r="Q104" s="7" t="s">
        <v>687</v>
      </c>
      <c r="R104" s="29" t="s">
        <v>1014</v>
      </c>
      <c r="S104" s="29" t="s">
        <v>17</v>
      </c>
      <c r="T104" s="29" t="s">
        <v>18</v>
      </c>
      <c r="U104" s="29" t="s">
        <v>19</v>
      </c>
      <c r="V104" s="29" t="s">
        <v>20</v>
      </c>
      <c r="W104" s="29" t="s">
        <v>21</v>
      </c>
      <c r="AG104" s="7" t="s">
        <v>351</v>
      </c>
      <c r="AH104" s="29" t="s">
        <v>1014</v>
      </c>
      <c r="AI104" s="29" t="s">
        <v>17</v>
      </c>
      <c r="AJ104" s="29" t="s">
        <v>18</v>
      </c>
      <c r="AK104" s="29" t="s">
        <v>19</v>
      </c>
      <c r="AL104" s="29" t="s">
        <v>20</v>
      </c>
      <c r="AM104" s="29" t="s">
        <v>21</v>
      </c>
    </row>
    <row r="105" ht="15.75" customHeight="1">
      <c r="I105" s="7" t="s">
        <v>868</v>
      </c>
      <c r="K105" s="7">
        <v>-6166.0</v>
      </c>
      <c r="L105" s="7">
        <v>-992.0</v>
      </c>
      <c r="Q105" s="7" t="s">
        <v>687</v>
      </c>
      <c r="T105" s="7">
        <v>961.825</v>
      </c>
      <c r="U105" s="7">
        <v>2942.064</v>
      </c>
      <c r="V105" s="7">
        <v>724.746</v>
      </c>
      <c r="W105" s="7">
        <v>952.399</v>
      </c>
      <c r="Y105" s="7" t="s">
        <v>687</v>
      </c>
      <c r="Z105" s="29" t="s">
        <v>1014</v>
      </c>
      <c r="AA105" s="29" t="s">
        <v>17</v>
      </c>
      <c r="AB105" s="29" t="s">
        <v>18</v>
      </c>
      <c r="AC105" s="29" t="s">
        <v>19</v>
      </c>
      <c r="AD105" s="29" t="s">
        <v>20</v>
      </c>
      <c r="AE105" s="29" t="s">
        <v>21</v>
      </c>
      <c r="AG105" s="7" t="s">
        <v>351</v>
      </c>
      <c r="AK105" s="7">
        <v>27621.723</v>
      </c>
      <c r="AL105" s="7">
        <v>36838.04</v>
      </c>
      <c r="AM105" s="7">
        <v>36914.725</v>
      </c>
    </row>
    <row r="106" ht="15.75" customHeight="1">
      <c r="I106" s="7" t="s">
        <v>610</v>
      </c>
      <c r="M106" s="7">
        <v>35284.999</v>
      </c>
      <c r="N106" s="7">
        <v>27734.63</v>
      </c>
      <c r="O106" s="7">
        <v>30522.469</v>
      </c>
      <c r="Q106" s="7" t="s">
        <v>696</v>
      </c>
      <c r="R106" s="7">
        <v>19776.0</v>
      </c>
      <c r="S106" s="7">
        <v>7047.0</v>
      </c>
      <c r="T106" s="7">
        <v>961.825</v>
      </c>
      <c r="U106" s="7">
        <v>2942.064</v>
      </c>
      <c r="V106" s="7">
        <v>724.746</v>
      </c>
      <c r="W106" s="7">
        <v>952.399</v>
      </c>
      <c r="Y106" s="7" t="s">
        <v>687</v>
      </c>
      <c r="AE106" s="7">
        <v>15583.591</v>
      </c>
      <c r="AL106" s="7">
        <v>0.0</v>
      </c>
    </row>
    <row r="107" ht="15.75" customHeight="1">
      <c r="I107" s="7" t="s">
        <v>624</v>
      </c>
      <c r="J107" s="7">
        <v>0.0</v>
      </c>
      <c r="K107" s="7">
        <v>17283.0</v>
      </c>
      <c r="L107" s="7">
        <v>27993.0</v>
      </c>
      <c r="M107" s="7">
        <v>35284.999</v>
      </c>
      <c r="N107" s="7">
        <v>27734.63</v>
      </c>
      <c r="O107" s="7">
        <v>30522.469</v>
      </c>
      <c r="Y107" s="7" t="s">
        <v>696</v>
      </c>
      <c r="Z107" s="7">
        <v>0.0</v>
      </c>
      <c r="AA107" s="7">
        <v>0.0</v>
      </c>
      <c r="AB107" s="7">
        <v>0.0</v>
      </c>
      <c r="AC107" s="7">
        <v>0.0</v>
      </c>
      <c r="AD107" s="7">
        <v>0.0</v>
      </c>
      <c r="AE107" s="7">
        <v>15583.591</v>
      </c>
      <c r="AG107" s="7" t="s">
        <v>872</v>
      </c>
      <c r="AH107" s="29" t="s">
        <v>1014</v>
      </c>
      <c r="AI107" s="29" t="s">
        <v>17</v>
      </c>
      <c r="AJ107" s="29" t="s">
        <v>18</v>
      </c>
      <c r="AK107" s="29" t="s">
        <v>19</v>
      </c>
      <c r="AL107" s="29" t="s">
        <v>20</v>
      </c>
      <c r="AM107" s="29" t="s">
        <v>21</v>
      </c>
    </row>
    <row r="108" ht="15.75" customHeight="1">
      <c r="Q108" s="7" t="s">
        <v>329</v>
      </c>
      <c r="R108" s="29" t="s">
        <v>1014</v>
      </c>
      <c r="S108" s="29" t="s">
        <v>17</v>
      </c>
      <c r="T108" s="29" t="s">
        <v>18</v>
      </c>
      <c r="U108" s="29" t="s">
        <v>19</v>
      </c>
      <c r="V108" s="29" t="s">
        <v>20</v>
      </c>
      <c r="W108" s="29" t="s">
        <v>21</v>
      </c>
      <c r="AG108" s="7" t="s">
        <v>872</v>
      </c>
      <c r="AK108" s="7">
        <v>2685.732</v>
      </c>
      <c r="AL108" s="7">
        <v>2686.578</v>
      </c>
      <c r="AM108" s="7">
        <v>2729.234</v>
      </c>
    </row>
    <row r="109" ht="15.75" customHeight="1">
      <c r="I109" s="7" t="s">
        <v>281</v>
      </c>
      <c r="J109" s="29" t="s">
        <v>1014</v>
      </c>
      <c r="K109" s="29" t="s">
        <v>17</v>
      </c>
      <c r="L109" s="29" t="s">
        <v>18</v>
      </c>
      <c r="M109" s="29" t="s">
        <v>19</v>
      </c>
      <c r="N109" s="29" t="s">
        <v>20</v>
      </c>
      <c r="O109" s="29" t="s">
        <v>21</v>
      </c>
      <c r="Q109" s="7" t="s">
        <v>329</v>
      </c>
      <c r="T109" s="7">
        <v>13340.809</v>
      </c>
      <c r="U109" s="7">
        <v>10988.769</v>
      </c>
      <c r="V109" s="7">
        <v>10370.768</v>
      </c>
      <c r="W109" s="7">
        <v>11777.515</v>
      </c>
      <c r="Y109" s="7" t="s">
        <v>329</v>
      </c>
      <c r="Z109" s="29" t="s">
        <v>1014</v>
      </c>
      <c r="AA109" s="29" t="s">
        <v>17</v>
      </c>
      <c r="AB109" s="29" t="s">
        <v>18</v>
      </c>
      <c r="AC109" s="29" t="s">
        <v>19</v>
      </c>
      <c r="AD109" s="29" t="s">
        <v>20</v>
      </c>
      <c r="AE109" s="29" t="s">
        <v>21</v>
      </c>
      <c r="AG109" s="7" t="s">
        <v>876</v>
      </c>
      <c r="AH109" s="7">
        <v>0.0</v>
      </c>
      <c r="AI109" s="7">
        <v>0.0</v>
      </c>
      <c r="AJ109" s="7">
        <v>0.0</v>
      </c>
      <c r="AK109" s="7">
        <v>2685.732</v>
      </c>
      <c r="AL109" s="7">
        <v>2686.578</v>
      </c>
      <c r="AM109" s="7">
        <v>2729.234</v>
      </c>
    </row>
    <row r="110" ht="15.75" customHeight="1">
      <c r="I110" s="7" t="s">
        <v>737</v>
      </c>
      <c r="K110" s="7">
        <v>0.0</v>
      </c>
      <c r="L110" s="7">
        <v>12928.0</v>
      </c>
      <c r="Q110" s="7" t="s">
        <v>880</v>
      </c>
      <c r="R110" s="7">
        <v>0.0</v>
      </c>
      <c r="S110" s="7">
        <v>0.0</v>
      </c>
      <c r="T110" s="7">
        <v>13340.809</v>
      </c>
      <c r="U110" s="7">
        <v>10988.769</v>
      </c>
      <c r="V110" s="7">
        <v>10370.768</v>
      </c>
      <c r="W110" s="7">
        <v>11777.515</v>
      </c>
      <c r="Y110" s="7" t="s">
        <v>880</v>
      </c>
      <c r="Z110" s="7">
        <v>0.0</v>
      </c>
      <c r="AA110" s="7">
        <v>0.0</v>
      </c>
      <c r="AB110" s="7">
        <v>0.0</v>
      </c>
      <c r="AC110" s="7">
        <v>0.0</v>
      </c>
      <c r="AD110" s="7">
        <v>0.0</v>
      </c>
      <c r="AE110" s="7">
        <v>0.0</v>
      </c>
    </row>
    <row r="111" ht="15.75" customHeight="1">
      <c r="I111" s="7" t="s">
        <v>884</v>
      </c>
      <c r="K111" s="7">
        <v>7804.0</v>
      </c>
      <c r="L111" s="7">
        <v>5176.0</v>
      </c>
      <c r="AG111" s="7" t="s">
        <v>772</v>
      </c>
      <c r="AH111" s="29" t="s">
        <v>1014</v>
      </c>
      <c r="AI111" s="29" t="s">
        <v>17</v>
      </c>
      <c r="AJ111" s="29" t="s">
        <v>18</v>
      </c>
      <c r="AK111" s="29" t="s">
        <v>19</v>
      </c>
      <c r="AL111" s="29" t="s">
        <v>20</v>
      </c>
      <c r="AM111" s="29" t="s">
        <v>21</v>
      </c>
    </row>
    <row r="112" ht="15.75" customHeight="1">
      <c r="I112" s="7" t="s">
        <v>741</v>
      </c>
      <c r="K112" s="7">
        <v>2086.0</v>
      </c>
      <c r="L112" s="7">
        <v>4113.0</v>
      </c>
      <c r="Q112" s="7" t="s">
        <v>890</v>
      </c>
      <c r="R112" s="29" t="s">
        <v>1014</v>
      </c>
      <c r="S112" s="29" t="s">
        <v>17</v>
      </c>
      <c r="T112" s="29" t="s">
        <v>18</v>
      </c>
      <c r="U112" s="29" t="s">
        <v>19</v>
      </c>
      <c r="V112" s="29" t="s">
        <v>20</v>
      </c>
      <c r="W112" s="29" t="s">
        <v>21</v>
      </c>
      <c r="Y112" s="7" t="s">
        <v>824</v>
      </c>
      <c r="Z112" s="29" t="s">
        <v>1014</v>
      </c>
      <c r="AA112" s="29" t="s">
        <v>17</v>
      </c>
      <c r="AB112" s="29" t="s">
        <v>18</v>
      </c>
      <c r="AC112" s="29" t="s">
        <v>19</v>
      </c>
      <c r="AD112" s="29" t="s">
        <v>20</v>
      </c>
      <c r="AE112" s="29" t="s">
        <v>21</v>
      </c>
      <c r="AG112" s="7" t="s">
        <v>772</v>
      </c>
      <c r="AK112" s="7">
        <v>4964.617</v>
      </c>
      <c r="AL112" s="7">
        <v>6716.534</v>
      </c>
      <c r="AM112" s="7">
        <v>7394.33</v>
      </c>
    </row>
    <row r="113" ht="15.75" customHeight="1">
      <c r="I113" s="7" t="s">
        <v>745</v>
      </c>
      <c r="K113" s="7">
        <v>1908.0</v>
      </c>
      <c r="L113" s="7">
        <v>1267.0</v>
      </c>
      <c r="M113" s="7">
        <v>5736.331</v>
      </c>
      <c r="N113" s="7">
        <v>3231.082</v>
      </c>
      <c r="Q113" s="7" t="s">
        <v>890</v>
      </c>
      <c r="T113" s="7">
        <v>7242.997</v>
      </c>
      <c r="U113" s="7">
        <v>1151.796</v>
      </c>
      <c r="V113" s="7">
        <v>2794.944</v>
      </c>
      <c r="W113" s="7">
        <v>2096.878</v>
      </c>
      <c r="Y113" s="7" t="s">
        <v>894</v>
      </c>
      <c r="Z113" s="7">
        <v>0.0</v>
      </c>
      <c r="AA113" s="7">
        <v>0.0</v>
      </c>
      <c r="AB113" s="7">
        <v>0.0</v>
      </c>
      <c r="AC113" s="7">
        <v>0.0</v>
      </c>
      <c r="AD113" s="7">
        <v>0.0</v>
      </c>
      <c r="AE113" s="7">
        <v>0.0</v>
      </c>
      <c r="AG113" s="7" t="s">
        <v>778</v>
      </c>
      <c r="AH113" s="7">
        <v>0.0</v>
      </c>
      <c r="AI113" s="7">
        <v>0.0</v>
      </c>
      <c r="AJ113" s="7">
        <v>0.0</v>
      </c>
      <c r="AK113" s="7">
        <v>4964.617</v>
      </c>
      <c r="AL113" s="7">
        <v>6716.534</v>
      </c>
      <c r="AM113" s="7">
        <v>7394.33</v>
      </c>
    </row>
    <row r="114" ht="15.75" customHeight="1">
      <c r="I114" s="7" t="s">
        <v>897</v>
      </c>
      <c r="K114" s="7">
        <v>344.0</v>
      </c>
      <c r="L114" s="7">
        <v>771.0</v>
      </c>
      <c r="Q114" s="7" t="s">
        <v>898</v>
      </c>
      <c r="R114" s="7">
        <v>0.0</v>
      </c>
      <c r="S114" s="7">
        <v>0.0</v>
      </c>
      <c r="T114" s="7">
        <v>7242.997</v>
      </c>
      <c r="U114" s="7">
        <v>1151.796</v>
      </c>
      <c r="V114" s="7">
        <v>2794.944</v>
      </c>
      <c r="W114" s="7">
        <v>2096.878</v>
      </c>
    </row>
    <row r="115" ht="15.75" customHeight="1">
      <c r="I115" s="7" t="s">
        <v>902</v>
      </c>
      <c r="K115" s="7">
        <v>0.0</v>
      </c>
      <c r="L115" s="7">
        <v>594.0</v>
      </c>
      <c r="Y115" s="7" t="s">
        <v>852</v>
      </c>
      <c r="Z115" s="29" t="s">
        <v>1014</v>
      </c>
      <c r="AA115" s="29" t="s">
        <v>17</v>
      </c>
      <c r="AB115" s="29" t="s">
        <v>18</v>
      </c>
      <c r="AC115" s="29" t="s">
        <v>19</v>
      </c>
      <c r="AD115" s="29" t="s">
        <v>20</v>
      </c>
      <c r="AE115" s="29" t="s">
        <v>21</v>
      </c>
      <c r="AG115" s="7" t="s">
        <v>796</v>
      </c>
      <c r="AH115" s="29" t="s">
        <v>1014</v>
      </c>
      <c r="AI115" s="29" t="s">
        <v>17</v>
      </c>
      <c r="AJ115" s="29" t="s">
        <v>18</v>
      </c>
      <c r="AK115" s="29" t="s">
        <v>19</v>
      </c>
      <c r="AL115" s="29" t="s">
        <v>20</v>
      </c>
      <c r="AM115" s="29" t="s">
        <v>21</v>
      </c>
    </row>
    <row r="116" ht="15.75" customHeight="1">
      <c r="I116" s="7" t="s">
        <v>750</v>
      </c>
      <c r="K116" s="7">
        <v>63.0</v>
      </c>
      <c r="L116" s="7">
        <v>67.0</v>
      </c>
      <c r="Q116" s="7" t="s">
        <v>852</v>
      </c>
      <c r="R116" s="29" t="s">
        <v>1014</v>
      </c>
      <c r="S116" s="29" t="s">
        <v>17</v>
      </c>
      <c r="T116" s="29" t="s">
        <v>18</v>
      </c>
      <c r="U116" s="29" t="s">
        <v>19</v>
      </c>
      <c r="V116" s="29" t="s">
        <v>20</v>
      </c>
      <c r="W116" s="29" t="s">
        <v>21</v>
      </c>
      <c r="Y116" s="7" t="s">
        <v>905</v>
      </c>
      <c r="Z116" s="7">
        <v>0.0</v>
      </c>
      <c r="AA116" s="7">
        <v>0.0</v>
      </c>
      <c r="AB116" s="7">
        <v>0.0</v>
      </c>
      <c r="AC116" s="7">
        <v>0.0</v>
      </c>
      <c r="AD116" s="7">
        <v>0.0</v>
      </c>
      <c r="AE116" s="7">
        <v>0.0</v>
      </c>
      <c r="AG116" s="7" t="s">
        <v>366</v>
      </c>
      <c r="AK116" s="7">
        <v>28.825</v>
      </c>
      <c r="AL116" s="7">
        <v>36.26</v>
      </c>
      <c r="AM116" s="7">
        <v>1510.771</v>
      </c>
    </row>
    <row r="117" ht="15.75" customHeight="1">
      <c r="I117" s="7" t="s">
        <v>826</v>
      </c>
      <c r="M117" s="7">
        <v>10077.239</v>
      </c>
      <c r="N117" s="7">
        <v>8649.703</v>
      </c>
      <c r="Q117" s="7" t="s">
        <v>910</v>
      </c>
      <c r="R117" s="7">
        <v>10784.0</v>
      </c>
      <c r="S117" s="7">
        <v>338.0</v>
      </c>
      <c r="T117" s="7">
        <v>7277.919</v>
      </c>
      <c r="U117" s="7">
        <v>6342.868</v>
      </c>
      <c r="V117" s="7">
        <v>16625.629</v>
      </c>
      <c r="W117" s="7">
        <v>25894.625</v>
      </c>
      <c r="Y117" s="7" t="s">
        <v>790</v>
      </c>
      <c r="Z117" s="7">
        <v>0.0</v>
      </c>
      <c r="AA117" s="7">
        <v>0.0</v>
      </c>
      <c r="AB117" s="7">
        <v>0.0</v>
      </c>
      <c r="AC117" s="7">
        <v>0.0</v>
      </c>
      <c r="AD117" s="7">
        <v>0.0</v>
      </c>
      <c r="AE117" s="7">
        <v>0.0</v>
      </c>
      <c r="AG117" s="7" t="s">
        <v>362</v>
      </c>
      <c r="AL117" s="7">
        <v>0.0</v>
      </c>
      <c r="AM117" s="7">
        <v>372.01</v>
      </c>
    </row>
    <row r="118" ht="15.75" customHeight="1">
      <c r="I118" s="7" t="s">
        <v>639</v>
      </c>
      <c r="O118" s="7">
        <v>11734.641</v>
      </c>
      <c r="Q118" s="7" t="s">
        <v>905</v>
      </c>
      <c r="R118" s="7">
        <v>10784.0</v>
      </c>
      <c r="S118" s="7">
        <v>338.0</v>
      </c>
      <c r="T118" s="7">
        <v>7277.919</v>
      </c>
      <c r="U118" s="7">
        <v>6342.868</v>
      </c>
      <c r="V118" s="7">
        <v>16625.629</v>
      </c>
      <c r="W118" s="7">
        <v>25894.625</v>
      </c>
      <c r="Y118" s="7" t="s">
        <v>794</v>
      </c>
      <c r="Z118" s="29" t="s">
        <v>1014</v>
      </c>
      <c r="AA118" s="29" t="s">
        <v>17</v>
      </c>
      <c r="AB118" s="29" t="s">
        <v>18</v>
      </c>
      <c r="AC118" s="29" t="s">
        <v>19</v>
      </c>
      <c r="AD118" s="29" t="s">
        <v>20</v>
      </c>
      <c r="AE118" s="29" t="s">
        <v>21</v>
      </c>
      <c r="AG118" s="7" t="s">
        <v>370</v>
      </c>
      <c r="AK118" s="7">
        <v>2401.992</v>
      </c>
      <c r="AL118" s="7">
        <v>4478.469</v>
      </c>
      <c r="AM118" s="7">
        <v>5548.633</v>
      </c>
    </row>
    <row r="119" ht="15.75" customHeight="1">
      <c r="I119" s="7" t="s">
        <v>281</v>
      </c>
      <c r="M119" s="7">
        <v>97462.798</v>
      </c>
      <c r="N119" s="7">
        <v>50590.621</v>
      </c>
      <c r="O119" s="7">
        <v>12268.349</v>
      </c>
      <c r="Q119" s="7" t="s">
        <v>790</v>
      </c>
      <c r="R119" s="7">
        <v>6210.0</v>
      </c>
      <c r="S119" s="7">
        <v>2000.0</v>
      </c>
      <c r="T119" s="7">
        <v>0.0</v>
      </c>
      <c r="U119" s="7">
        <v>0.0</v>
      </c>
      <c r="V119" s="7">
        <v>0.0</v>
      </c>
      <c r="W119" s="7">
        <v>0.0</v>
      </c>
      <c r="Y119" s="7" t="s">
        <v>807</v>
      </c>
      <c r="Z119" s="7">
        <v>0.0</v>
      </c>
      <c r="AA119" s="7">
        <v>0.0</v>
      </c>
      <c r="AB119" s="7">
        <v>0.0</v>
      </c>
      <c r="AC119" s="7">
        <v>0.0</v>
      </c>
      <c r="AD119" s="7">
        <v>0.0</v>
      </c>
      <c r="AE119" s="7">
        <v>0.0</v>
      </c>
      <c r="AG119" s="7" t="s">
        <v>917</v>
      </c>
      <c r="AH119" s="29" t="s">
        <v>1014</v>
      </c>
      <c r="AI119" s="29" t="s">
        <v>17</v>
      </c>
      <c r="AJ119" s="29" t="s">
        <v>18</v>
      </c>
      <c r="AK119" s="29" t="s">
        <v>19</v>
      </c>
      <c r="AL119" s="29" t="s">
        <v>20</v>
      </c>
      <c r="AM119" s="29" t="s">
        <v>21</v>
      </c>
    </row>
    <row r="120" ht="15.75" customHeight="1">
      <c r="I120" s="7" t="s">
        <v>651</v>
      </c>
      <c r="J120" s="7">
        <v>0.0</v>
      </c>
      <c r="K120" s="7">
        <v>12205.0</v>
      </c>
      <c r="L120" s="7">
        <v>24916.0</v>
      </c>
      <c r="M120" s="7">
        <v>113276.368</v>
      </c>
      <c r="N120" s="7">
        <v>62471.406</v>
      </c>
      <c r="O120" s="7">
        <v>24002.99</v>
      </c>
      <c r="Q120" s="7" t="s">
        <v>794</v>
      </c>
      <c r="R120" s="29" t="s">
        <v>1014</v>
      </c>
      <c r="S120" s="29" t="s">
        <v>17</v>
      </c>
      <c r="T120" s="29" t="s">
        <v>18</v>
      </c>
      <c r="U120" s="29" t="s">
        <v>19</v>
      </c>
      <c r="V120" s="29" t="s">
        <v>20</v>
      </c>
      <c r="W120" s="29" t="s">
        <v>21</v>
      </c>
      <c r="Y120" s="7" t="s">
        <v>810</v>
      </c>
      <c r="Z120" s="7">
        <v>0.0</v>
      </c>
      <c r="AA120" s="7">
        <v>0.0</v>
      </c>
      <c r="AB120" s="7">
        <v>0.0</v>
      </c>
      <c r="AC120" s="7">
        <v>0.0</v>
      </c>
      <c r="AD120" s="7">
        <v>0.0</v>
      </c>
      <c r="AE120" s="7">
        <v>0.0</v>
      </c>
      <c r="AG120" s="7" t="s">
        <v>379</v>
      </c>
      <c r="AK120" s="7">
        <v>476.188</v>
      </c>
      <c r="AL120" s="7">
        <v>527.059</v>
      </c>
    </row>
    <row r="121" ht="15.75" customHeight="1">
      <c r="Q121" s="7" t="s">
        <v>928</v>
      </c>
      <c r="R121" s="7">
        <v>37890.0</v>
      </c>
      <c r="S121" s="7">
        <v>38890.0</v>
      </c>
      <c r="T121" s="7">
        <v>32930.86</v>
      </c>
      <c r="U121" s="7">
        <v>28453.76</v>
      </c>
      <c r="V121" s="7">
        <v>34553.019</v>
      </c>
      <c r="W121" s="7">
        <v>35000.0</v>
      </c>
    </row>
    <row r="122" ht="15.75" customHeight="1">
      <c r="I122" s="7" t="s">
        <v>277</v>
      </c>
      <c r="J122" s="29" t="s">
        <v>1014</v>
      </c>
      <c r="K122" s="29" t="s">
        <v>17</v>
      </c>
      <c r="L122" s="29" t="s">
        <v>18</v>
      </c>
      <c r="M122" s="29" t="s">
        <v>19</v>
      </c>
      <c r="N122" s="29" t="s">
        <v>20</v>
      </c>
      <c r="O122" s="29" t="s">
        <v>21</v>
      </c>
      <c r="Q122" s="7" t="s">
        <v>807</v>
      </c>
      <c r="R122" s="7">
        <v>31680.0</v>
      </c>
      <c r="S122" s="7">
        <v>36890.0</v>
      </c>
      <c r="T122" s="7">
        <v>32930.86</v>
      </c>
      <c r="U122" s="7">
        <v>28453.76</v>
      </c>
      <c r="V122" s="7">
        <v>34553.019</v>
      </c>
      <c r="W122" s="7">
        <v>35000.0</v>
      </c>
      <c r="Y122" s="7" t="s">
        <v>304</v>
      </c>
      <c r="Z122" s="29" t="s">
        <v>1014</v>
      </c>
      <c r="AA122" s="29" t="s">
        <v>17</v>
      </c>
      <c r="AB122" s="29" t="s">
        <v>18</v>
      </c>
      <c r="AC122" s="29" t="s">
        <v>19</v>
      </c>
      <c r="AD122" s="29" t="s">
        <v>20</v>
      </c>
      <c r="AE122" s="29" t="s">
        <v>21</v>
      </c>
    </row>
    <row r="123" ht="15.75" customHeight="1">
      <c r="I123" s="7" t="s">
        <v>769</v>
      </c>
      <c r="K123" s="7">
        <v>5775.0</v>
      </c>
      <c r="L123" s="7">
        <v>1008.0</v>
      </c>
      <c r="M123" s="7">
        <v>6424.899</v>
      </c>
      <c r="N123" s="7">
        <v>3068.276</v>
      </c>
      <c r="Q123" s="7" t="s">
        <v>810</v>
      </c>
      <c r="R123" s="7">
        <v>48674.0</v>
      </c>
      <c r="S123" s="7">
        <v>39228.0</v>
      </c>
      <c r="T123" s="7">
        <v>40208.779</v>
      </c>
      <c r="U123" s="7">
        <v>34796.628</v>
      </c>
      <c r="V123" s="7">
        <v>51178.648</v>
      </c>
      <c r="W123" s="7">
        <v>60894.625</v>
      </c>
      <c r="Y123" s="7" t="s">
        <v>823</v>
      </c>
      <c r="Z123" s="7">
        <v>0.0</v>
      </c>
      <c r="AA123" s="7">
        <v>0.0</v>
      </c>
      <c r="AB123" s="7">
        <v>0.0</v>
      </c>
      <c r="AC123" s="7">
        <v>0.0</v>
      </c>
      <c r="AD123" s="7">
        <v>0.0</v>
      </c>
      <c r="AE123" s="7">
        <v>0.0</v>
      </c>
    </row>
    <row r="124" ht="15.75" customHeight="1">
      <c r="I124" s="7" t="s">
        <v>773</v>
      </c>
      <c r="J124" s="7">
        <v>0.0</v>
      </c>
      <c r="K124" s="7">
        <v>5775.0</v>
      </c>
      <c r="L124" s="7">
        <v>1008.0</v>
      </c>
      <c r="M124" s="7">
        <v>6424.899</v>
      </c>
      <c r="N124" s="7">
        <v>3068.276</v>
      </c>
      <c r="O124" s="7">
        <v>0.0</v>
      </c>
    </row>
    <row r="125" ht="15.75" customHeight="1">
      <c r="Q125" s="7" t="s">
        <v>947</v>
      </c>
      <c r="R125" s="29" t="s">
        <v>1014</v>
      </c>
      <c r="S125" s="29" t="s">
        <v>17</v>
      </c>
      <c r="T125" s="29" t="s">
        <v>18</v>
      </c>
      <c r="U125" s="29" t="s">
        <v>19</v>
      </c>
      <c r="V125" s="29" t="s">
        <v>20</v>
      </c>
      <c r="W125" s="29" t="s">
        <v>21</v>
      </c>
      <c r="Y125" s="7" t="s">
        <v>947</v>
      </c>
      <c r="Z125" s="29" t="s">
        <v>1014</v>
      </c>
      <c r="AA125" s="29" t="s">
        <v>17</v>
      </c>
      <c r="AB125" s="29" t="s">
        <v>18</v>
      </c>
      <c r="AC125" s="29" t="s">
        <v>19</v>
      </c>
      <c r="AD125" s="29" t="s">
        <v>20</v>
      </c>
      <c r="AE125" s="29" t="s">
        <v>21</v>
      </c>
    </row>
    <row r="126" ht="15.75" customHeight="1">
      <c r="I126" s="7" t="s">
        <v>322</v>
      </c>
      <c r="J126" s="29" t="s">
        <v>1014</v>
      </c>
      <c r="K126" s="29" t="s">
        <v>17</v>
      </c>
      <c r="L126" s="29" t="s">
        <v>18</v>
      </c>
      <c r="M126" s="29" t="s">
        <v>19</v>
      </c>
      <c r="N126" s="29" t="s">
        <v>20</v>
      </c>
      <c r="O126" s="29" t="s">
        <v>21</v>
      </c>
      <c r="Q126" s="7" t="s">
        <v>947</v>
      </c>
      <c r="W126" s="7">
        <v>23052.958</v>
      </c>
      <c r="Y126" s="7" t="s">
        <v>952</v>
      </c>
      <c r="Z126" s="7">
        <v>0.0</v>
      </c>
      <c r="AA126" s="7">
        <v>0.0</v>
      </c>
      <c r="AB126" s="7">
        <v>0.0</v>
      </c>
      <c r="AC126" s="7">
        <v>0.0</v>
      </c>
      <c r="AD126" s="7">
        <v>0.0</v>
      </c>
      <c r="AE126" s="7">
        <v>0.0</v>
      </c>
    </row>
    <row r="127" ht="15.75" customHeight="1">
      <c r="I127" s="7" t="s">
        <v>322</v>
      </c>
      <c r="M127" s="7">
        <v>8929.365</v>
      </c>
      <c r="N127" s="7">
        <v>17493.707</v>
      </c>
      <c r="Q127" s="7" t="s">
        <v>952</v>
      </c>
      <c r="R127" s="7">
        <v>0.0</v>
      </c>
      <c r="S127" s="7">
        <v>0.0</v>
      </c>
      <c r="T127" s="7">
        <v>0.0</v>
      </c>
      <c r="U127" s="7">
        <v>0.0</v>
      </c>
      <c r="V127" s="7">
        <v>0.0</v>
      </c>
      <c r="W127" s="7">
        <v>23052.958</v>
      </c>
    </row>
    <row r="128" ht="15.75" customHeight="1">
      <c r="I128" s="7" t="s">
        <v>849</v>
      </c>
      <c r="J128" s="7">
        <v>0.0</v>
      </c>
      <c r="K128" s="7">
        <v>0.0</v>
      </c>
      <c r="L128" s="7">
        <v>0.0</v>
      </c>
      <c r="M128" s="7">
        <v>8929.365</v>
      </c>
      <c r="N128" s="7">
        <v>17493.707</v>
      </c>
      <c r="O128" s="7">
        <v>0.0</v>
      </c>
      <c r="Y128" s="7" t="s">
        <v>715</v>
      </c>
      <c r="Z128" s="29" t="s">
        <v>1014</v>
      </c>
      <c r="AA128" s="29" t="s">
        <v>17</v>
      </c>
      <c r="AB128" s="29" t="s">
        <v>18</v>
      </c>
      <c r="AC128" s="29" t="s">
        <v>19</v>
      </c>
      <c r="AD128" s="29" t="s">
        <v>20</v>
      </c>
      <c r="AE128" s="29" t="s">
        <v>21</v>
      </c>
    </row>
    <row r="129" ht="15.75" customHeight="1">
      <c r="Q129" s="7" t="s">
        <v>715</v>
      </c>
      <c r="R129" s="29" t="s">
        <v>1014</v>
      </c>
      <c r="S129" s="29" t="s">
        <v>17</v>
      </c>
      <c r="T129" s="29" t="s">
        <v>18</v>
      </c>
      <c r="U129" s="29" t="s">
        <v>19</v>
      </c>
      <c r="V129" s="29" t="s">
        <v>20</v>
      </c>
      <c r="W129" s="29" t="s">
        <v>21</v>
      </c>
      <c r="Y129" s="7" t="s">
        <v>332</v>
      </c>
      <c r="AB129" s="7">
        <v>21388.0</v>
      </c>
      <c r="AC129" s="7">
        <v>21388.0</v>
      </c>
      <c r="AD129" s="7">
        <v>21388.0</v>
      </c>
      <c r="AE129" s="7">
        <v>21388.0</v>
      </c>
    </row>
    <row r="130" ht="15.75" customHeight="1">
      <c r="I130" s="7" t="s">
        <v>663</v>
      </c>
      <c r="J130" s="29" t="s">
        <v>1014</v>
      </c>
      <c r="K130" s="29" t="s">
        <v>17</v>
      </c>
      <c r="L130" s="29" t="s">
        <v>18</v>
      </c>
      <c r="M130" s="29" t="s">
        <v>19</v>
      </c>
      <c r="N130" s="29" t="s">
        <v>20</v>
      </c>
      <c r="O130" s="29" t="s">
        <v>21</v>
      </c>
      <c r="Q130" s="7" t="s">
        <v>332</v>
      </c>
      <c r="R130" s="7">
        <v>2125.0</v>
      </c>
      <c r="S130" s="7">
        <v>128348.0</v>
      </c>
      <c r="T130" s="7">
        <v>128370.973</v>
      </c>
      <c r="U130" s="7">
        <v>128397.925</v>
      </c>
      <c r="V130" s="7">
        <v>128397.925</v>
      </c>
      <c r="W130" s="7">
        <v>128414.005</v>
      </c>
      <c r="Y130" s="7" t="s">
        <v>334</v>
      </c>
      <c r="AB130" s="7">
        <v>71.441</v>
      </c>
      <c r="AC130" s="7">
        <v>71.441</v>
      </c>
      <c r="AD130" s="7">
        <v>119.549</v>
      </c>
      <c r="AE130" s="7">
        <v>119.549</v>
      </c>
    </row>
    <row r="131" ht="15.75" customHeight="1">
      <c r="I131" s="7" t="s">
        <v>856</v>
      </c>
      <c r="K131" s="7">
        <v>2698.0</v>
      </c>
      <c r="L131" s="7">
        <v>2006.0</v>
      </c>
      <c r="M131" s="7">
        <v>17662.693</v>
      </c>
      <c r="N131" s="7">
        <v>18017.129</v>
      </c>
      <c r="O131" s="7">
        <v>5366.486</v>
      </c>
      <c r="Q131" s="7" t="s">
        <v>333</v>
      </c>
      <c r="R131" s="7">
        <v>17.0</v>
      </c>
      <c r="S131" s="7">
        <v>17.0</v>
      </c>
      <c r="T131" s="7">
        <v>17.0</v>
      </c>
      <c r="U131" s="7">
        <v>17.0</v>
      </c>
      <c r="V131" s="7">
        <v>17.0</v>
      </c>
      <c r="Y131" s="7" t="s">
        <v>337</v>
      </c>
      <c r="AB131" s="7">
        <v>88.465</v>
      </c>
      <c r="AC131" s="7">
        <v>-2619.893</v>
      </c>
      <c r="AD131" s="7">
        <v>-1956.339</v>
      </c>
      <c r="AE131" s="7">
        <v>-1956.339</v>
      </c>
    </row>
    <row r="132" ht="15.75" customHeight="1">
      <c r="I132" s="7" t="s">
        <v>677</v>
      </c>
      <c r="J132" s="7">
        <v>0.0</v>
      </c>
      <c r="K132" s="7">
        <v>2698.0</v>
      </c>
      <c r="L132" s="7">
        <v>2006.0</v>
      </c>
      <c r="M132" s="7">
        <v>17662.693</v>
      </c>
      <c r="N132" s="7">
        <v>18017.129</v>
      </c>
      <c r="O132" s="7">
        <v>5366.486</v>
      </c>
      <c r="Q132" s="7" t="s">
        <v>334</v>
      </c>
      <c r="R132" s="7">
        <v>3431.0</v>
      </c>
      <c r="S132" s="7">
        <v>3668.0</v>
      </c>
      <c r="T132" s="7">
        <v>3835.227</v>
      </c>
      <c r="U132" s="7">
        <v>4086.595</v>
      </c>
      <c r="V132" s="7">
        <v>4175.852</v>
      </c>
      <c r="W132" s="7">
        <v>4541.229</v>
      </c>
      <c r="Y132" s="7" t="s">
        <v>728</v>
      </c>
      <c r="AE132" s="7">
        <v>1111.626</v>
      </c>
    </row>
    <row r="133" ht="15.75" customHeight="1">
      <c r="Q133" s="7" t="s">
        <v>335</v>
      </c>
      <c r="R133" s="7">
        <v>5872.0</v>
      </c>
      <c r="S133" s="7">
        <v>5917.0</v>
      </c>
      <c r="T133" s="7">
        <v>6351.685</v>
      </c>
      <c r="Y133" s="7" t="s">
        <v>733</v>
      </c>
      <c r="Z133" s="7">
        <v>0.0</v>
      </c>
      <c r="AA133" s="7">
        <v>0.0</v>
      </c>
      <c r="AB133" s="7">
        <v>21547.906</v>
      </c>
      <c r="AC133" s="7">
        <v>18839.548</v>
      </c>
      <c r="AD133" s="7">
        <v>19551.21</v>
      </c>
      <c r="AE133" s="7">
        <v>20662.836</v>
      </c>
    </row>
    <row r="134" ht="15.75" customHeight="1">
      <c r="I134" s="7" t="s">
        <v>687</v>
      </c>
      <c r="J134" s="29" t="s">
        <v>1014</v>
      </c>
      <c r="K134" s="29" t="s">
        <v>17</v>
      </c>
      <c r="L134" s="29" t="s">
        <v>18</v>
      </c>
      <c r="M134" s="29" t="s">
        <v>19</v>
      </c>
      <c r="N134" s="29" t="s">
        <v>20</v>
      </c>
      <c r="O134" s="29" t="s">
        <v>21</v>
      </c>
      <c r="Q134" s="7" t="s">
        <v>981</v>
      </c>
      <c r="U134" s="7">
        <v>5242.18</v>
      </c>
      <c r="V134" s="7">
        <v>5636.34</v>
      </c>
    </row>
    <row r="135" ht="15.75" customHeight="1">
      <c r="I135" s="7" t="s">
        <v>984</v>
      </c>
      <c r="K135" s="7">
        <v>6166.0</v>
      </c>
      <c r="L135" s="7">
        <v>992.0</v>
      </c>
      <c r="Q135" s="7" t="s">
        <v>336</v>
      </c>
      <c r="R135" s="7">
        <v>1893.0</v>
      </c>
      <c r="S135" s="7">
        <v>1050.0</v>
      </c>
      <c r="T135" s="7">
        <v>1146.926</v>
      </c>
      <c r="U135" s="7">
        <v>1237.59</v>
      </c>
      <c r="V135" s="7">
        <v>932.485</v>
      </c>
      <c r="Y135" s="7" t="s">
        <v>347</v>
      </c>
      <c r="Z135" s="29" t="s">
        <v>1014</v>
      </c>
      <c r="AA135" s="29" t="s">
        <v>17</v>
      </c>
      <c r="AB135" s="29" t="s">
        <v>18</v>
      </c>
      <c r="AC135" s="29" t="s">
        <v>19</v>
      </c>
      <c r="AD135" s="29" t="s">
        <v>20</v>
      </c>
      <c r="AE135" s="29" t="s">
        <v>21</v>
      </c>
    </row>
    <row r="136" ht="15.75" customHeight="1">
      <c r="I136" s="7" t="s">
        <v>687</v>
      </c>
      <c r="M136" s="7">
        <v>1006.26</v>
      </c>
      <c r="N136" s="7">
        <v>23346.268</v>
      </c>
      <c r="O136" s="7">
        <v>35461.92</v>
      </c>
      <c r="Q136" s="7" t="s">
        <v>337</v>
      </c>
      <c r="R136" s="7">
        <v>25151.0</v>
      </c>
      <c r="S136" s="7">
        <v>-2843.0</v>
      </c>
      <c r="T136" s="7">
        <v>-1836.117</v>
      </c>
      <c r="U136" s="7">
        <v>360.338</v>
      </c>
      <c r="V136" s="7">
        <v>8745.705</v>
      </c>
      <c r="W136" s="7">
        <v>-4538.771</v>
      </c>
      <c r="Y136" s="7" t="s">
        <v>347</v>
      </c>
      <c r="AB136" s="7">
        <v>20425.762</v>
      </c>
      <c r="AC136" s="7">
        <v>33740.045</v>
      </c>
      <c r="AD136" s="7">
        <v>42955.437</v>
      </c>
      <c r="AE136" s="7">
        <v>33868.198</v>
      </c>
    </row>
    <row r="137" ht="15.75" customHeight="1">
      <c r="I137" s="7" t="s">
        <v>696</v>
      </c>
      <c r="J137" s="7">
        <v>0.0</v>
      </c>
      <c r="K137" s="7">
        <v>6166.0</v>
      </c>
      <c r="L137" s="7">
        <v>992.0</v>
      </c>
      <c r="M137" s="7">
        <v>1006.26</v>
      </c>
      <c r="N137" s="7">
        <v>23346.268</v>
      </c>
      <c r="O137" s="7">
        <v>35461.92</v>
      </c>
      <c r="Q137" s="7" t="s">
        <v>338</v>
      </c>
      <c r="W137" s="7">
        <v>13986.382</v>
      </c>
      <c r="Y137" s="7" t="s">
        <v>753</v>
      </c>
      <c r="Z137" s="7">
        <v>0.0</v>
      </c>
      <c r="AA137" s="7">
        <v>0.0</v>
      </c>
      <c r="AB137" s="7">
        <v>20425.762</v>
      </c>
      <c r="AC137" s="7">
        <v>33740.045</v>
      </c>
      <c r="AD137" s="7">
        <v>42955.437</v>
      </c>
      <c r="AE137" s="7">
        <v>33868.198</v>
      </c>
    </row>
    <row r="138" ht="15.75" customHeight="1">
      <c r="Q138" s="7" t="s">
        <v>339</v>
      </c>
      <c r="W138" s="7">
        <v>3094.496</v>
      </c>
    </row>
    <row r="139" ht="15.75" customHeight="1">
      <c r="I139" s="7" t="s">
        <v>329</v>
      </c>
      <c r="J139" s="29" t="s">
        <v>1014</v>
      </c>
      <c r="K139" s="29" t="s">
        <v>17</v>
      </c>
      <c r="L139" s="29" t="s">
        <v>18</v>
      </c>
      <c r="M139" s="29" t="s">
        <v>19</v>
      </c>
      <c r="N139" s="29" t="s">
        <v>20</v>
      </c>
      <c r="O139" s="29" t="s">
        <v>21</v>
      </c>
      <c r="Q139" s="7" t="s">
        <v>733</v>
      </c>
      <c r="R139" s="7">
        <v>38489.0</v>
      </c>
      <c r="S139" s="7">
        <v>136157.0</v>
      </c>
      <c r="T139" s="7">
        <v>137885.694</v>
      </c>
      <c r="U139" s="7">
        <v>139341.628</v>
      </c>
      <c r="V139" s="7">
        <v>147905.307</v>
      </c>
      <c r="W139" s="7">
        <v>145497.341</v>
      </c>
      <c r="Y139" s="7" t="s">
        <v>351</v>
      </c>
      <c r="Z139" s="29" t="s">
        <v>1014</v>
      </c>
      <c r="AA139" s="29" t="s">
        <v>17</v>
      </c>
      <c r="AB139" s="29" t="s">
        <v>18</v>
      </c>
      <c r="AC139" s="29" t="s">
        <v>19</v>
      </c>
      <c r="AD139" s="29" t="s">
        <v>20</v>
      </c>
      <c r="AE139" s="29" t="s">
        <v>21</v>
      </c>
    </row>
    <row r="140" ht="15.75" customHeight="1">
      <c r="I140" s="7" t="s">
        <v>329</v>
      </c>
      <c r="M140" s="7">
        <v>82034.735</v>
      </c>
      <c r="N140" s="7">
        <v>78759.92</v>
      </c>
      <c r="Y140" s="7" t="s">
        <v>351</v>
      </c>
      <c r="AB140" s="7">
        <v>18340.468</v>
      </c>
      <c r="AC140" s="7">
        <v>32279.762</v>
      </c>
      <c r="AD140" s="7">
        <v>33968.029</v>
      </c>
      <c r="AE140" s="7">
        <v>25079.993</v>
      </c>
    </row>
    <row r="141" ht="15.75" customHeight="1">
      <c r="I141" s="7" t="s">
        <v>880</v>
      </c>
      <c r="J141" s="7">
        <v>0.0</v>
      </c>
      <c r="K141" s="7">
        <v>0.0</v>
      </c>
      <c r="L141" s="7">
        <v>0.0</v>
      </c>
      <c r="M141" s="7">
        <v>82034.735</v>
      </c>
      <c r="N141" s="7">
        <v>78759.92</v>
      </c>
      <c r="O141" s="7">
        <v>0.0</v>
      </c>
      <c r="Q141" s="7" t="s">
        <v>347</v>
      </c>
      <c r="R141" s="29" t="s">
        <v>1014</v>
      </c>
      <c r="S141" s="29" t="s">
        <v>17</v>
      </c>
      <c r="T141" s="29" t="s">
        <v>18</v>
      </c>
      <c r="U141" s="29" t="s">
        <v>19</v>
      </c>
      <c r="V141" s="29" t="s">
        <v>20</v>
      </c>
      <c r="W141" s="29" t="s">
        <v>21</v>
      </c>
      <c r="Y141" s="7" t="s">
        <v>872</v>
      </c>
      <c r="Z141" s="29" t="s">
        <v>1014</v>
      </c>
      <c r="AA141" s="29" t="s">
        <v>17</v>
      </c>
      <c r="AB141" s="29" t="s">
        <v>18</v>
      </c>
      <c r="AC141" s="29" t="s">
        <v>19</v>
      </c>
      <c r="AD141" s="29" t="s">
        <v>20</v>
      </c>
      <c r="AE141" s="29" t="s">
        <v>21</v>
      </c>
    </row>
    <row r="142" ht="15.75" customHeight="1">
      <c r="Q142" s="7" t="s">
        <v>347</v>
      </c>
      <c r="R142" s="7">
        <v>62385.0</v>
      </c>
      <c r="S142" s="7">
        <v>4317.0</v>
      </c>
      <c r="T142" s="7">
        <v>76787.882</v>
      </c>
      <c r="U142" s="7">
        <v>96131.073</v>
      </c>
      <c r="V142" s="7">
        <v>108286.571</v>
      </c>
      <c r="W142" s="7">
        <v>71857.293</v>
      </c>
      <c r="Y142" s="7" t="s">
        <v>876</v>
      </c>
      <c r="Z142" s="7">
        <v>0.0</v>
      </c>
      <c r="AA142" s="7">
        <v>0.0</v>
      </c>
      <c r="AB142" s="7">
        <v>0.0</v>
      </c>
      <c r="AC142" s="7">
        <v>0.0</v>
      </c>
      <c r="AD142" s="7">
        <v>0.0</v>
      </c>
      <c r="AE142" s="7">
        <v>0.0</v>
      </c>
    </row>
    <row r="143" ht="15.75" customHeight="1">
      <c r="I143" s="7" t="s">
        <v>852</v>
      </c>
      <c r="J143" s="29" t="s">
        <v>1014</v>
      </c>
      <c r="K143" s="29" t="s">
        <v>17</v>
      </c>
      <c r="L143" s="29" t="s">
        <v>18</v>
      </c>
      <c r="M143" s="29" t="s">
        <v>19</v>
      </c>
      <c r="N143" s="29" t="s">
        <v>20</v>
      </c>
      <c r="O143" s="29" t="s">
        <v>21</v>
      </c>
      <c r="Q143" s="7" t="s">
        <v>1006</v>
      </c>
      <c r="U143" s="7">
        <v>7691.121</v>
      </c>
      <c r="V143" s="7">
        <v>1299.313</v>
      </c>
      <c r="W143" s="7">
        <v>1219.997</v>
      </c>
    </row>
    <row r="144" ht="15.75" customHeight="1">
      <c r="I144" s="7" t="s">
        <v>1010</v>
      </c>
      <c r="K144" s="7">
        <v>2640.0</v>
      </c>
      <c r="L144" s="7">
        <v>38448.0</v>
      </c>
      <c r="M144" s="7">
        <v>31408.88</v>
      </c>
      <c r="N144" s="7">
        <v>126630.604</v>
      </c>
      <c r="O144" s="7">
        <v>201022.874</v>
      </c>
      <c r="Q144" s="7" t="s">
        <v>1011</v>
      </c>
      <c r="W144" s="7">
        <v>2716.686</v>
      </c>
      <c r="Y144" s="7" t="s">
        <v>772</v>
      </c>
      <c r="Z144" s="29" t="s">
        <v>1014</v>
      </c>
      <c r="AA144" s="29" t="s">
        <v>17</v>
      </c>
      <c r="AB144" s="29" t="s">
        <v>18</v>
      </c>
      <c r="AC144" s="29" t="s">
        <v>19</v>
      </c>
      <c r="AD144" s="29" t="s">
        <v>20</v>
      </c>
      <c r="AE144" s="29" t="s">
        <v>21</v>
      </c>
    </row>
    <row r="145" ht="15.75" customHeight="1">
      <c r="I145" s="7" t="s">
        <v>905</v>
      </c>
      <c r="J145" s="7">
        <v>0.0</v>
      </c>
      <c r="K145" s="7">
        <v>2640.0</v>
      </c>
      <c r="L145" s="7">
        <v>38448.0</v>
      </c>
      <c r="M145" s="7">
        <v>31408.88</v>
      </c>
      <c r="N145" s="7">
        <v>126630.604</v>
      </c>
      <c r="O145" s="7">
        <v>201022.874</v>
      </c>
      <c r="Q145" s="7" t="s">
        <v>1016</v>
      </c>
      <c r="T145" s="7">
        <v>-6346.713</v>
      </c>
      <c r="Y145" s="7" t="s">
        <v>778</v>
      </c>
      <c r="Z145" s="7">
        <v>0.0</v>
      </c>
      <c r="AA145" s="7">
        <v>0.0</v>
      </c>
      <c r="AB145" s="7">
        <v>0.0</v>
      </c>
      <c r="AC145" s="7">
        <v>0.0</v>
      </c>
      <c r="AD145" s="7">
        <v>0.0</v>
      </c>
      <c r="AE145" s="7">
        <v>0.0</v>
      </c>
    </row>
    <row r="146" ht="15.75" customHeight="1">
      <c r="I146" s="7" t="s">
        <v>790</v>
      </c>
      <c r="J146" s="7">
        <v>0.0</v>
      </c>
      <c r="K146" s="7">
        <v>17064.0</v>
      </c>
      <c r="L146" s="7">
        <v>17731.0</v>
      </c>
      <c r="M146" s="7">
        <v>0.0</v>
      </c>
      <c r="N146" s="7">
        <v>0.0</v>
      </c>
      <c r="O146" s="7">
        <v>0.0</v>
      </c>
      <c r="Q146" s="7" t="s">
        <v>753</v>
      </c>
      <c r="R146" s="7">
        <v>62385.0</v>
      </c>
      <c r="S146" s="7">
        <v>4317.0</v>
      </c>
      <c r="T146" s="7">
        <v>70441.169</v>
      </c>
      <c r="U146" s="7">
        <v>103822.194</v>
      </c>
      <c r="V146" s="7">
        <v>109585.884</v>
      </c>
      <c r="W146" s="7">
        <v>75793.97600000001</v>
      </c>
    </row>
    <row r="147" ht="15.75" customHeight="1">
      <c r="I147" s="7" t="s">
        <v>794</v>
      </c>
      <c r="J147" s="29" t="s">
        <v>1014</v>
      </c>
      <c r="K147" s="29" t="s">
        <v>17</v>
      </c>
      <c r="L147" s="29" t="s">
        <v>18</v>
      </c>
      <c r="M147" s="29" t="s">
        <v>19</v>
      </c>
      <c r="N147" s="29" t="s">
        <v>20</v>
      </c>
      <c r="O147" s="29" t="s">
        <v>21</v>
      </c>
      <c r="Y147" s="7" t="s">
        <v>783</v>
      </c>
      <c r="Z147" s="29" t="s">
        <v>1014</v>
      </c>
      <c r="AA147" s="29" t="s">
        <v>17</v>
      </c>
      <c r="AB147" s="29" t="s">
        <v>18</v>
      </c>
      <c r="AC147" s="29" t="s">
        <v>19</v>
      </c>
      <c r="AD147" s="29" t="s">
        <v>20</v>
      </c>
      <c r="AE147" s="29" t="s">
        <v>21</v>
      </c>
    </row>
    <row r="148" ht="15.75" customHeight="1">
      <c r="I148" s="7" t="s">
        <v>798</v>
      </c>
      <c r="K148" s="7">
        <v>302099.0</v>
      </c>
      <c r="L148" s="7">
        <v>254174.0</v>
      </c>
      <c r="M148" s="7">
        <v>241821.898</v>
      </c>
      <c r="N148" s="7">
        <v>273945.7</v>
      </c>
      <c r="O148" s="7">
        <v>274261.801</v>
      </c>
      <c r="Q148" s="7" t="s">
        <v>351</v>
      </c>
      <c r="R148" s="29" t="s">
        <v>1014</v>
      </c>
      <c r="S148" s="29" t="s">
        <v>17</v>
      </c>
      <c r="T148" s="29" t="s">
        <v>18</v>
      </c>
      <c r="U148" s="29" t="s">
        <v>19</v>
      </c>
      <c r="V148" s="29" t="s">
        <v>20</v>
      </c>
      <c r="W148" s="29" t="s">
        <v>21</v>
      </c>
      <c r="Y148" s="7" t="s">
        <v>363</v>
      </c>
      <c r="AB148" s="7">
        <v>2123.984</v>
      </c>
      <c r="AC148" s="7">
        <v>3785.491</v>
      </c>
      <c r="AD148" s="7">
        <v>7594.94</v>
      </c>
      <c r="AE148" s="7">
        <v>7747.944</v>
      </c>
    </row>
    <row r="149" ht="15.75" customHeight="1">
      <c r="I149" s="7" t="s">
        <v>802</v>
      </c>
      <c r="K149" s="7">
        <v>-17064.0</v>
      </c>
      <c r="L149" s="7">
        <v>-17731.0</v>
      </c>
      <c r="Q149" s="7" t="s">
        <v>351</v>
      </c>
      <c r="R149" s="7">
        <v>17393.0</v>
      </c>
      <c r="S149" s="7">
        <v>2451.0</v>
      </c>
      <c r="T149" s="7">
        <v>23875.784</v>
      </c>
      <c r="U149" s="7">
        <v>33975.261</v>
      </c>
      <c r="V149" s="7">
        <v>37811.063</v>
      </c>
      <c r="W149" s="7">
        <v>25528.488</v>
      </c>
      <c r="Y149" s="7" t="s">
        <v>789</v>
      </c>
      <c r="Z149" s="7">
        <v>0.0</v>
      </c>
      <c r="AA149" s="7">
        <v>0.0</v>
      </c>
      <c r="AB149" s="7">
        <v>2123.984</v>
      </c>
      <c r="AC149" s="7">
        <v>3785.491</v>
      </c>
      <c r="AD149" s="7">
        <v>7594.94</v>
      </c>
      <c r="AE149" s="7">
        <v>7747.944</v>
      </c>
    </row>
    <row r="150" ht="15.75" customHeight="1">
      <c r="I150" s="7" t="s">
        <v>807</v>
      </c>
      <c r="J150" s="7">
        <v>0.0</v>
      </c>
      <c r="K150" s="7">
        <v>285035.0</v>
      </c>
      <c r="L150" s="7">
        <v>236443.0</v>
      </c>
      <c r="M150" s="7">
        <v>241821.898</v>
      </c>
      <c r="N150" s="7">
        <v>273945.7</v>
      </c>
      <c r="O150" s="7">
        <v>274261.801</v>
      </c>
      <c r="Q150" s="7" t="s">
        <v>355</v>
      </c>
      <c r="T150" s="7">
        <v>20888.606</v>
      </c>
      <c r="U150" s="7">
        <v>31836.604</v>
      </c>
      <c r="V150" s="7">
        <v>38586.109</v>
      </c>
    </row>
    <row r="151" ht="15.75" customHeight="1">
      <c r="I151" s="7" t="s">
        <v>810</v>
      </c>
      <c r="J151" s="7">
        <v>0.0</v>
      </c>
      <c r="K151" s="7">
        <v>304739.0</v>
      </c>
      <c r="L151" s="7">
        <v>292622.0</v>
      </c>
      <c r="M151" s="7">
        <v>273230.778</v>
      </c>
      <c r="N151" s="7">
        <v>400576.304</v>
      </c>
      <c r="O151" s="7">
        <v>475284.675</v>
      </c>
      <c r="Q151" s="7" t="s">
        <v>772</v>
      </c>
      <c r="R151" s="29" t="s">
        <v>1014</v>
      </c>
      <c r="S151" s="29" t="s">
        <v>17</v>
      </c>
      <c r="T151" s="29" t="s">
        <v>18</v>
      </c>
      <c r="U151" s="29" t="s">
        <v>19</v>
      </c>
      <c r="V151" s="29" t="s">
        <v>20</v>
      </c>
      <c r="W151" s="29" t="s">
        <v>21</v>
      </c>
      <c r="Y151" s="7" t="s">
        <v>796</v>
      </c>
      <c r="Z151" s="29" t="s">
        <v>1014</v>
      </c>
      <c r="AA151" s="29" t="s">
        <v>17</v>
      </c>
      <c r="AB151" s="29" t="s">
        <v>18</v>
      </c>
      <c r="AC151" s="29" t="s">
        <v>19</v>
      </c>
      <c r="AD151" s="29" t="s">
        <v>20</v>
      </c>
      <c r="AE151" s="29" t="s">
        <v>21</v>
      </c>
    </row>
    <row r="152" ht="15.75" customHeight="1">
      <c r="Q152" s="7" t="s">
        <v>772</v>
      </c>
      <c r="R152" s="7">
        <v>11476.0</v>
      </c>
      <c r="S152" s="7">
        <v>1363.0</v>
      </c>
      <c r="T152" s="7">
        <v>19654.592</v>
      </c>
      <c r="U152" s="7">
        <v>25045.563</v>
      </c>
      <c r="V152" s="7">
        <v>17485.196</v>
      </c>
      <c r="Y152" s="7" t="s">
        <v>373</v>
      </c>
      <c r="AB152" s="7">
        <v>3.186</v>
      </c>
      <c r="AC152" s="7">
        <v>-383.15</v>
      </c>
      <c r="AD152" s="7">
        <v>-430.325</v>
      </c>
      <c r="AE152" s="7">
        <v>71.365</v>
      </c>
    </row>
    <row r="153" ht="15.75" customHeight="1">
      <c r="I153" s="7" t="s">
        <v>947</v>
      </c>
      <c r="J153" s="29" t="s">
        <v>1014</v>
      </c>
      <c r="K153" s="29" t="s">
        <v>17</v>
      </c>
      <c r="L153" s="29" t="s">
        <v>18</v>
      </c>
      <c r="M153" s="29" t="s">
        <v>19</v>
      </c>
      <c r="N153" s="29" t="s">
        <v>20</v>
      </c>
      <c r="O153" s="29" t="s">
        <v>21</v>
      </c>
      <c r="Q153" s="7" t="s">
        <v>778</v>
      </c>
      <c r="R153" s="7">
        <v>11476.0</v>
      </c>
      <c r="S153" s="7">
        <v>1363.0</v>
      </c>
      <c r="T153" s="7">
        <v>19654.592</v>
      </c>
      <c r="U153" s="7">
        <v>25045.563</v>
      </c>
      <c r="V153" s="7">
        <v>17485.196</v>
      </c>
      <c r="W153" s="7">
        <v>0.0</v>
      </c>
      <c r="Y153" s="7" t="s">
        <v>917</v>
      </c>
      <c r="Z153" s="29" t="s">
        <v>1014</v>
      </c>
      <c r="AA153" s="29" t="s">
        <v>17</v>
      </c>
      <c r="AB153" s="29" t="s">
        <v>18</v>
      </c>
      <c r="AC153" s="29" t="s">
        <v>19</v>
      </c>
      <c r="AD153" s="29" t="s">
        <v>20</v>
      </c>
      <c r="AE153" s="29" t="s">
        <v>21</v>
      </c>
    </row>
    <row r="154" ht="15.75" customHeight="1">
      <c r="I154" s="7" t="s">
        <v>947</v>
      </c>
      <c r="K154" s="7">
        <v>59943.0</v>
      </c>
      <c r="L154" s="7">
        <v>103822.0</v>
      </c>
      <c r="O154" s="7">
        <v>98928.078</v>
      </c>
      <c r="Y154" s="7" t="s">
        <v>379</v>
      </c>
      <c r="AD154" s="7">
        <v>250.482</v>
      </c>
    </row>
    <row r="155" ht="15.75" customHeight="1">
      <c r="I155" s="7" t="s">
        <v>952</v>
      </c>
      <c r="J155" s="7">
        <v>0.0</v>
      </c>
      <c r="K155" s="7">
        <v>59943.0</v>
      </c>
      <c r="L155" s="7">
        <v>103822.0</v>
      </c>
      <c r="M155" s="7">
        <v>0.0</v>
      </c>
      <c r="N155" s="7">
        <v>0.0</v>
      </c>
      <c r="O155" s="7">
        <v>98928.078</v>
      </c>
      <c r="Q155" s="7" t="s">
        <v>783</v>
      </c>
      <c r="R155" s="29" t="s">
        <v>1014</v>
      </c>
      <c r="S155" s="29" t="s">
        <v>17</v>
      </c>
      <c r="T155" s="29" t="s">
        <v>18</v>
      </c>
      <c r="U155" s="29" t="s">
        <v>19</v>
      </c>
      <c r="V155" s="29" t="s">
        <v>20</v>
      </c>
      <c r="W155" s="29" t="s">
        <v>21</v>
      </c>
      <c r="Y155" s="7" t="s">
        <v>981</v>
      </c>
      <c r="Z155" s="29" t="s">
        <v>1014</v>
      </c>
      <c r="AA155" s="29" t="s">
        <v>17</v>
      </c>
      <c r="AB155" s="29" t="s">
        <v>18</v>
      </c>
      <c r="AC155" s="29" t="s">
        <v>19</v>
      </c>
      <c r="AD155" s="29" t="s">
        <v>20</v>
      </c>
      <c r="AE155" s="29" t="s">
        <v>21</v>
      </c>
    </row>
    <row r="156" ht="15.75" customHeight="1">
      <c r="Q156" s="7" t="s">
        <v>363</v>
      </c>
      <c r="W156" s="7">
        <v>41790.343</v>
      </c>
      <c r="Y156" s="7" t="s">
        <v>1038</v>
      </c>
      <c r="Z156" s="7">
        <v>0.0</v>
      </c>
      <c r="AA156" s="7">
        <v>0.0</v>
      </c>
      <c r="AB156" s="7">
        <v>0.0</v>
      </c>
      <c r="AC156" s="7">
        <v>0.0</v>
      </c>
      <c r="AD156" s="7">
        <v>0.0</v>
      </c>
      <c r="AE156" s="7">
        <v>0.0</v>
      </c>
    </row>
    <row r="157" ht="15.75" customHeight="1">
      <c r="I157" s="7" t="s">
        <v>715</v>
      </c>
      <c r="J157" s="29" t="s">
        <v>1014</v>
      </c>
      <c r="K157" s="29" t="s">
        <v>17</v>
      </c>
      <c r="L157" s="29" t="s">
        <v>18</v>
      </c>
      <c r="M157" s="29" t="s">
        <v>19</v>
      </c>
      <c r="N157" s="29" t="s">
        <v>20</v>
      </c>
      <c r="O157" s="29" t="s">
        <v>21</v>
      </c>
      <c r="Q157" s="7" t="s">
        <v>360</v>
      </c>
      <c r="W157" s="7">
        <v>892.218</v>
      </c>
    </row>
    <row r="158" ht="15.75" customHeight="1">
      <c r="I158" s="7" t="s">
        <v>332</v>
      </c>
      <c r="K158" s="7">
        <v>114975.0</v>
      </c>
      <c r="L158" s="7">
        <v>114995.0</v>
      </c>
      <c r="M158" s="7">
        <v>114995.0</v>
      </c>
      <c r="N158" s="7">
        <v>114995.0</v>
      </c>
      <c r="O158" s="7">
        <v>114995.0</v>
      </c>
      <c r="Q158" s="7" t="s">
        <v>371</v>
      </c>
      <c r="W158" s="7">
        <v>710.364</v>
      </c>
    </row>
    <row r="159" ht="15.75" customHeight="1">
      <c r="I159" s="7" t="s">
        <v>334</v>
      </c>
      <c r="K159" s="7">
        <v>28309.0</v>
      </c>
      <c r="L159" s="7">
        <v>29652.0</v>
      </c>
      <c r="M159" s="7">
        <v>31064.837</v>
      </c>
      <c r="N159" s="7">
        <v>31778.92</v>
      </c>
      <c r="O159" s="7">
        <v>31778.92</v>
      </c>
      <c r="Q159" s="7" t="s">
        <v>789</v>
      </c>
      <c r="R159" s="7">
        <v>0.0</v>
      </c>
      <c r="S159" s="7">
        <v>0.0</v>
      </c>
      <c r="T159" s="7">
        <v>0.0</v>
      </c>
      <c r="U159" s="7">
        <v>0.0</v>
      </c>
      <c r="V159" s="7">
        <v>0.0</v>
      </c>
      <c r="W159" s="7">
        <v>43392.925</v>
      </c>
    </row>
    <row r="160" ht="15.75" customHeight="1">
      <c r="I160" s="7" t="s">
        <v>981</v>
      </c>
      <c r="M160" s="7">
        <v>-6800.427</v>
      </c>
      <c r="N160" s="7">
        <v>22470.203</v>
      </c>
    </row>
    <row r="161" ht="15.75" customHeight="1">
      <c r="I161" s="7" t="s">
        <v>337</v>
      </c>
      <c r="K161" s="7">
        <v>306165.0</v>
      </c>
      <c r="L161" s="7">
        <v>326342.0</v>
      </c>
      <c r="M161" s="7">
        <v>386272.013</v>
      </c>
      <c r="N161" s="7">
        <v>392772.881</v>
      </c>
      <c r="O161" s="7">
        <v>362761.969</v>
      </c>
      <c r="Q161" s="7" t="s">
        <v>1053</v>
      </c>
      <c r="R161" s="29" t="s">
        <v>1014</v>
      </c>
      <c r="S161" s="29" t="s">
        <v>17</v>
      </c>
      <c r="T161" s="29" t="s">
        <v>18</v>
      </c>
      <c r="U161" s="29" t="s">
        <v>19</v>
      </c>
      <c r="V161" s="29" t="s">
        <v>20</v>
      </c>
      <c r="W161" s="29" t="s">
        <v>21</v>
      </c>
    </row>
    <row r="162" ht="15.75" customHeight="1">
      <c r="I162" s="7" t="s">
        <v>728</v>
      </c>
      <c r="O162" s="7">
        <v>2151.954</v>
      </c>
      <c r="Q162" s="7" t="s">
        <v>366</v>
      </c>
      <c r="R162" s="7">
        <v>4011.0</v>
      </c>
      <c r="S162" s="7">
        <v>47.0</v>
      </c>
    </row>
    <row r="163" ht="15.75" customHeight="1">
      <c r="I163" s="7" t="s">
        <v>733</v>
      </c>
      <c r="J163" s="7">
        <v>0.0</v>
      </c>
      <c r="K163" s="7">
        <v>449449.0</v>
      </c>
      <c r="L163" s="7">
        <v>470989.0</v>
      </c>
      <c r="M163" s="7">
        <v>525531.423</v>
      </c>
      <c r="N163" s="7">
        <v>562017.004</v>
      </c>
      <c r="O163" s="7">
        <v>511687.843</v>
      </c>
      <c r="Q163" s="7" t="s">
        <v>362</v>
      </c>
      <c r="R163" s="7">
        <v>3209.0</v>
      </c>
      <c r="S163" s="7">
        <v>393.0</v>
      </c>
      <c r="U163" s="7">
        <v>6972.309</v>
      </c>
      <c r="V163" s="7">
        <v>6928.491</v>
      </c>
    </row>
    <row r="164" ht="15.75" customHeight="1">
      <c r="Q164" s="7" t="s">
        <v>373</v>
      </c>
      <c r="W164" s="7">
        <v>-2425.693</v>
      </c>
    </row>
    <row r="165" ht="15.75" customHeight="1">
      <c r="I165" s="7" t="s">
        <v>347</v>
      </c>
      <c r="J165" s="29" t="s">
        <v>1014</v>
      </c>
      <c r="K165" s="29" t="s">
        <v>17</v>
      </c>
      <c r="L165" s="29" t="s">
        <v>18</v>
      </c>
      <c r="M165" s="29" t="s">
        <v>19</v>
      </c>
      <c r="N165" s="29" t="s">
        <v>20</v>
      </c>
      <c r="O165" s="29" t="s">
        <v>21</v>
      </c>
      <c r="Q165" s="7" t="s">
        <v>386</v>
      </c>
      <c r="T165" s="7">
        <v>61.147</v>
      </c>
      <c r="U165" s="7">
        <v>11.521</v>
      </c>
    </row>
    <row r="166" ht="15.75" customHeight="1">
      <c r="I166" s="7" t="s">
        <v>347</v>
      </c>
      <c r="K166" s="7">
        <v>242015.0</v>
      </c>
      <c r="L166" s="7">
        <v>305353.0</v>
      </c>
      <c r="M166" s="7">
        <v>360978.116</v>
      </c>
      <c r="N166" s="7">
        <v>419772.195</v>
      </c>
      <c r="O166" s="7">
        <v>312105.949</v>
      </c>
      <c r="Q166" s="7" t="s">
        <v>370</v>
      </c>
      <c r="S166" s="7">
        <v>360.0</v>
      </c>
      <c r="T166" s="7">
        <v>3182.04</v>
      </c>
      <c r="U166" s="7">
        <v>3111.028</v>
      </c>
      <c r="V166" s="7">
        <v>3208.625</v>
      </c>
      <c r="W166" s="7">
        <v>3621.007</v>
      </c>
    </row>
    <row r="167" ht="15.75" customHeight="1">
      <c r="I167" s="7" t="s">
        <v>350</v>
      </c>
      <c r="K167" s="7">
        <v>95451.0</v>
      </c>
      <c r="L167" s="7">
        <v>24695.0</v>
      </c>
      <c r="Q167" s="7" t="s">
        <v>388</v>
      </c>
      <c r="W167" s="7">
        <v>3470.576</v>
      </c>
    </row>
    <row r="168" ht="15.75" customHeight="1">
      <c r="I168" s="7" t="s">
        <v>753</v>
      </c>
      <c r="J168" s="7">
        <v>0.0</v>
      </c>
      <c r="K168" s="7">
        <v>337466.0</v>
      </c>
      <c r="L168" s="7">
        <v>330048.0</v>
      </c>
      <c r="M168" s="7">
        <v>360978.116</v>
      </c>
      <c r="N168" s="7">
        <v>419772.195</v>
      </c>
      <c r="O168" s="7">
        <v>312105.949</v>
      </c>
      <c r="Q168" s="7" t="s">
        <v>917</v>
      </c>
      <c r="R168" s="29" t="s">
        <v>1014</v>
      </c>
      <c r="S168" s="29" t="s">
        <v>17</v>
      </c>
      <c r="T168" s="29" t="s">
        <v>18</v>
      </c>
      <c r="U168" s="29" t="s">
        <v>19</v>
      </c>
      <c r="V168" s="29" t="s">
        <v>20</v>
      </c>
      <c r="W168" s="29" t="s">
        <v>21</v>
      </c>
    </row>
    <row r="169" ht="15.75" customHeight="1">
      <c r="Q169" s="7" t="s">
        <v>379</v>
      </c>
      <c r="R169" s="7">
        <v>1220.0</v>
      </c>
      <c r="S169" s="7">
        <v>155.0</v>
      </c>
      <c r="W169" s="7">
        <v>191.149</v>
      </c>
    </row>
    <row r="170" ht="15.75" customHeight="1">
      <c r="I170" s="7" t="s">
        <v>351</v>
      </c>
      <c r="J170" s="29" t="s">
        <v>1014</v>
      </c>
      <c r="K170" s="29" t="s">
        <v>17</v>
      </c>
      <c r="L170" s="29" t="s">
        <v>18</v>
      </c>
      <c r="M170" s="29" t="s">
        <v>19</v>
      </c>
      <c r="N170" s="29" t="s">
        <v>20</v>
      </c>
      <c r="O170" s="29" t="s">
        <v>21</v>
      </c>
      <c r="Q170" s="7" t="s">
        <v>390</v>
      </c>
      <c r="T170" s="7">
        <v>1783.798</v>
      </c>
      <c r="U170" s="7">
        <v>1274.576</v>
      </c>
      <c r="V170" s="7">
        <v>1852.144</v>
      </c>
    </row>
    <row r="171" ht="15.75" customHeight="1">
      <c r="I171" s="7" t="s">
        <v>351</v>
      </c>
      <c r="K171" s="7">
        <v>151220.0</v>
      </c>
      <c r="L171" s="7">
        <v>201551.0</v>
      </c>
      <c r="M171" s="7">
        <v>232949.844</v>
      </c>
      <c r="N171" s="7">
        <v>245523.443</v>
      </c>
      <c r="O171" s="7">
        <v>186879.058</v>
      </c>
      <c r="Q171" s="7" t="s">
        <v>391</v>
      </c>
      <c r="T171" s="7">
        <v>-158.46</v>
      </c>
      <c r="U171" s="7">
        <v>-967.83</v>
      </c>
      <c r="V171" s="7">
        <v>-857.055</v>
      </c>
    </row>
    <row r="172" ht="15.75" customHeight="1">
      <c r="I172" s="7" t="s">
        <v>355</v>
      </c>
      <c r="M172" s="7">
        <v>55877.684</v>
      </c>
      <c r="N172" s="7">
        <v>55517.559</v>
      </c>
    </row>
    <row r="173" ht="15.75" customHeight="1">
      <c r="I173" s="7" t="s">
        <v>872</v>
      </c>
      <c r="J173" s="29" t="s">
        <v>1014</v>
      </c>
      <c r="K173" s="29" t="s">
        <v>17</v>
      </c>
      <c r="L173" s="29" t="s">
        <v>18</v>
      </c>
      <c r="M173" s="29" t="s">
        <v>19</v>
      </c>
      <c r="N173" s="29" t="s">
        <v>20</v>
      </c>
      <c r="O173" s="29" t="s">
        <v>21</v>
      </c>
    </row>
    <row r="174" ht="15.75" customHeight="1">
      <c r="I174" s="7" t="s">
        <v>872</v>
      </c>
      <c r="K174" s="7">
        <v>121127.0</v>
      </c>
      <c r="L174" s="7">
        <v>71779.0</v>
      </c>
    </row>
    <row r="175" ht="15.75" customHeight="1">
      <c r="I175" s="7" t="s">
        <v>876</v>
      </c>
      <c r="J175" s="7">
        <v>0.0</v>
      </c>
      <c r="K175" s="7">
        <v>121127.0</v>
      </c>
      <c r="L175" s="7">
        <v>71779.0</v>
      </c>
      <c r="M175" s="7">
        <v>0.0</v>
      </c>
      <c r="N175" s="7">
        <v>0.0</v>
      </c>
      <c r="O175" s="7">
        <v>0.0</v>
      </c>
    </row>
    <row r="176" ht="15.75" customHeight="1"/>
    <row r="177" ht="15.75" customHeight="1">
      <c r="I177" s="7" t="s">
        <v>772</v>
      </c>
      <c r="J177" s="29" t="s">
        <v>1014</v>
      </c>
      <c r="K177" s="29" t="s">
        <v>17</v>
      </c>
      <c r="L177" s="29" t="s">
        <v>18</v>
      </c>
      <c r="M177" s="29" t="s">
        <v>19</v>
      </c>
      <c r="N177" s="29" t="s">
        <v>20</v>
      </c>
      <c r="O177" s="29" t="s">
        <v>21</v>
      </c>
    </row>
    <row r="178" ht="15.75" customHeight="1">
      <c r="I178" s="7" t="s">
        <v>772</v>
      </c>
      <c r="M178" s="7">
        <v>47750.816</v>
      </c>
      <c r="N178" s="7">
        <v>35870.766</v>
      </c>
      <c r="O178" s="7">
        <v>68485.369</v>
      </c>
    </row>
    <row r="179" ht="15.75" customHeight="1">
      <c r="I179" s="7" t="s">
        <v>778</v>
      </c>
      <c r="J179" s="7">
        <v>0.0</v>
      </c>
      <c r="K179" s="7">
        <v>0.0</v>
      </c>
      <c r="L179" s="7">
        <v>0.0</v>
      </c>
      <c r="M179" s="7">
        <v>47750.816</v>
      </c>
      <c r="N179" s="7">
        <v>35870.766</v>
      </c>
      <c r="O179" s="7">
        <v>68485.369</v>
      </c>
    </row>
    <row r="180" ht="15.75" customHeight="1"/>
    <row r="181" ht="15.75" customHeight="1">
      <c r="I181" s="7" t="s">
        <v>796</v>
      </c>
      <c r="J181" s="29" t="s">
        <v>1014</v>
      </c>
      <c r="K181" s="29" t="s">
        <v>17</v>
      </c>
      <c r="L181" s="29" t="s">
        <v>18</v>
      </c>
      <c r="M181" s="29" t="s">
        <v>19</v>
      </c>
      <c r="N181" s="29" t="s">
        <v>20</v>
      </c>
      <c r="O181" s="29" t="s">
        <v>21</v>
      </c>
    </row>
    <row r="182" ht="15.75" customHeight="1">
      <c r="I182" s="7" t="s">
        <v>373</v>
      </c>
      <c r="K182" s="7">
        <v>-9697.0</v>
      </c>
      <c r="L182" s="7">
        <v>-7491.0</v>
      </c>
      <c r="M182" s="7">
        <v>11096.432</v>
      </c>
      <c r="N182" s="7">
        <v>-48207.211</v>
      </c>
      <c r="O182" s="7">
        <v>-12947.056</v>
      </c>
    </row>
    <row r="183" ht="15.75" customHeight="1">
      <c r="I183" s="7" t="s">
        <v>370</v>
      </c>
      <c r="O183" s="7">
        <v>41642.513</v>
      </c>
    </row>
    <row r="184" ht="15.75" customHeight="1">
      <c r="I184" s="7" t="s">
        <v>378</v>
      </c>
      <c r="K184" s="7">
        <v>-28859.0</v>
      </c>
      <c r="L184" s="7">
        <v>-22736.0</v>
      </c>
      <c r="M184" s="7">
        <v>-23429.493</v>
      </c>
      <c r="N184" s="7">
        <v>-24862.069</v>
      </c>
    </row>
    <row r="185" ht="15.75" customHeight="1">
      <c r="I185" s="7" t="s">
        <v>917</v>
      </c>
      <c r="J185" s="29" t="s">
        <v>1014</v>
      </c>
      <c r="K185" s="29" t="s">
        <v>17</v>
      </c>
      <c r="L185" s="29" t="s">
        <v>18</v>
      </c>
      <c r="M185" s="29" t="s">
        <v>19</v>
      </c>
      <c r="N185" s="29" t="s">
        <v>20</v>
      </c>
      <c r="O185" s="29" t="s">
        <v>21</v>
      </c>
    </row>
    <row r="186" ht="15.75" customHeight="1">
      <c r="I186" s="7" t="s">
        <v>379</v>
      </c>
      <c r="K186" s="7">
        <v>7128.0</v>
      </c>
      <c r="L186" s="7">
        <v>5077.0</v>
      </c>
    </row>
    <row r="187" ht="15.75" customHeight="1">
      <c r="I187" s="7" t="s">
        <v>390</v>
      </c>
      <c r="N187" s="7">
        <v>-3998.758</v>
      </c>
    </row>
    <row r="188" ht="15.75" customHeight="1">
      <c r="I188" s="7" t="s">
        <v>391</v>
      </c>
      <c r="M188" s="7">
        <v>4056.259</v>
      </c>
      <c r="N188" s="7">
        <v>1422.562</v>
      </c>
    </row>
    <row r="189" ht="15.75" customHeight="1">
      <c r="I189" s="7" t="s">
        <v>981</v>
      </c>
      <c r="J189" s="29" t="s">
        <v>1014</v>
      </c>
      <c r="K189" s="29" t="s">
        <v>17</v>
      </c>
      <c r="L189" s="29" t="s">
        <v>18</v>
      </c>
      <c r="M189" s="29" t="s">
        <v>19</v>
      </c>
      <c r="N189" s="29" t="s">
        <v>20</v>
      </c>
      <c r="O189" s="29" t="s">
        <v>21</v>
      </c>
    </row>
    <row r="190" ht="15.75" customHeight="1">
      <c r="I190" s="7" t="s">
        <v>392</v>
      </c>
      <c r="M190" s="7">
        <v>-690.114</v>
      </c>
      <c r="N190" s="7">
        <v>814.917</v>
      </c>
    </row>
    <row r="191" ht="15.75" customHeight="1">
      <c r="I191" s="7" t="s">
        <v>338</v>
      </c>
      <c r="M191" s="7">
        <v>0.0</v>
      </c>
      <c r="N191" s="7">
        <v>38442.628</v>
      </c>
    </row>
    <row r="192" ht="15.75" customHeight="1">
      <c r="I192" s="7" t="s">
        <v>308</v>
      </c>
      <c r="M192" s="7">
        <v>172.528</v>
      </c>
      <c r="N192" s="7">
        <v>-9986.915</v>
      </c>
    </row>
    <row r="193" ht="15.75" customHeight="1">
      <c r="I193" s="7" t="s">
        <v>1038</v>
      </c>
      <c r="J193" s="7">
        <v>0.0</v>
      </c>
      <c r="K193" s="7">
        <v>0.0</v>
      </c>
      <c r="L193" s="7">
        <v>0.0</v>
      </c>
      <c r="M193" s="7">
        <v>-517.586</v>
      </c>
      <c r="N193" s="7">
        <v>29270.63</v>
      </c>
      <c r="O193" s="7">
        <v>0.0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2025-07-02T21:09:31Z</dcterms:created>
  <dc:creator>openpyxl</dc:creator>
</cp:coreProperties>
</file>