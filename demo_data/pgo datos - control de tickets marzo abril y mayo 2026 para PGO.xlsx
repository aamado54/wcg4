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workingcapitalsacom-my.sharepoint.com/personal/srodas_workingcapitalsa_com/Documents/"/>
    </mc:Choice>
  </mc:AlternateContent>
  <xr:revisionPtr revIDLastSave="0" documentId="8_{13F881B7-E58D-4390-A066-6D65BD09DB87}" xr6:coauthVersionLast="47" xr6:coauthVersionMax="47" xr10:uidLastSave="{00000000-0000-0000-0000-000000000000}"/>
  <bookViews>
    <workbookView xWindow="-120" yWindow="-120" windowWidth="20730" windowHeight="11040" activeTab="3" xr2:uid="{8FBC2795-731C-4103-A5FB-8C21AD7571BB}"/>
  </bookViews>
  <sheets>
    <sheet name="Mayo 2026" sheetId="5" r:id="rId1"/>
    <sheet name="Soporte mayo" sheetId="6" r:id="rId2"/>
    <sheet name="Abril 2026" sheetId="4" r:id="rId3"/>
    <sheet name="soporte abril" sheetId="7" r:id="rId4"/>
    <sheet name="Marzo 2026" sheetId="3" r:id="rId5"/>
  </sheets>
  <calcPr calcId="191029"/>
  <pivotCaches>
    <pivotCache cacheId="30" r:id="rId6"/>
    <pivotCache cacheId="4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4" l="1"/>
  <c r="T4" i="4"/>
  <c r="T5" i="4"/>
  <c r="T6" i="4"/>
  <c r="T7" i="4"/>
  <c r="T8" i="4"/>
  <c r="T9" i="4"/>
  <c r="T10" i="4"/>
  <c r="T11" i="4"/>
  <c r="T12" i="4"/>
  <c r="T13" i="4"/>
  <c r="T14" i="4"/>
  <c r="T15" i="4"/>
  <c r="T16" i="4"/>
  <c r="T17" i="4"/>
  <c r="T18" i="4"/>
  <c r="T19" i="4"/>
  <c r="T20" i="4"/>
  <c r="T21" i="4"/>
  <c r="T22" i="4"/>
  <c r="T23" i="4"/>
  <c r="T24" i="4"/>
  <c r="T25" i="4"/>
  <c r="T26" i="4"/>
  <c r="T27" i="4"/>
  <c r="S3" i="4"/>
  <c r="S4" i="4"/>
  <c r="S5" i="4"/>
  <c r="S6" i="4"/>
  <c r="S7" i="4"/>
  <c r="S8" i="4"/>
  <c r="S9" i="4"/>
  <c r="S10" i="4"/>
  <c r="S11" i="4"/>
  <c r="S12" i="4"/>
  <c r="S13" i="4"/>
  <c r="S14" i="4"/>
  <c r="S15" i="4"/>
  <c r="S16" i="4"/>
  <c r="S17" i="4"/>
  <c r="S18" i="4"/>
  <c r="S19" i="4"/>
  <c r="S20" i="4"/>
  <c r="S21" i="4"/>
  <c r="S22" i="4"/>
  <c r="S23" i="4"/>
  <c r="S24" i="4"/>
  <c r="S25" i="4"/>
  <c r="S26" i="4"/>
  <c r="S27" i="4"/>
  <c r="T2" i="4"/>
  <c r="S2" i="4"/>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2" i="5"/>
</calcChain>
</file>

<file path=xl/sharedStrings.xml><?xml version="1.0" encoding="utf-8"?>
<sst xmlns="http://schemas.openxmlformats.org/spreadsheetml/2006/main" count="1251" uniqueCount="261">
  <si>
    <t>Resuelto</t>
  </si>
  <si>
    <t>Francisco Arnoldo Gonzalez Ardón</t>
  </si>
  <si>
    <t>fgonzalez@workingcapitalsa.com</t>
  </si>
  <si>
    <t>sites/SISTEMAHELPDESKWCG/Lists/Sistema HelpDesk WCG</t>
  </si>
  <si>
    <t>Elemento</t>
  </si>
  <si>
    <t>Lisbeth Zuseth Castillo Moraga</t>
  </si>
  <si>
    <t>lcastillo@workingcapitalsa.com</t>
  </si>
  <si>
    <t>Gerencia Insurance</t>
  </si>
  <si>
    <t>Gerencia Leasing</t>
  </si>
  <si>
    <t>Gerencia Legal</t>
  </si>
  <si>
    <t>Celeste Eugenia Chacón Flores</t>
  </si>
  <si>
    <t>Gerencia Finzanzas</t>
  </si>
  <si>
    <t>Luis Rolando Coronado Ayala</t>
  </si>
  <si>
    <t>Gerencia Tecnología</t>
  </si>
  <si>
    <t>Sergio Alejandro Rodas Romero</t>
  </si>
  <si>
    <t>srodas@workingcapitalsa.com</t>
  </si>
  <si>
    <t>Erick Alfonso Sazo Pérez</t>
  </si>
  <si>
    <t>esazo@workingcapitalsa.com</t>
  </si>
  <si>
    <t>lcoronado@workingcapitalsa.com</t>
  </si>
  <si>
    <t>Evelyn Estefanía Monzón Casasola</t>
  </si>
  <si>
    <t>emonzon@workingcapitalsa.com</t>
  </si>
  <si>
    <t>cchacon@workingcapitalsa.com</t>
  </si>
  <si>
    <t>Gerencia Inversiones - Factoring</t>
  </si>
  <si>
    <t>Rechazado</t>
  </si>
  <si>
    <t>Media</t>
  </si>
  <si>
    <t>Solicitud de Configuraciones</t>
  </si>
  <si>
    <t>Francisco González</t>
  </si>
  <si>
    <t>No Existe Retroalimentación</t>
  </si>
  <si>
    <t>Configurado</t>
  </si>
  <si>
    <t>Incidencia en Hardware</t>
  </si>
  <si>
    <t>Sergio Rodas</t>
  </si>
  <si>
    <t>Baja</t>
  </si>
  <si>
    <t>Alta</t>
  </si>
  <si>
    <t>Otros - Especificar en el detalle del Ticket</t>
  </si>
  <si>
    <t>Josseline Sánchez Marroquín</t>
  </si>
  <si>
    <t>jsanchez@workingcapitalsa.com</t>
  </si>
  <si>
    <t>Incidencia en Software</t>
  </si>
  <si>
    <t>No Se Puede Reproducir</t>
  </si>
  <si>
    <t>No Existe Tal Error</t>
  </si>
  <si>
    <t>Sin Asignarse</t>
  </si>
  <si>
    <t>Incidencia en Conectividad</t>
  </si>
  <si>
    <t>José Roberto Velásquez Pineda</t>
  </si>
  <si>
    <t>jvelasquez@workingcapitalsa.com</t>
  </si>
  <si>
    <t>Directora Comercial</t>
  </si>
  <si>
    <t>Verónica Elizabeth Alarcón Vásquez</t>
  </si>
  <si>
    <t>valarcon@workingcapitalsa.com</t>
  </si>
  <si>
    <t>Externo</t>
  </si>
  <si>
    <t>Advanced Investment</t>
  </si>
  <si>
    <t>Siseg Insurance</t>
  </si>
  <si>
    <t>Siseg Leasing</t>
  </si>
  <si>
    <t>A la Espera del Proveedor</t>
  </si>
  <si>
    <t>Se Trabajará como Proyecto</t>
  </si>
  <si>
    <t>Operaciones</t>
  </si>
  <si>
    <t>Buen día TI, solicito de su apoyo con la revisión del visualizador PDF Adobe Acrobat, instalado en mi maquina ya que no deja realizar vista previa de los documentos escaneados en PDF</t>
  </si>
  <si>
    <t>Se solicita a Erick Sazo nos pueda proveer su computadora para la revision.
Se reviso la computadora, el inconveniente surgio en una actualizacion de windows, bloquea archvos pdf, se restauraron las propiedades de los archivos, y se compartio con el usuario el metodo utilizado, para futuras ocaciones lo pueda aplicar.</t>
  </si>
  <si>
    <t>Coordinacion Leasing</t>
  </si>
  <si>
    <t xml:space="preserve">Solicito su apoyo para instalar nitro PDF completo , sino la opción de acrobatt creator.  Adicional la instalación del app zoom.  muchas gracias. </t>
  </si>
  <si>
    <t xml:space="preserve">Se solicita a Silvia Jochola nos proporciones su computadora para la respectiva configuracion.
Se solicita a Silvia, nuevamente nos proporcione la computadora para lo solicitado. ( coordinacion TI ).
Se nos proporciono hoy miercoles 11 de marzo la computadora por parte del usuario y se procedio a instalarle y configurarle la aplicacion Nitro pro PDF , </t>
  </si>
  <si>
    <t>Silvia Melody Jochola</t>
  </si>
  <si>
    <t>sjochola@workingcapitalsa.com</t>
  </si>
  <si>
    <t>Agradezco de su revisión de la aplicación Adobe Acrobat, debido a que en ocasiones no me permite la visualización de archivos PDF. No cuento en este momento con captura sobre el error que lanza, pero agradezco de su validación.</t>
  </si>
  <si>
    <t>Este es un inconveniente que surgio en una actualizacion de seguridad en windows, debiso a que se actualizo microsoft defender y subieron el nivel de alerta para algundos archivos entre estos la preisualizacion de archivos pdf, comparti a operaciones el metodo para desbloquearlo, pero es un inconveniente que no se puede eliminar debido a que es parte de nuestro tenant</t>
  </si>
  <si>
    <t xml:space="preserve">Estimado Francisco, buenos días, me pudiera apoyar con instalar el roll de Leasing asgindado a Erick Sazo a Lizbeth Castillo, quien sera la encargada de gestiones de Leasing e Insurance. 
muchas gracias </t>
  </si>
  <si>
    <t>En proceso</t>
  </si>
  <si>
    <t>sE REUIRIO DE LOGICA EL PROCESO INDICADO</t>
  </si>
  <si>
    <t>Según proyecto designado por Guillermo sobre Liquidez, es necesario que cuente con acceso a la información de las operaciones, en tiempo real sobre la cartera pasiva del sistema Advanced. Por lo que agradezco de su apoyo en poderme generar algun acceso del que pueda recibir el insumo para conectarlo con PowerBi.</t>
  </si>
  <si>
    <t>Sergio Rodas procedio a compartir lo requerido por operaciones</t>
  </si>
  <si>
    <t>Buena tarde TI, solicito de su apoyo con la gestión oportuna con el sistema de Advanced,
-Traslado de usuario  y permisos de Oriana Abreu a Verónica Alarcón
-Validación de documentos Legales y permisos de elaboración de documentos al rol de Erick Sazo
Se cuenta con autorización de CEO.</t>
  </si>
  <si>
    <t>Buenos dias, se le indica al usuario Erick que para esta solicitud debe de ser con los roles de gerencia para proceder a configuraciones, por indicaciones de nuestro CTOse solicita que informe a su gerente que el requerimiento debe de venir de las gerencias.  En espera de que traslade la informacion se procede a rechazar el ticket.</t>
  </si>
  <si>
    <t>Buena dia TI, a solicitud del area de Legal, se requiere revisión de la lapto que tiene asignada Celeste, ya que presenta lentitud y la pantalla se queda en color negro al momento de bloquearla, agradeciendo su atención oportunda.</t>
  </si>
  <si>
    <t>Se procedera a realizar compras para las unidades de negocio, en cuanto a adequirir memorias ram.</t>
  </si>
  <si>
    <t>configurar onedrive de Oriana Abreu a la computadora de Verónica Alarcón</t>
  </si>
  <si>
    <t>Instalación de onedrive de la máquina de insurance a la máquina de dirección comercial</t>
  </si>
  <si>
    <t>buenos dias, requiero se me provea la computadora para proceder a la configuracion respectiva. Se realizo lo requerido.</t>
  </si>
  <si>
    <t>Interno</t>
  </si>
  <si>
    <t xml:space="preserve">Crear un espacio para que todas la áreas tengamos acceso a carpetas compartidas:    1. Expediente legal y financiero, podamos crear carpetas con nombres de los cliente y 2. Análisis: poder crear carpetas de los negocios que están en proceso de aprobación.  3. Contratos, y crear dentro del mismo el expediente digital. 4. Cupos Aprobados, crear carpetas por clientes de los cupos aprobados. 
muchas gracias por su apoyo, y cualquier consulta o duda, quedo atenta. 
</t>
  </si>
  <si>
    <t>Se trabajara como proyecto</t>
  </si>
  <si>
    <t xml:space="preserve">Solicito cambio del mousepad, el que utilizo se encuentra muy desgastado y roto. </t>
  </si>
  <si>
    <t>sE REQUERIRA LA COMPRA, Se rechazo la compra por parte de CEO.</t>
  </si>
  <si>
    <t>Mucho agradeceré  su apoyo con la gestión  con el sistema de Advanced, -Traslado de usuario y permisos de Oriana Abreu a Verónica Alarcón -Validación de documentos Legales y permisos de elaboración de documentos al rol de Erick Sazo Se cuenta con autorización de CEO.</t>
  </si>
  <si>
    <t>Soporte Advanced respondio que necesitan rust desk este instlado en la maquina y poder ingresar a esta para configuraciones. Se realizaron las configuraciones respectivas.</t>
  </si>
  <si>
    <t>Buenos días agradezco adicionar al correo de Equipo Comercial a Estuardo Iriarte, Melodoy Jocholá y Lisbeth Castillo, en sustitución de Sabrina, Gabriela,  agradezco también eliminar del correo a Oriana.  muchas gracias.</t>
  </si>
  <si>
    <t>¿Cuál es el correo/lista/buzón de correo del equipo comercial?.
Se eliminaron a Sabrina Estrada, Gaby Chonay y Oriana Abreu, se agregó a Melody Jochola, Lisbeth Castillo y Estuardo Iriarte a la lista de distribución equipocomercialwcg@workingcapitalsa.com</t>
  </si>
  <si>
    <t>Estimado Francisco agradezco incorporar la fiirma al correo de Estuardo Iriarte</t>
  </si>
  <si>
    <t>Estimados  agradezco incluir en el correo los correos de insurance a Estuardo Iriarte en sustitución de Gabriela Chonay</t>
  </si>
  <si>
    <t>sE AGREGO.</t>
  </si>
  <si>
    <t>Agradeceré su apoyo para trasladar a un USB el link que estaré compartiendo y correo enviado por Guillermo para bajar la información  y así mismo trasladar a la dirección comercial y gerencia de riesgos.  Ciente ERC CAPITAL</t>
  </si>
  <si>
    <t>El usuario logró descargarlo. No hay necesidad del USB</t>
  </si>
  <si>
    <t>Coordinacion Insurance</t>
  </si>
  <si>
    <t>Favor revisar mi computadora, esta extremadamente lenta y hay mometos que ya no permite hacer nada</t>
  </si>
  <si>
    <t>SE REALIZARON CONFIGURACIONES DE LIMPIEZA</t>
  </si>
  <si>
    <t>El onedrive presenta error.</t>
  </si>
  <si>
    <t>Se solucionaron los inconvenientes que se tenian con la computadora, por lentitud en esta, y se procedio a verificar que el inconveniente sobrevino de una carpeta compartida entre los tres usuarios Evelyn Monzon , Rolando Coronado , Joselin Sanchez. se procedio a limpiar el aceso directo y a removerla. procediendo a verificar conlos usuarios. Se lolicitara compra de un modulo de memoria ram.</t>
  </si>
  <si>
    <t xml:space="preserve">Buen día, solicito su apoyo ya que no tengo acceso a OneDrive. 
Saludos, 
</t>
  </si>
  <si>
    <t>pROBLEMAS EN EL ONEDRIVE</t>
  </si>
  <si>
    <t>En pruebas de Usuario</t>
  </si>
  <si>
    <t>NECESITO SOPORTE DEBIDO A UNA FALLA EN SISEG</t>
  </si>
  <si>
    <t>FUE UNA PRUEBA</t>
  </si>
  <si>
    <t>PRUEBAS</t>
  </si>
  <si>
    <t>Gerencia Investment</t>
  </si>
  <si>
    <t>Buena tarde TI, solicito de su apoyo con brindarme soporte sobre el siguiente incoveniento en el sistema de Advanced, no me deja generar formularios.</t>
  </si>
  <si>
    <t>Se solicito apyo a Advanced por medio de correo ya a al whatssap de soporte.   El dia de hoy Advanced indico que el inconveniente esta solucionado, y e requirieron pruebas a Erik.  Se procede a cerrar el ticket , luego de la indicacion verbal de erick de su funcionamiento ok.</t>
  </si>
  <si>
    <t>Configuración de correo Oriana Abreu en mi computadora.  gracias.</t>
  </si>
  <si>
    <t>No se entrego el equipo.</t>
  </si>
  <si>
    <t>PRUEBA PRUEBA PRUEBA</t>
  </si>
  <si>
    <t>prueba</t>
  </si>
  <si>
    <t>Addvantage</t>
  </si>
  <si>
    <t>BRUEBA PRUEBA</t>
  </si>
  <si>
    <t>Buena tarde TI, solicito de su apoyo con la configuración de mi usuario para poder imprimir, ya que indica que llegue a mi limite asignado.</t>
  </si>
  <si>
    <t>Se configuro.</t>
  </si>
  <si>
    <t>Francisco es prueba</t>
  </si>
  <si>
    <t>Lcoronado@workingcapitalsa.com</t>
  </si>
  <si>
    <t>Software Interno</t>
  </si>
  <si>
    <t xml:space="preserve">Estimado Sergio y Francisco, les comento que relaizando el flujo a 12 meses de la cotización adjunta no me genera las rentas con la última cuota y la opcion a compra en el sistema de SISEG Leasing si aparece en detalle de rentas todas las cuotas. </t>
  </si>
  <si>
    <t>Coordinacion Operaciones</t>
  </si>
  <si>
    <t>Solicitando de su apoyo con la mejora: Aal momento de que el usuario realice el cierre mensual, tambien debe bloquear las cuotas "pagadas", en el entendido que no deberia permitir realizar alguna cancelación con fecha retroacitva si la cuota ya se encuentra en estado de "Pagada". Podria incorporarse que para poder ser modificada (excepción) con codigo de autorizacion. Pero deberia lanzar un mensaje que la cuota se encuentra en estado "Pagada" y no puede ser modificada.</t>
  </si>
  <si>
    <t>Se envio correo con la descricion de la solicitud hoy 7/04/2026   Se solicitaron pruebas por parte de Advanced, se indico a se Velasquez el requerimiento, e indico que levanto otro ticket porque el requerimiento  codigo de autorizacion esa dando error, e indico que los otros dos requerimientos de este ticket aun no ha realizado pruebas debido a que es en produccion y solo cuando exista una operacion que se de este caso podra realizarlo.  Se procede a cerrar este ticket, y colocarlo en pruebas de usuario.</t>
  </si>
  <si>
    <t>Agregar el filtro, que las operaciones (Contratos) con estado "Cancelado", no se visualicen las rentas, en la pantalla de "Administrador de rentas". Por ejemplo los contratos VHLEASE01008 (Lilliam Karolina Lopez) y VHLEASE01007 (Feltre) ya se encuentran en estatus "Cancelado". Por lo que ya no deberian de visualizarse en el "Administrador de Rentas."</t>
  </si>
  <si>
    <t>Se requirio por correo a Logica.</t>
  </si>
  <si>
    <t>Instalar Advanced Investment en el equipo de Lisbeth Castillo.
Configurar accesos iguales a los de Erick Sazo.</t>
  </si>
  <si>
    <t>Se instaló en el equipo y se creó el usuario indicado</t>
  </si>
  <si>
    <t>Prueba de nuevo ticket</t>
  </si>
  <si>
    <t>Invalido</t>
  </si>
  <si>
    <t xml:space="preserve">Configuración de whatsapp en la computadora de Melody  por la información que los clientes envía  por ese medio para optimizar los tiempos.  gracias. </t>
  </si>
  <si>
    <t>El equipo comercial no lo tiene bloqueado</t>
  </si>
  <si>
    <t>Brindar acceso en Dropbox a la carpeta de expedientes.</t>
  </si>
  <si>
    <t>Se agrega la carpeta de expedientes a la lista de carpetas visibles</t>
  </si>
  <si>
    <t>PRUEBA</t>
  </si>
  <si>
    <t>Es prueba</t>
  </si>
  <si>
    <t>No es real</t>
  </si>
  <si>
    <t>No se visualizan los expedientes digitalizados de las operaciones. En la operación PG02251102 tiene 5 archivos pdf cargados, pero solo 1/5 permite visualizar el pdf</t>
  </si>
  <si>
    <t>Buenas tardes es un gusto saludarlos,
 Actualmente el sistema usa el plugin del visor PDF del navegador de Internet, sin embargo es posible que algunos archivos tengan codecs mas recientes que no son compatibles, para lo cual se podria realizar lo siguiente:
Opcion 1: Actualizar la aplicacion de PDF actual o bien instalar Foxit PDF Reader (comparto link)
Opcion 2: Asociar manualmente (clic derecho sobre el archivo PDF y luego "abrir con..." y dejarlo asociado a la aplicacion de PDF)
Opcion 3: Haremos un cambio en el sistema para que se pueda abrir directamente desde la aplicacion de Windows.
Con gusto el area de soporte les puede apoyar con esta configuracion, si nos brindan acceso remoto a la computadora.
 https://www.foxit.com/downloads/
Desde el servidor con el plugin del navegador de Foxit</t>
  </si>
  <si>
    <t xml:space="preserve">Al ingresar el codigo para cancelacion de inversión, el sistema lanza el mensaje de error de que no corresponde el codigo, pero validando esta operacion tiene la cuota de abril (30/04/2026) en estado PAGADA (correcto PENDIENTE), debido a que aun no hemos efectuado el pago masivo de dicha cuota y es lo que considero que no permite la cancelación. Comparto capturas donde indica lo anterior. </t>
  </si>
  <si>
    <t>Se genero un segundo ticket debiso a que se realizaron las pruebas a lo requerido, y no fueron satisfactorias. Por ese motivo se rechaza este ticket por estar abierto otro ante las pruebas negativas.</t>
  </si>
  <si>
    <t>traslado de documentos de la computadora de investment y factoring a la computadora de Veronica Alarcon.</t>
  </si>
  <si>
    <t>Por favor indicar dónde están y qué archivos son los que se necesitan.</t>
  </si>
  <si>
    <t>Al ingresar el codigo de autorizacion para cancelar la operacion lanza mensaje de error (ver captura)</t>
  </si>
  <si>
    <t>Se compartio el requerimiento con advanced investment.  Advanced requirio la verificacion de parte del usuario Veronica Alarcon por ingreso de contraseña. se le dara el seguimeinto con el usuario.</t>
  </si>
  <si>
    <t>Gerencia Factoring</t>
  </si>
  <si>
    <t>Buena tarde IT, les comento que la impresora Xerox Versalink, presenta falla en impresión .</t>
  </si>
  <si>
    <t>Se requirio la visita de PBS. Se presentaron el Viernes 17 de Abril</t>
  </si>
  <si>
    <t>Solicito su apoyo para habilitar acceso directo en escritorio al sitio de Microsoft SharePoint (PGO 2026) sin tener que buscar correo cada vez y sin requerir ingreso de credenciales en cada acceso.</t>
  </si>
  <si>
    <t>Se requiere para la implementacion del acceso directo, se me proporcione la computadora, unos 10 minutos. Se configuro el accso directo y se verifico que no requiriera el usuario ni el password, esto se debio a que ya previamente el usuario ingreo su cuenta y credencial, por esto mismo ya no solicito autenticacion.  Quedo configurado.</t>
  </si>
  <si>
    <t xml:space="preserve">Al marcar un texto con el mouse, lo desmarca y despues de varios intentos he logrado que lo marque, por favor apoyar para que sea al primer intento.    </t>
  </si>
  <si>
    <t>Se requiere la entrega de la computadora, para verificar el inconveniente y proceder a realizar pruebas si fuera necesario.  Se reviso la computadora y se llega a la conclusion de que se necesita un mouse para cambiar el de Celeste Chacon. Se aconseja hacer uso del mouse pad. en lo que se traslada el requerimiento de compra.  Se levantara un requerimiento de Compra.</t>
  </si>
  <si>
    <t>Instalación de visualizador de PDF.</t>
  </si>
  <si>
    <t>Se configuro pdf Creator</t>
  </si>
  <si>
    <t xml:space="preserve">Configuración de correo inversiones@workingcapitalsa.com en mi computadora </t>
  </si>
  <si>
    <t>Se requiere la computadora para efectuar la configuracion, alrededor de 10 minutos. Se procedio a configurar el correo de inversiones, y Veronica alarcon constato la configuracion.</t>
  </si>
  <si>
    <t>Contar con una opción para congelar renta a una fecha especifica, con el objetivo que no continue generando mora. Esto con el objeto de mitigar que en el reporte que se genera no difiera los cargos moratorios dia a dia con los correspondientes a la fecha de recepción del pago.</t>
  </si>
  <si>
    <t>Se envio correo a Siseg hoy 28 de abril 2026: Espero se encuentren muy bien. 👋
Por medio del presente, solicitamos de su valioso apoyo para evaluar la posibilidad de contar con una opción que permita congelar la renta a una fecha específica ❄️📅, con el objetivo de evitar que continúe generando mora.
🔍 Objetivo principal:
Implementar esta opción permitiría mitigar diferencias en los reportes generados, evitando que los cargos moratorios se sigan acumulando día a día ⏳ y que estos no difieran respecto a los cargos correspondientes a la fecha real de recepción del pago ✅💳.
📊 Beneficios clave:
Mayor precisión en los reportes
Reducción de variaciones diarias por mora
Mejor control y trazabilidad de los cargos
Mayor claridad operativa y contable
🙏 Agradecemos mucho su ayuda y acompañamiento para analizar la viabilidad de esta funcionalidad y el mejor enfoque para su implementación.
📅 Reunión de entendimiento:
En caso de que consideren necesario realizar una reunión para profundizar en el requerimiento, aclarar escenarios o validar el impacto, por favor indíquenoslo. Con gusto nos adaptamos a su disponibilidad 🤝💬.
Quedamos atentos a sus comentarios y recomendaciones.
¡Muchas gracias por su apoyo! 🙌</t>
  </si>
  <si>
    <t xml:space="preserve">Se solicita contar con la opción y/o retomar la configuracion, para poder establecer el(los) correo(s) para el envio de recordatorios de pago y si fuese posible poder contar con una opción para establecer con cuantos dias de anticipación al vencimiento de proxima renta se puedan enviar.
  </t>
  </si>
  <si>
    <t>Estimados,
👋 Muy buen día.
Por medio del presente, deseamos solicitar su valioso apoyo para poder habilitar o retomar la configuración que permita establecer uno o varios correos electrónicos de destino para el envío de recordatorios de pago dentro del sistema SISEG LEASING. ✉️
📌 Adicionalmente, y de ser posible, nos gustaría contar con una opción que nos permita definir con cuántos días de anticipación al vencimiento de la próxima renta se realice dicho envío automático. ⏰📅
✅ Esta mejora resulta de gran importancia, ya que permitiría:
🔔 Anticipar notificaciones a los clientes de manera oportuna
📉 Reducir riesgos de mora por olvido o falta de aviso
📊 Mantener mayor consistencia y control en los reportes de renta
🙏 Agradecemos de antemano el apoyo y acompañamiento que puedan brindarnos para evaluar la viabilidad de esta funcionalidad y, en su caso, su correcta implementación.
🤝 Quedamos completamente a disposición para coordinar una reunión de entendimiento, en caso consideren necesario profundizar en el requerimiento, resolver dudas o revisar escenarios de uso. Nos adaptamos con gusto a la fecha y horario que estimen conveniente. 🗂️📞
✨ Sin otro particular, agradecemos mucho su atención y el apoyo brindado.
Saludos cordiales,</t>
  </si>
  <si>
    <t>Contar con una opción (cuenta corriente de ingresos por aplicar). Bajo el cual no se podrá aplicar ningun pago, si previamente no aparecen los fondos registrados en esta cuenta.
Formulario de registro de fondos (Credito): Al recibir los fondos en nuestras cuentas de bancos se ingresan en este formulario los datos de: fecha del movimiento, seleccionar cliente (NIT y nombre) a quien pertenece los fondos, seleccionar la cuenta Working Capital Leasing, donde ingresaron los fondos, consignar el valor, consignar referencia (número boleta de deposito) y contar con opción para comentarios adicionales.
En el formulario de aplicacion de pagos (Débito): Deberá mostrar el disponible (GTQ / USD) por aplicar a favor del cliente, del cual al aplicarse el pago al contrato, deberé registrarlo como un movimiento de débito y mostrar el nuevo saldo por aplicar. Si el cliente no tiene saldo disponible a favor no deberá permitir aplicar el pago.</t>
  </si>
  <si>
    <t>Se levanto el requerimiento a logica hoy 28 de abril del 2026 por medio de correo.
Estimados, buen día 👋✨
Espero se encuentren muy bien.
Por este medio, y dando seguimiento a un requerimiento  levantado, compartimos de forma resumida y estructurada la propuesta de control para la gestión de ingresos y aplicación de pagos, con el objetivo de mejorar la trazabilidad, control y exactitud de los saldos por cliente 💼📊.
💰 Cuenta corriente – Ingresos por aplicar
📒 Se propone contar con una cuenta corriente de ingresos por aplicar, bajo la premisa de que:
🚫 No se podrá aplicar ningún pago si previamente los fondos no se encuentran registrados en esta cuenta.
Esto permitirá asegurar que todo pago aplicado tenga respaldo real de fondos recibidos, evitando descuadres operativos ✅.
📝 Formulario de Registro de Fondos (Crédito)
🏦 Al momento de recibir fondos en nuestras cuentas bancarias, estos deberán registrarse mediante un formulario que incluya:
📅 Fecha del movimiento
👤 Selección del cliente (NIT y nombre)
🏢 Selección de la cuenta Working Capital Leasing donde ingresaron los fondos
💲 Monto del ingreso
🧾 Referencia (número de boleta de depósito)
💬 Campo para comentarios adicionales
✨ Este registro generará automáticamente el saldo disponible por aplicar a favor del cliente.
🔄 Formulario de Aplicación de Pagos (Débito)
📉 En el formulario de aplicación de pagos, el sistema deberá:
✅ Mostrar el saldo disponible por aplicar del cliente (GTQ / USD)
✅ Permitir aplicar el pago únicamente contra ese saldo disponible
✅ Registrar el movimiento como débito
✅ Mostrar el nuevo saldo por aplicar luego de la transacción
🚫 Si el cliente no cuenta con saldo disponible, el sistema no deberá permitir la aplicación del pago.
🤝 Acompañamiento y agradecimiento
Quedamos totalmente atentos 👀😊 por si consideran oportuno agendar una reunión de entendimiento, con gusto nos ajustamos para revisar el flujo y resolver cualquier duda funcional 🙋‍♂️📅.
🙏 Agradecemos mucho el apoyo brindado y el acompañamiento de siempre para seguir fortaleciendo los procesos.
Quedamos al pendiente.
¡Muchas gracias!</t>
  </si>
  <si>
    <t>Implementar dentro del sistema de Leasing, el modelo de cupos, de manera que pueda configurarse segun el excel que se anexa, donde los contratos puedan agruparse dentro de un cupo y los repagos de capital resten, asi mostrar una disponibilidad. Tomar en cuenta que para conversion de moneda se realizaria al tipo de cambio del BanGuat para ir rebajando los saldos en la moneda del cupo.</t>
  </si>
  <si>
    <t xml:space="preserve"> Se envio correo a Logica: el 29 de abril del 2026
Buena tarde.
Con el fin de fortalecer el control y la visualización financiera dentro del sistema de Leasing, solicitamos su valioso apoyo para implementar el modelo de cupos, de manera que pueda configurarse conforme al archivo de Excel adjunto.
📊 Alcance funcional propuesto:
✨ Configurar cupos dentro del sistema, permitiendo:
📑 Agrupar múltiples contratos bajo un mismo cupo.
💰 Que los repagos de capital realicen automáticamente la disminución del saldo utilizado.
📉 Mostrar en todo momento la disponibilidad real del cupo, considerando los movimientos aplicados.
🌎 Conversión de moneda:
🔄 Para contratos en distinta moneda, se solicita que la conversión se realice utilizando el tipo de cambio oficial del BanGuat, de forma que los saldos se rebajen correctamente en la moneda base del cupo.
🎯 Objetivo principal: Este modelo permitirá contar con información más precisa, consistente y alineada al reporte financiero, mitigando posibles diferencias en los cargos y mejorando la toma de decisiones.
🤝 Apoyo requerido: Agradeceremos su acompañamiento tanto en:
⚙️ La evaluación técnica y funcional de la propuesta
🛠️ La implementación y validación del modelo en el sistema
📅 Reunión de seguimiento: Quedamos totalmente anuentes a coordinar una reunión en caso se requiera mayor detalle, revisión del Excel o definición del alcance técnico. Solo indíquennos su disponibilidad y con gusto la organizamos.
✅ Agradecemos de antemano su apoyo y colaboración para avanzar con esta mejora tan relevante.
Saludos cordiales,
</t>
  </si>
  <si>
    <t>El sistema esta solicitando el ingreso de codigo de autorización para la generación del archivo CSV de la exportacion del pago de rendimientos de inversionistas, lo cual se solicita se retire de maner urgente, debido a que en ocasiones no es tan facil obtener este codigo y dada la urgencia para cumplir con el pago a inversionistas, se solicita sea retirado este requisito del sistema.</t>
  </si>
  <si>
    <t>se envio correo:
Buen día Oscar
Gusto en saludarles
 Solicitando de su apoyo de manera urgente, debido a que validando veo que ahora para efectuar la exportación del archivo CSV para pago de rendimientos del mes, el sistema solicita clave de autorización, la cual no es inmediata obtenerla. Por lo que agradezco de su apoyo en poder liberar este parámetro para que permita la exportación sin este código de autorización.
Se envio correo:
Buen dia,
Solicito pronta respuesta, para poderle dar seguimiento en tecnología.
Saludos
SE RECIBIO CORREO
Buen día José y Francisco,
Gusto en saludarles.
En seguimiento a su solicitud, les informamos que el requerimiento ya fue trasladado al área de desarrollo para su respectiva validación y gestión.
Una vez se cuente con avances o se haya aplicado el ajuste, se les estará brindando la retroalimentación correspondiente por esta misma vía.
Quedamos atentos a cualquier consulta adicional.
Saludos cordiales,   
Soporte de advanced respondio lo siguiente: Buenas noches, es un gusto saludarles.
Se aplicaron las siguientes funcionalidades al sistema:
En la configuración del sistema, se agrego una casilla de verificacion que permite activar o desactivar la opcion de "Autorizacion para generar CSV". Bitacora:
Se agregoó al reporte la generación de CSV por pago de rendimientos.
Se recibio respuesta a las inquietudes que indica el usuario:   Buenos días, José:
Gusto en saludarle. Esta funcionalidad está disponible únicamente para el administrador, quien puede decidir si activarla o desactivarla según sea necesario. Actualmente, a solicitud del equipo, se encuentra desactivada.
Sin embargo, se ha registrado en la bitácora, de modo que, aunque esté inactiva, se pueda identificar el momento en que se realizó la descarga del archivo CSV.
Quedo atenta a cualquier comentario.  se estaran requiriendo pruebas por parte de soporte wcg al usuario con el rol ADMINISTRADOR.</t>
  </si>
  <si>
    <t>Se solicita tener una reunión con el proveedor, con el objeto de tener viabilidad para retomar la implementacion del registro de pagos parciales, nuestra propuesta es que se puedan registrar los abonos al sistema y unicamente que sean rebajaados del saldo de la renta.</t>
  </si>
  <si>
    <t>Buen Dia,
Espero se encuentren muy bien. 👋
Por este medio, deseamos solicitar muy cordialmente una reunión de trabajo 🗓️ con su equipo, con el objetivo de evaluar la viabilidad para retomar la implementación del registro de pagos parciales en el sistema. 💻
🔍 Contexto de la solicitud
Actualmente contamos con la necesidad operativa de registrar abonos parciales dentro del sistema, de tal forma que:
✅ Los abonos puedan ser registrados correctamente
✅ Dichos abonos únicamente rebajen el saldo de la renta
✅ No se vean afectados los cálculos automáticos ni los reportes financieros
💡 Propuesta funcional
Nuestra propuesta se enfoca en que el sistema permita el ingreso de pagos parciales como abonos informativos y contables, manteniendo la lógica actual de la renta, pero reflejando de forma correcta el saldo real pendiente.
🤝 Creemos firmemente que, con su apoyo y experiencia, podremos definir una solución viable, alineada a las mejores prácticas del sistema y a nuestras necesidades operativas.
Agradecemos de antemano su disposición y acompañamiento 🙌.
Saludos,</t>
  </si>
  <si>
    <t>Apoyo con el traslado de los archivos de la computadora de la gerencia de investment /factoring vía usb para poder gestionar las operaciones del día.</t>
  </si>
  <si>
    <t>Se rechazara el ticket poque se documentara aun mas para su entendimeinto.</t>
  </si>
  <si>
    <t xml:space="preserve">Agradezco su apoyo en virtud de que el onedrive no bajó toda la información de la computadora de la gerencia de Investment/factoring.  para que la misma pueda ser extraida usb para poder tener a todos los archivos concernientes a la gestión de dicha gerencia y así luego ser tasladados a la computadora de la dirección comercia.
Importante mencionar que esta información deberá ser trasladada también en su momento a la persona que venga a sustituir esta posición.
gracias. </t>
  </si>
  <si>
    <t>Se procedera a revisar la informacion y luego se le pide a Veronica Alarcon nos proporcione una usb con cpacidad sufieciente para la extraccion.
revisare el tema de la recepcion del equipo en su momento por Sergio Rodas, para entender lo solicitado.</t>
  </si>
  <si>
    <t>FAVOR CREAR CARPETA COMPARTIDA CON MELODY JOCHOLA.</t>
  </si>
  <si>
    <t>Especificar mas a detalle el ticket, enviar por medio del mismo correo en que se levanto este ticket, especificaciones de :
1. Lugar en donde se necesita la carpeta.
2.- Especificar todo lo concerniente a este requerimiento para que quede claro el mismo.     
Se Procede a rechazar el ticket, se requiere que se reunan para coordinar los requerimientos. Debido a que por seguridad de la informacion Contamos con un Servidor NAS.</t>
  </si>
  <si>
    <t>ESTA ES UNA PRUEBA DE ENVIO DE CORREOS ACTUALIZADA PARA 2026</t>
  </si>
  <si>
    <t>SE REALIZARA LA PRUEBA DE CAMBIO DE ESTADO</t>
  </si>
  <si>
    <t>Servicio No Soportado</t>
  </si>
  <si>
    <t>El inconveniente persiste, al momento de seleccionar la fecha de apertura y presionar el boton calcular rendimiento vuelve a regresar a la fecha actual. Previamente converso con Sergio Rodas.</t>
  </si>
  <si>
    <t xml:space="preserve">Se solicito la correcion a Soporte de advanced hoy 6 de Mayo 2026.   
Estimados,
👋 Reciban un cordial saludo.
Por medio del presente, damos seguimiento a la incidencia previamente reportada, la cual continúa presentándose sin resolución.
⚠️ Descripción del inconveniente:
El usuario indica que, al seleccionar la fecha de apertura y presionar el botón “Calcular rendimiento”, el sistema automáticamente restablece la fecha a la actual, impidiendo el cálculo correcto según la fecha deseada.
🎥 Evidencia adjunta:
Se incluye video para una mejor comprensión del comportamiento reportado.
🛠️ Impacto técnico:
Este fallo está afectando la precisión del cálculo de rendimiento y limita la operatividad normal del proceso, generando inconsistencias en los resultados esperados.
🚨 Solicitud de atención inmediata:
Agradecemos su apoyo para que esta incidencia sea analizada y corregida a la mayor brevedad posible, ya que el inconveniente persiste y continúa impactando la operación.
📌 Requerimiento adicional:
Solicitamos amablemente que la respuesta a este correo se realice utilizando este mismo hilo, con el fin de mantener la trazabilidad del caso.
Quedamos atentos a su pronta respuesta y a la solución efectiva de este incidente.
Muchas gracias por su apoyo.
Atentamente,
Se recibio la soilicitud de realizar pruebas por parte del proveedor: Solicitan de Advanced realizar pruebas sobre la incidencia reportada, responder sobre este mismo hilo de correo para el seguimiento adecuado.
Se recibio respuesta de parte de operaciones por correo: Confirmo que he realizado pruebas satisfactorias tanto en WC como WCL. Por lo que agradezco el cierre del ticket
 </t>
  </si>
  <si>
    <t xml:space="preserve">En cotizacion no permite seleccionar el cliente para vincularlo a la operacion. He anexado un video donde se puede apreciar que no permite. </t>
  </si>
  <si>
    <t>Se envio correo a Soporte de Logica Studio hoy 6 de mayo 2026.  
Estimados,
👋 Reciban un cordial saludo.
Por medio del presente, damos seguimiento a una incidencia reportada en Siseg leasing
⚠️ Descripción del inconveniente:
El usuario indica que, En cotizacion no permite seleccionar el cliente para vincularlo a la operacion. He anexado un video donde se puede apreciar que no permite.
🎥 Evidencia adjunta:
Se incluye video para una mejor comprensión del comportamiento reportado.
🛠️ Impacto técnico:
Este fallo está afectando la operatividad normal del proceso.
Agradecemos su apoyo para que esta incidencia sea analizada y corregida a la mayor brevedad posible.
Quedamos atentos a su pronta respuesta y a la solución  de este inconveniente.
Muchas gracias por su apoyo.
Atentamente,
Nos estan solicitando Pruebas Por parte de logica, e indicaron lo siguiente:  Antes de seleccionar el cliente, dale un clic donde está el 0 y luego haz el proceso para seleccionar al cliente normal.</t>
  </si>
  <si>
    <t>Poder contar con una opción para poder establecer la fecha maxima de pago de la renta cero "0", así como poder establecer que la ultima renta sea en la fecha de vencimiento del contrato (no de acuerdo a la fecha fija de pago de las demas rentas), así como establecer automaticamente que un mes posterior a la fecha antes indicada, se establezca como fecha máxima de pago de la opción a compra. Esto fue conversado ayer con Sergio Rodas, con el objeto de evitar procesos manuales de carga.</t>
  </si>
  <si>
    <t>Se solicito hoy 6 de mayo por correo.
Estimados,
Espero que se encuentren bien.
Derivado de la reunión sostenida el día de ayer con Sergio Rodas, y con el objetivo de continuar fortaleciendo la eficiencia operativa del sistema, se plantea la siguiente solicitud de mejora (RFC), la cual consideramos importante incluir dentro del alcance de los desarrollos discutidos:
________________________________________
📌 RFC – Parametrización avanzada de condiciones de renta y opción a compra
Se propone incorporar las siguientes funcionalidades:
✅ 1. Definición de fecha máxima de pago para renta cero (0)
Permitir establecer la fecha máxima de pago en rentas con valor cero (0), con el objetivo de mantener consistencia en los calendarios y reglas de negocio aplicadas.
________________________________________
✅ 2. Ajuste de la última renta en función del vencimiento del contrato
Configurar que la última renta:
📅 Se alinee automáticamente a la fecha de vencimiento del contrato
🔄 No dependa de la fecha fija establecida para el resto de las rentas
Esto permitirá mayor precisión en la generación de cronogramas.
________________________________________
✅ 3. Automatización de fecha máxima para opción de compra
Incorporar una lógica que permita que:
➕ Un mes posterior a la fecha de la última renta
📆 Se establezca automáticamente como la fecha máxima de pago de la opción a compra
________________________________________
🎯 Objetivo del requerimiento
Estas mejoras tienen como finalidad:
⚙️ Reducir procesos manuales de carga
📊 Aumentar la precisión en los cálculos financieros
🚀 Optimizar la eficiencia operativa del sistema de leasing/rentas
________________________________________
📎 Consideraciones
Se solicita muy atentamente que este RFC sea evaluado para su inclusión dentro del conjunto de desarrollos levantados en la reunión reciente, asegurando así una implementación integral y alineada a las necesidades operativas actuales.
________________________________________
Agradecemos de antemano el apoyo y la disposición brindada para la atención de estos requerimientos.
Quedamos atentos a cualquier observación, comentario o validación que consideren pertinente.
________________________________________
Saludos cordiales,</t>
  </si>
  <si>
    <t>Buenos dias, seguimos presentado problemas con el internet, lo que provoca que el uso de los sistemas sea lento para poder realizar las tareas diarias.</t>
  </si>
  <si>
    <t>Se corrio una prueba de velocidad, para medir el ancho de banda en nuestro proveedor. ( se comparte imagen del resultado del test), Nota: estamos por encima de lo contratado.
Se realizo una prueba PING: para observar la entrega de los paquetes y no se obrserva perdida alguna. ( se adjunta imagen del proceso)
Se realizo una Prueba TRECERT para ver la trazabilidad de nuestro enlace: ( la traza indica que si llegamos a nuestro destino)
Se reporto con nuestro Proveedor de Internet para verificar la saturacion en el enlace (Me indican que tenemos una saturacion de 28.8 promedio, abajo de nuestra capacidad en el enlace.
Se estara monitorizando para darle seguiento.
SE REQUIERE DE LOS USUARIOS LA SIGUIENTE INFORMACION: Para dar el seguimiento a su equipo
1.-  Correr en el buscador    speedtest.net   y compartirme la imagen del resultado en el hilo del correo de help desk que le ingreso sobre este ticket.
2.-  Indicarnos si es al navegar en el explorador o al momento de comunicarse con software de terceros:   indicarme en el correo ejmplo si es al utilizar Dropbox ( advanced) u otro software o proceso y si se puede tomar captura estaria mejor.
Se reinicio el Reuter y el switch del proveedor.   Se procedio a Explicarle al usuario. Se procedera a establecer comunicacion con el proveedor con el que los usuarios se ven afectados.</t>
  </si>
  <si>
    <t>solicitud de prueba de flujo sobre encuesta ti</t>
  </si>
  <si>
    <t>Segun conversación con Sergio Rodas, agradezco el apoyo para poderme programar un plan de capacitacion con el proveedor sobre el sistema SISEG Insurance, esto derivado de instruccion de Guillermo Soler, para mi conocimiento sobre dicha unidad.</t>
  </si>
  <si>
    <t>Estimados señores,
🌟 Reciban un cordial saludo.
Por este medio, me permito expresar mi agradecimiento por el apoyo brindado en las distintas gestiones realizadas en conjunto.
📘 En seguimiento a la instrucción de Guillermo Soler Munguia, se ha identificado la necesidad de fortalecer el conocimiento sobre la unidad correspondiente al sistema SISEG Insurance, tanto a nivel técnico como operativo.
🎯 En ese contexto, solicitamos atentamente su valioso apoyo para la programación de un plan de capacitación, el cual esté orientado a:
Reforzar el entendimiento funcional del sistema.
Brindar claridad en los procesos operativos.
Capacitar a los usuarios clave que interactúan directamente con la plataforma.
👥 Esta capacitación es fundamental para asegurar el uso adecuado del sistema y optimizar los procesos asociados dentro de la organización.
📅 Agradeceremos que puedan indicarnos la fecha propuesta para llevar a cabo dicha capacitación, con el objetivo de organizar la logística interna, coordinación de participantes y asegurar la disponibilidad de los usuarios involucrados.
🤝 Quedamos atentos a su confirmación y a cualquier información adicional que consideren necesaria para la adecuada planificación del proceso.
✨ Agradeciendo de antemano su apoyo y colaboración.
Saludos cordiales,</t>
  </si>
  <si>
    <t>Buena tarde TI, SOLICITO DE SU APOYO PARA SOLICITAR ADVACED, QUE SE PUEDA PROCEDER A UNA COPIA DE FICHAS DE BANCOS Y ASESORES, EN LAS UNIDADES DE WC HOLDING, FACTORING Y LEASING, PARA TENER LA INFORMACIÓN IGUAL DE LAS 3 UNIDADES</t>
  </si>
  <si>
    <t>Se solicita a Erick Sazo , nos indique a detalla cual es la que se tomara como primaria para replicarla en las demas.  Se requirio a advanced: hoy 7 de mayo 2026. Estimado equipo de ADVANCED, 👋
Reciban un cordial saludo.
Por medio del presente, solicitamos de su valioso apoyo en proceder a  la creación de una copia de fichas de BANCOS Y ASESORES  entre nuestras unidades operativas. 🧩
🎯 Objetivo del requerimiento
Implementar una copia  de fichas de bancos y asesores entre las siguientes unidades:
🏢 WC Holding
💼 Factoring (unidad master)
🚗 Leasing
________________________________________
⚙️ Alcance esperado
📌 Definir a Factoring como unidad de referencia (master)
🔄 Replicar la información de fichas de:
🏦 Bancos
👤 Asesores
🎯 Asegurar la homologación de datos entre las tres unidades
✅ Garantizar consistencia, integridad y sincronización de la información
________________________________________
💡 Justificación técnica
Este requerimiento tiene como finalidad:
📊 Mantener uniformidad de catálogos críticos
🚀 Optimizar los procesos operativos y de consulta
❌ Evitar inconsistencias y reprocesos manuales
🔒 Mejorar el control sobre la información compartida
________________________________________
📢 Acción solicitada
Agradecemos puedan:
📝 Levantar formalmente el requerimiento
📅 Proponer tiempos estimados para implementación
________________________________________
Quedamos atentos a sus comentarios, validaciones y cualquier información adicional que requieran para avanzar con esta solicitud. 🤝
Muchas gracias por su apoyo y acompañamiento continuo.
________________________________________
Atentamente,</t>
  </si>
  <si>
    <t>SE REALIZA PRUEBA PARA CORROBORAR LOS CORREOS ENVIADO EN FLUJO DE POWER AUTOMATE</t>
  </si>
  <si>
    <t>SE DESCRIBE LA SOLUCION PARA VERIFICAR EL ESTADO EN PROCESO. 
SE DESCRIBE LA SOLUCION PARA VERIFICAR EL ESTADO EN PRUEBAS DE USUARIO.
SE DESCRIBE LA SOLUCION PARA VERIFICAR EL ESTADO EN  A LA ESPERA DE INFORMACION DEL USUARIO.
SE DESCRIBE LA SOLUCION PARA VERIFICAR EL ESTADO EN  A LA ESPERA DEL PROVEEDOR
SE DESCRIBE LA SOLUCION PARA VERIFICAR EL ESTADO EN  RECHAZADO.
SE DESCRIBE LA SOLUCION PARA VERIFICAR EL ESTADO EN  RESUELTO</t>
  </si>
  <si>
    <t>Se solicita contar con un reporte detallado y consolidado (xlsx y/o csv), sobre las comisiones generadas de asesores (altas), asi como de reintegros (en caso sea desinversión o cancelación anticipada de operación). Comparto un formato propuesto de los campos de dichos reportes. Siempre para consignar el tipo de cambio de compra y venta de referencia de nuestro Banco Centralizador.  Esto con el objetivo de automatizar el proceso, brindar respuesta inmediata y evitar manualidad que exponga riesgo en el cálculo.</t>
  </si>
  <si>
    <t>Estimado equipo de ADVANCED, 👋
Reciban un cordial saludo.
Por medio del presente, solicitamos de su valioso apoyo en proceder a  la creación de una copia de fichas de BANCOS Y ASESORES  entre nuestras unidades operativas. 🧩
🎯 Objetivo del requerimiento
Implementar una copia  de fichas de bancos y asesores entre las siguientes unidades:
🏢 WC Holding
💼 Factoring (unidad master)
🚗 Leasing
⚙️ Alcance esperado
📌 Definir a Factoring como unidad de referencia (master)
🔄 Replicar la información de fichas de:
🏦 Bancos
👤 Asesores
🎯 Asegurar la homologación de datos entre las tres unidades
✅ Garantizar consistencia, integridad y sincronización de la información
💡 Justificación técnica
Este requerimiento tiene como finalidad:
📊 Mantener uniformidad de catálogos críticos
🚀 Optimizar los procesos operativos y de consulta
❌ Evitar inconsistencias y reprocesos manuales
🔒 Mejorar el control sobre la información compartida
📢 Acción solicitada
Agradecemos puedan:
📝 Levantar formalmente el requerimiento
📅 Proponer tiempos estimados para implementación
Quedamos atentos a sus comentarios, validaciones y cualquier información adicional que requieran para avanzar con esta solicitud. 🤝
Muchas gracias por su apoyo y acompañamiento continuo.
Atentamente,</t>
  </si>
  <si>
    <t>Solicitar la "cancelación total", de la operación PG01250701 a nombre de ANA LUCIA SAMAYOA ALDANA con fecha 14/04/2026, debido a que en su momento el sistema lanzaba que el código de autorizacion ingresado manualmente por Veronica Alarcon era invalido. Dado a la nueva parametrizacion implementada de no permitir cambios si la cuota del mes anterior ya se encuentra en estado pagada ya no es posible realizar pruebas ingresando el codigo de autorización. Por lo que se realiza esta nueva solicitud.   Debido a que se solvento por via telefonica, como lo indica el usuario, se procede a invalidar el ticket y dejar constancia.
Solo comentario adicional, en su momento se cancelo con calculo manual.</t>
  </si>
  <si>
    <t xml:space="preserve">sE ENVIO EL REQUERIMIENTO A SOPORTE DE ADVANCED. HOY 8 DE MAYO 2026.
eL USUARIO OPERACIONES INDICO LO SIGUIENTE: Buena tarde Sergio
Gusto en saludarle
Con relación al siguiente ticket, se ingresó para el debido soporte, pero dada la urgencia en dar de baja a la operación en sistema, Evelyn coordino una llamada con el proveedor (Oscar) y nos solvento de manera inmediata. Por lo que agradezco tomar esto en cuenta para el ticket indicado. Que para darle mas contexto es aquella operación que el sistema no aceptaba el código de autorización de Veronica para darle de baja y que tenia ya aplicado el bloqueo para cuotas pagadas.
 </t>
  </si>
  <si>
    <t>Se solicita contar con una opción para poder excluir una o varias cuotas del pago de rendimientos (con su correspondiente campo de observación y/o fecha para el vencimiento de la exclusión). Esto con el objeto de evitar duplicidad de pagos, por excepciones en donde se realiza de manera manual (desinversiones, inconvenientes en sistema y/o mejoras en proceso del sistema). Adicionalmente contar con una opción para visualizar todos los casos que pudieran estar excluidos para el correspondiente control y seguimiento.</t>
  </si>
  <si>
    <t>Se envio correo hoy 8 de mayo 2026 al proveedor.</t>
  </si>
  <si>
    <t xml:space="preserve">Contar con un reporte detallado y consolidado de:
1. Todas las operaciones de inversión, con filtro entre dos fechas, por asesor y por estado: "VIGENTE", "CANCELADO", "VENCIDO", ETC (incluyendo opción de "todos", en estados y asesores).
2. Pagos de rendimientos, , con filtro entre dos fechas, por asesor y por estado: "VIGENTE", "CANCELADO", "VENCIDO," ETC (incluyendo opción de "todos", en estados y asesores).
</t>
  </si>
  <si>
    <t>Se envio correo a Soporte de advanced.
Buenas tardes, 
Usuario de operaciones, solicita lo siguiente:
Contar con un reporte detallado y consolidado de:
1. Todas las operaciones de inversión, con filtro entre dos fechas, por asesor y por estado: "VIGENTE", "CANCELADO", "VENCIDO", ETC (incluyendo opción de "todos", en estados y asesores).
2. Pagos de rendimientos, , con filtro entre dos fechas, por asesor y por estado: "VIGENTE", "CANCELADO", "VENCIDO," ETC (incluyendo opción de "todos", en estados y asesores).</t>
  </si>
  <si>
    <t>Buen día TI, solicito de su apoyo con solicitar al proveedor de Factorlab, para que pueda agregar una funcionalidad de calculos del documento a presentar, es decir cuando el cliente este interesado en desembolsar $150,000.00, que le proporcione los calculos para que pueda presentar el documento de soporte y que indique que monto seria el mino a recibir (Facturas, Pagaré u otros)</t>
  </si>
  <si>
    <t>Se requirio e Sergio Rodas el dia de hoy, para el seguimiento respectivo, ya que en estos momentos es el proyect manager.
Sergio el Usuario Erick Sazo solicita lo siguiente:  agregar una funcionalidad de calculos del documento a presentar, es decir cuando el cliente este interesado en desembolsar $150,000.00, que le proporcione los calculos para que pueda presentar el documento de soporte y que indique que monto seria el mino a recibir (Facturas, Pagaré u otros)</t>
  </si>
  <si>
    <t>FactorLab</t>
  </si>
  <si>
    <t xml:space="preserve">Tecla o del teclado se safó,  agradezco su apoyo con la revisión.  gracias. </t>
  </si>
  <si>
    <t>Se reviso la computadora y se realizaron los ajustes necesarios en los plastico de la placa del teclado, con esto se pudo volver a instalar la tecla respectiva.</t>
  </si>
  <si>
    <t>De acuerdo con instrucciones de Guillermo, agradeceré configurar mi firma en email WC con la versión original.  Saludos,</t>
  </si>
  <si>
    <t>Se procedera a solicitar a Celeste chacon nos provea de la computadora para configurarle la firma de su correo.Se configuro la firma.</t>
  </si>
  <si>
    <t>No permite generar el reporte de comisiones, al hacer clic sobre el reporte "Comisiones" lanza a pagina indicada en adjunto, con el error 404.</t>
  </si>
  <si>
    <t>Se envio el correo a logica: 
Estimados equipo de Logica Studio,
Reciban un cordial saludo.
🚨 Reportamos incidencia crítica en producción:
Actualmente, no es posible generar el reporte de comisiones, ya que al seleccionar la opción "Comisiones", el sistema redirige a una página que muestra un error 404 (Not Found), impidiendo completamente la consulta del reporte.
Esta situación está afectando directamente la operación, ya que el reporte es requerido para validaciones y gestión interna.
🔴 Requerimiento urgente:
Solicitamos su apoyo inmediato para la revisión y resolución de esta incidencia, dado que necesitamos de su intervención en este momento para restablecer el servicio.
📩 Seguimiento:
Quedamos a la espera de sus indicaciones y pronta respuesta, así como de cualquier validación o información adicional que requieran de nuestra parte para agilizar la solución.
Agradecemos de antemano su pronta atención y apoyo.
Saludos
SE RECIBIO RESPUESTA DE SOPORTE DE LOGICA: 
Te comento que lo acabo de generar y me lo genero sin problemas prueba desde una ventana de incognito </t>
  </si>
  <si>
    <t xml:space="preserve">Solicito apoyo para corregir en la herramienta para generar las propuestas el valor de la opción a compra en la carta, ya que actualmente genera el valor de la opción a compra sin intereses y no cuadra con el flujo.  
adicional a esto solicito se pueda confirguar en el formato de la carta el porcentaje de la opción a compra.  muchas gracias, </t>
  </si>
  <si>
    <t>PRUEBA DE ENVIO DE CORREOS</t>
  </si>
  <si>
    <t>Buen día Ti, solicito de su apoyo con el siguiente requerimiento:
En la opción de administrador de solicitud, solicito que se agregue la opción de vencimiento programado, con el fin cuando se traslade a operaciones pueda mantener esas condiciones.</t>
  </si>
  <si>
    <t>Se envio correo con la solicitud a Soporte Advanced
Estimados,
Espero se encuentren bien.
🛠️ Por medio del presente, solicito su apoyo para la incorporación de una mejora dentro de la opción de Administrador de Solicitudes, específicamente en la creación de una funcionalidad de vencimiento programado.
📅 Objetivo de la mejora:
Permitir que, al momento de generar la solicitud, se pueda definir una fecha de vencimiento que se mantenga al ser trasladada al área de Operaciones, garantizando así la continuidad de las condiciones establecidas desde su origen.
🔄 Beneficio esperado:
Mejor control sobre los tiempos de gestión
Mayor trazabilidad del proceso
Alineación entre las áreas involucradas
📌 Solicitud adicional:
Agradeceré que, una vez revisado este requerimiento, nos puedan confirmar por este mismo medio la recepción y validación del mismo, así como cualquier comentario o consideración adicional.
Quedo atento a sus comentarios y agradezco de antemano su apoyo en esta gestión.
Saludos cordiales,</t>
  </si>
  <si>
    <t>Se solicita contar con una opcion, donde sea posible trasladar / cargar valores pendientes o faltantes a otras rentas, como moras e IOC de manera automatica. Tambien contar con una opcion para carga de documentos de soporte como Vo Bo para realizar esta gestión y que pueda estar disponible la visualizacion de los documentos cargados.</t>
  </si>
  <si>
    <t>Se requirio por correo a soporte de logica:
Estimados, reciban un cordial saludo. 🤝
Por medio del presente, solicitamos su valioso apoyo para la evaluación e implementación del siguiente requerimiento funcional:
🔄 Automatización de traslado de valores:
Se requiere contar con una opción que permita trasladar y/o cargar de manera automática los valores pendientes o faltantes hacia otras rentas, tales como moras e IOC, optimizando así la gestión operativa y reduciendo procesos manuales.
📂 Carga y gestión de documentos de soporte:
Asimismo, se solicita habilitar una funcionalidad que permita adjuntar documentos de respaldo (Vo. Bo., u otros necesarios) asociados a esta gestión, garantizando trazabilidad y control adecuado.
👁️ Visualización de documentos:
Es importante que los documentos cargados puedan ser consultados posteriormente, asegurando su disponibilidad para revisión y auditoría cuando sea requerido.
📌 Confirmación de recepción:
Agradeceremos nos puedan confirmar la recepción del presente requerimiento y, de ser posible, indicarnos los siguientes pasos a considerar para su análisis e implementación.
🙏 Agradecimiento:
Agradecemos de antemano su apoyo y colaboración en la atención de esta solicitud, la cual contribuirá a mejorar la eficiencia de nuestros procesos.
Quedamos atentos a sus comentarios. ✉️
Saludos cordiales,</t>
  </si>
  <si>
    <t xml:space="preserve">Depósitos Inversiones &lt;depositos@workingcapitalsa.com&gt;  por favor agradezco incluirme en este buzón de correo.  gracias </t>
  </si>
  <si>
    <t>Se agrego a la lista sindicada el correo valarcon@workingcapitalsa.com</t>
  </si>
  <si>
    <t>Mensaje no se muestra</t>
  </si>
  <si>
    <t>Es para prueba de gestión</t>
  </si>
  <si>
    <t xml:space="preserve">	Un gusto saludarle, quisiera solicitar su apoyo para pedirle unos cambios si fueran viables, 
1.	Anexo interno, en la parte de la Opción a compra colocar los intereses, aparece sin intereses y al verlo en conjunto con la propuesta y la tabla de pagos no cuadra. 
2.	En anexo Interno 2, en datos de la operación, indicar que el monto con IVA a financiar.  Si se pudiera agregar.  Monto del bien con IVA, Enganche con IVA, valor a financiar con IVA (si se pudiera sin IVA y no afecta los cálculos mejor)  el objetivo sería  tener una mejor comprensión cuando alguien los quiera leer.  Ya que actualmente en la casilla sólo dice Monto, y el valor que esta consignado esta con IVA y sin enganche, entonces al verlos por separado causa confusión. 
Muchas gracias, 
favor ver correo de referencia enviado por Melody.</t>
  </si>
  <si>
    <t>A la espera de Informacion del usuario</t>
  </si>
  <si>
    <t>Se envio el requerimiento a Logica:
Estimados,
Reciban un cordial saludo. 🤝
En seguimiento a los puntos abordados en la última reunión, agradezco su apoyo para evaluar la viabilidad de los siguientes ajustes en los anexos internos, con el objetivo de mejorar la consistencia y claridad de la información presentada:
________________________________________
🔹 1. Ajuste en Anexo Interno – Opción a compra
Se solicita incorporar el detalle de intereses en la opción a compra, ya que actualmente se muestra sin intereses, lo cual genera inconsistencias al compararlo con la propuesta y la tabla de pagos.
🔹 2. Ajustes en Anexo Interno 2 – Datos de la operación
Con el fin de evitar confusiones en la interpretación de los montos, se solicita:
Indicar explícitamente que el monto corresponde a valores con IVA
De ser viable, agregar los siguientes campos:
✅ Monto del bien con IVA
✅ Enganche con IVA
✅ Valor a financiar con IVA
✅ (Opcional) Valores sin IVA, siempre que no afecten los cálculos
📊 El objetivo es facilitar la comprensión integral de la operación al momento de su revisión.
📌 Registro en RFC y control
Agradeceré que estos requerimientos puedan ser incluidos dentro de los RFC discutidos en la última reunión, y de ser posible:
🔢 Compartir el número de RFC asignado a cada solicitud
📬 Brindar una confirmación o retroalimentación, para llevar el control y seguimiento correspondiente
________________________________________
Quedo atento a sus comentarios y validación. 🙌
Agradezco de antemano su apoyo para continuar fortaleciendo la claridad y precisión de la información en el sistema.
Saludos cordiales,</t>
  </si>
  <si>
    <t>El sistema no permite cancelar en fecha de vencimiento seleccionada (19/05/2026) la operacion TM01260501 (Annabella Burbano). lanza el mensaje que anexo como adjunto.</t>
  </si>
  <si>
    <t>Se compartio el requerimiento a Advanced</t>
  </si>
  <si>
    <t>REVISIÓN DE COMPUTADORA, YA QUE ME INDICA ACCESO DENEGADO A MIS CORREOS.</t>
  </si>
  <si>
    <t>Se regreso a la vista clasica y luego se volvio a activar el Nuevo outlook</t>
  </si>
  <si>
    <t>Solicito de tu apoyo para que el sistema permita la cancelacion retroactiva (dentro del mismo mes en curso y previo a efectuar el cierre mensual). Debido a que no esta permitiendo cancelar inversiones. Les coloca automaticamente la cuota como pagada y lanza el mensaje de la imagen que adjunto. Operación de esta referencia TM02260501 (Jorge Humberto Lopez Hernandez)</t>
  </si>
  <si>
    <t xml:space="preserve">El  proveedor indico que en una anterior ocacion ya se habia indicado como se puede resolver este inconveniente: 
Buenas tardes Francisco, favor acudir al correo enviado el dia 13/04/2026 o bien me pueden llamar y con gusto les guio en el proceso.
Luego de esto enviamos otro correo con las indicaciones de Jose velasquez, haciendo ver que el caso actual no era igual al de esa ocacion, y que no se podia proceder de igual forma.  ( se le informo de esto al proveedor).
Luego se le solicito uno reunion para el dia lunes 1 de junio del 2026.    quedando agendada con los siguientes participantes: Jose velasquez, Jose martinez, Francisco Gonzalez  y Oscar Morales
</t>
  </si>
  <si>
    <t>Solicitando que al momento de efectuar la cancelacion de inversiones, se cuente con opcion a eleccion, donde se indique si es cancelacion por por desinversion total, desinversion parcial o si es cancelacion por renovacion. Esto con el objeto que cuando aplique generar el archivo CSV, pueda incluir el valor de capital total + rendimientos generados a la fecha indicada (desinversion total), colocar el monto de capital a desinvertir parcial  + rendimientos generados a la fecha indicada (desinversion parcial) y solo incluir los rendimientos generados a la fecha indicada (renovación). Esto debido a que actualmente el CSV que genera el sistema por cancelacion de inversión solo genera los rendimientos generados, pero no el capital en caso aplique (total o parcial).</t>
  </si>
  <si>
    <t>Estimados,
🔧 Con el objetivo de optimizar el proceso de cancelación de inversiones dentro del sistema, se solicita la incorporación de una mejora funcional que permita seleccionar el tipo de cancelación al momento de ejecutar la operación.
💡 Funcionalidad requerida:
Se propone habilitar una opción de selección donde el usuario pueda elegir entre:
✅ Desinversión total
✅ Desinversión parcial
✅ Cancelación por renovación
⚙️ Comportamiento esperado en la generación del archivo CSV:
El sistema deberá ajustar la información generada en el archivo CSV según el tipo de cancelación seleccionada, de la siguiente manera:
🔵 Desinversión total:
Incluir capital total + rendimientos generados a la fecha indicada.
🟡 Desinversión parcial:
Incluir monto de capital a desinvertir + rendimientos generados a la fecha indicada.
🟢 Renovación:
Incluir únicamente los rendimientos generados a la fecha indicada.
🚨 Situación actual:
Actualmente, el archivo CSV generado en el proceso de cancelación de inversiones solo contempla los rendimientos generados, omitiendo el capital en los casos donde aplica (total o parcial), lo cual limita la correcta interpretación y procesamiento de la información.
🎯 Objetivo del requerimiento:
Garantizar que la información exportada sea completa, precisa y alineada al tipo de operación financiera ejecutada, mejorando así la trazabilidad y el control operativo.
📩 Coordinación y entendimiento del requerimiento:
Para cualquier duda, validación o necesidad de reunión de entendimiento relacionada con este desarrollo, agradeceremos canalizarlo exclusivamente por este mismo medio, con el fin de mantener la trazabilidad y control centralizado de la gestión.
Quedo atento a sus comentarios y confirmación de viabilidad.
Saludos cordiales,</t>
  </si>
  <si>
    <t>Realizar el analisis para activar o implementar el modulo de cuentas por pagar en advantage, para llevar el control en el sistema del registro de todos los pagos.  Su aprobacion, generacion de archivo e texto para pago en banca, registro del pago realizado y contabilizacion en el modulo contable.</t>
  </si>
  <si>
    <t>Estimados,
Reciban un cordial saludo.
🔎 Análisis para implementación del Módulo de Cuentas por Pagar – Advantage
En seguimiento a la necesidad de fortalecer el control interno y la gestión financiera, se solicita el análisis para la activación/implementación del módulo de Cuentas por Pagar en Advantage, con el objetivo de centralizar y automatizar el ciclo completo de pagos dentro del sistema.
🧩 Alcance funcional requerido
El análisis deberá contemplar los siguientes componentes clave:
✅ Registro de obligaciones
Ingreso y control de todas las cuentas por pagar en el sistema.
✅ Flujo de aprobación
Definición y gestión de autorizaciones según políticas internas.
✅ Generación de archivo para banca
Creación de archivo en formato de texto compatible con los portales bancarios para ejecución de pagos.
✅ Confirmación de pagos ejecutados
Registro y validación de los pagos realizados en el sistema.
✅ Integración contable
Contabilización automática en el módulo contable, asegurando integridad y trazabilidad de la información financiera.
🎯 Objetivo del requerimiento
Contar con un proceso estandarizado, auditable y automatizado, que minimice riesgos operativos, mejore la trazabilidad y optimice la gestión de pagos dentro de la organización.
📅 Coordinación de reunión
Con el fin de alinear expectativas y obtener un mayor entendimiento funcional y técnico del requerimiento, agradeceremos nos puedan compartir su disponibilidad de fechas para agendar una sesión de trabajo.
📢 Canal de comunicación
Adicionalmente, se solicita que toda la información, avances y consultas relacionadas con este requerimiento sean gestionadas a través de este mismo canal, con el objetivo de mantener una adecuada trazabilidad y control del proceso.
Quedamos atentos a sus comentarios y confirmación de fechas.
Atentamente,</t>
  </si>
  <si>
    <t>Iniciar el analisis y evaluacion para implementar las ordenes de compra a travez del sistema Advantage, para registrar las solicitudes de compra, tener un flujo de aprobacion y que se conviertan en compras, esto vendria alineado a la solicitud de cuentas por pagar.</t>
  </si>
  <si>
    <t>Estimados,
Espero se encuentren bien.
🔍 Inicio de Análisis Funcional
Por medio de la presente, solicitamos formalmente iniciar el análisis y evaluación para la implementación del módulo de Órdenes de Compra dentro del sistema Advantage, con el objetivo de fortalecer el control y trazabilidad del proceso de adquisiciones.
⚙️ Alcance Requerido
Se requiere que la solución contemple los siguientes componentes clave:
• 📌 Registro estructurado de solicitudes de compra
• 🔄 Definición de un flujo de aprobación escalonado
• ✅ Conversión automática de solicitudes aprobadas en órdenes de compra formales
• 🔗 Integración alineada con el proceso de Cuentas por Pagar, garantizando consistencia operativa y financiera
📊 Objetivo Estratégico
Esta iniciativa busca optimizar la gestión de compras, asegurar un adecuado control interno y mantener la alineación con los procesos contables vigentes.
🤝 Coordinación y Seguimiento
Agradeceremos que cualquier reunión de entendimiento, levantamiento de requerimientos o sesiones de trabajo sea solicitada a través de este mismo canal, con el fin de mantener una adecuada trazabilidad y coordinación del proyecto.
✨ Agradecimiento
Agradecemos de antemano su apoyo, compromiso y colaboración continua para la ejecución exitosa de esta iniciativa.
Quedamos atentos a sus comentarios.
________________________________________
Saludos cordiales,</t>
  </si>
  <si>
    <t>Iniciar el analisis para utilizar de mejor manera el modulo de bancos, para llevar el control de cada uno de las transacciones / movimientos bancarios, para tener no solo de manera general los movimientos bancarios, sino una integracion de cada uno de los movimientos de ingresos y egresos. esto para llevar un mejor flujo de efectivo.</t>
  </si>
  <si>
    <t>Estimados,
💼 Por medio del presente, solicitamos formalmente el inicio del análisis funcional y técnico del módulo de Bancos, con el objetivo de optimizar su uso dentro de nuestras operaciones financieras.
📊 El enfoque principal se orienta a fortalecer el control integral de los movimientos bancarios, permitiendo no solo una visualización general, sino una trazabilidad detallada de cada transacción registrada.
🔄 Adicionalmente, buscamos lograr una correcta integración entre los movimientos de ingresos y egresos, asegurando consistencia en la información y facilitando la conciliación de operaciones en tiempo real.
💰 Este requerimiento tiene como finalidad mejorar la gestión y visibilidad del flujo de efectivo, proporcionando información más precisa, oportuna y alineada a las necesidades operativas y de control financiero de la organización.
🤝 Quedamos en total disposición de coordinar una reunión de trabajo, en la que podamos profundizar en el alcance de este requerimiento y asegurar una correcta interpretación funcional y técnica por parte de su equipo.
📩 Agradeceremos que cualquier seguimiento, consulta o retroalimentación relacionada con esta solicitud se canalice a través de este mismo medio, con el fin de mantener trazabilidad y control de la gestión.
🙏 Agradecemos de antemano el apoyo y acompañamiento brindado en este proceso, seguros de que contribuirá a la mejora continua de nuestras operaciones.
________________________________________
Quedamos atentos a sus comentarios.
Saludos cordiales,</t>
  </si>
  <si>
    <t>Se realizó un envio de recordatorio de pago para tres correos, pero no fueron enviados, visualizando el siguiente error. Agradezco pronto apoyo para solucionarlo.
Error:
ERROR - The SMTP server requires a secure connection or the client was not authenticated. The server response was: 5.7.57 Client not authenticated to send mail. Error: 535 5.7.139 Authentication unsuccessful, user password has expired. [CH5PR04CA0023.namprd04.prod.outlook.com 2026-05-28T16:42:09.408Z 08DEBBB508AA66E6]</t>
  </si>
  <si>
    <t>Este error se debio a varios factores que a continuacin dejare descritos para dejar constancia de los cambios realizados:
Por porliticas de seguriad de la contraseña, estas cambiaran cada 3 meses, con esto, contraseñas como la de negocios y cartera que estan configuradas en siseg X , se vieron afectadas ya que las cuentas de correo solicitaron el resablecimiento de la contraseña, se procedio a configurar el de negocios en el portal, pero a su vez habia que configurar el  de cartera, que es por el cual salen los correos de avisos pero este no se encuentra en el panel de administracion de siseg X , este lo tuvo ue configurar directamente el equipo de soporte de logica.  Con esto el inconveniente quedo resuelto.</t>
  </si>
  <si>
    <t>Buena tarde TI, solicito de su apoyo, ya que se esta enviado correos de prueba pero no se recepcionan correos de prueba, en el sistema de Advanced</t>
  </si>
  <si>
    <t>Por politicas de seguridad de las contraseñas estas se tuvieron que reconfigurar. se perocedio junto con Advanced a restablecer la contraeña y recibimos el ok.</t>
  </si>
  <si>
    <t>Usuario solicita</t>
  </si>
  <si>
    <t>correo solicita</t>
  </si>
  <si>
    <t>Departamento</t>
  </si>
  <si>
    <t>ID</t>
  </si>
  <si>
    <t>Tipo</t>
  </si>
  <si>
    <t>Titulo</t>
  </si>
  <si>
    <t>Estado</t>
  </si>
  <si>
    <t>Solución</t>
  </si>
  <si>
    <t>Fecha cierre</t>
  </si>
  <si>
    <t>Fecha Apertura</t>
  </si>
  <si>
    <t>Prioridad</t>
  </si>
  <si>
    <t>Tipo de servicio</t>
  </si>
  <si>
    <t>Razón cierre</t>
  </si>
  <si>
    <t>Fecha registro</t>
  </si>
  <si>
    <t xml:space="preserve">Sistema </t>
  </si>
  <si>
    <t>Ruta</t>
  </si>
  <si>
    <t>Estado2</t>
  </si>
  <si>
    <t>Etiquetas de fila</t>
  </si>
  <si>
    <t>Total general</t>
  </si>
  <si>
    <t>Etiquetas de columna</t>
  </si>
  <si>
    <t>Duracion</t>
  </si>
  <si>
    <t>AñoMes</t>
  </si>
  <si>
    <t>Total Alta</t>
  </si>
  <si>
    <t>Total Media</t>
  </si>
  <si>
    <t>Suma de Duracion</t>
  </si>
  <si>
    <t>Cantidad de tickets</t>
  </si>
  <si>
    <t>Tiempo de respuesta a ticket interno (en horas)</t>
  </si>
  <si>
    <t>Cuenta de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</si>
</sst>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49" fontId="0" fillId="0" borderId="0" xfId="0" applyNumberFormat="1"/>
    <xf numFmtId="1" fontId="0" fillId="0" borderId="0" xfId="0" applyNumberFormat="1"/>
    <xf numFmtId="0" fontId="0" fillId="0" borderId="0" xfId="0" applyAlignment="1">
      <alignment wrapText="1"/>
    </xf>
    <xf numFmtId="22" fontId="0" fillId="0" borderId="0" xfId="0" applyNumberFormat="1"/>
    <xf numFmtId="0" fontId="13" fillId="33" borderId="10" xfId="0" applyFont="1" applyFill="1" applyBorder="1"/>
    <xf numFmtId="0" fontId="13" fillId="33" borderId="11" xfId="0" applyFont="1" applyFill="1" applyBorder="1"/>
    <xf numFmtId="0" fontId="13" fillId="33" borderId="12" xfId="0" applyFont="1" applyFill="1" applyBorder="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18" fillId="0" borderId="0" xfId="0" applyFont="1" applyAlignment="1">
      <alignment horizontal="left"/>
    </xf>
    <xf numFmtId="0" fontId="18" fillId="0" borderId="0" xfId="0" applyFo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40">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27" formatCode="d/mm/yyyy\ hh:mm"/>
    </dxf>
    <dxf>
      <numFmt numFmtId="30" formatCode="@"/>
    </dxf>
    <dxf>
      <numFmt numFmtId="30" formatCode="@"/>
    </dxf>
    <dxf>
      <numFmt numFmtId="30" formatCode="@"/>
    </dxf>
    <dxf>
      <numFmt numFmtId="30" formatCode="@"/>
    </dxf>
    <dxf>
      <numFmt numFmtId="27" formatCode="d/mm/yyyy\ hh:mm"/>
    </dxf>
    <dxf>
      <numFmt numFmtId="27" formatCode="d/mm/yyyy\ hh:mm"/>
    </dxf>
    <dxf>
      <alignment horizontal="general" vertical="bottom" textRotation="0" wrapText="1" indent="0" justifyLastLine="0" shrinkToFit="0" readingOrder="0"/>
    </dxf>
    <dxf>
      <numFmt numFmtId="30" formatCode="@"/>
    </dxf>
    <dxf>
      <alignment horizontal="general" vertical="bottom" textRotation="0" wrapText="1" indent="0" justifyLastLine="0" shrinkToFit="0" readingOrder="0"/>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27" formatCode="d/mm/yyyy\ hh:mm"/>
    </dxf>
    <dxf>
      <numFmt numFmtId="30" formatCode="@"/>
    </dxf>
    <dxf>
      <numFmt numFmtId="30" formatCode="@"/>
    </dxf>
    <dxf>
      <numFmt numFmtId="30" formatCode="@"/>
    </dxf>
    <dxf>
      <numFmt numFmtId="30" formatCode="@"/>
    </dxf>
    <dxf>
      <numFmt numFmtId="27" formatCode="d/mm/yyyy\ hh:mm"/>
    </dxf>
    <dxf>
      <numFmt numFmtId="27" formatCode="d/mm/yyyy\ hh:mm"/>
    </dxf>
    <dxf>
      <alignment horizontal="general" vertical="bottom" textRotation="0" wrapText="1" indent="0" justifyLastLine="0" shrinkToFit="0" readingOrder="0"/>
    </dxf>
    <dxf>
      <numFmt numFmtId="30" formatCode="@"/>
    </dxf>
    <dxf>
      <alignment horizontal="general" vertical="bottom" textRotation="0" wrapText="1" indent="0" justifyLastLine="0" shrinkToFit="0" readingOrder="0"/>
    </dxf>
    <dxf>
      <numFmt numFmtId="30" formatCode="@"/>
    </dxf>
    <dxf>
      <numFmt numFmtId="1" formatCode="0"/>
    </dxf>
    <dxf>
      <numFmt numFmtId="30" formatCode="@"/>
    </dxf>
    <dxf>
      <numFmt numFmtId="30" formatCode="@"/>
    </dxf>
    <dxf>
      <numFmt numFmtId="30" formatCode="@"/>
    </dxf>
  </dxfs>
  <tableStyles count="1" defaultTableStyle="TableStyleMedium2" defaultPivotStyle="PivotStyleLight16">
    <tableStyle name="Invisible" pivot="0" table="0" count="0" xr9:uid="{D6FAC6E8-4029-4E70-A3C1-CAA0ABF7514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gio Alejandro Rodas Romero" refreshedDate="46188.707571064813" createdVersion="8" refreshedVersion="8" minRefreshableVersion="3" recordCount="34" xr:uid="{4EA3AEEA-6A15-4244-A864-6761FF4C4B4F}">
  <cacheSource type="worksheet">
    <worksheetSource name="Tabla1"/>
  </cacheSource>
  <cacheFields count="20">
    <cacheField name="Usuario solicita" numFmtId="49">
      <sharedItems/>
    </cacheField>
    <cacheField name="correo solicita" numFmtId="49">
      <sharedItems/>
    </cacheField>
    <cacheField name="Departamento" numFmtId="49">
      <sharedItems count="8">
        <s v="Coordinacion Leasing"/>
        <s v="Gerencia Tecnología"/>
        <s v="Coordinacion Operaciones"/>
        <s v="Gerencia Finzanzas"/>
        <s v="Gerencia Investment"/>
        <s v="Gerencia Factoring"/>
        <s v="Directora Comercial"/>
        <s v="Gerencia Legal"/>
      </sharedItems>
    </cacheField>
    <cacheField name="ID" numFmtId="1">
      <sharedItems containsSemiMixedTypes="0" containsString="0" containsNumber="1" containsInteger="1" minValue="368" maxValue="417"/>
    </cacheField>
    <cacheField name="Tipo" numFmtId="49">
      <sharedItems containsBlank="1" count="3">
        <s v="Interno"/>
        <m/>
        <s v="Externo"/>
      </sharedItems>
    </cacheField>
    <cacheField name="Titulo" numFmtId="0">
      <sharedItems longText="1"/>
    </cacheField>
    <cacheField name="Estado" numFmtId="49">
      <sharedItems count="6">
        <s v="Rechazado"/>
        <s v="Resuelto"/>
        <s v="A la Espera del Proveedor"/>
        <s v="En proceso"/>
        <s v="En pruebas de Usuario"/>
        <s v="A la espera de Informacion del usuario"/>
      </sharedItems>
    </cacheField>
    <cacheField name="Solución" numFmtId="0">
      <sharedItems containsBlank="1" longText="1"/>
    </cacheField>
    <cacheField name="Fecha cierre" numFmtId="22">
      <sharedItems containsSemiMixedTypes="0" containsNonDate="0" containsDate="1" containsString="0" minDate="2026-05-06T12:23:36" maxDate="2026-06-01T13:36:21"/>
    </cacheField>
    <cacheField name="Fecha Apertura" numFmtId="22">
      <sharedItems containsSemiMixedTypes="0" containsNonDate="0" containsDate="1" containsString="0" minDate="2026-05-04T08:20:24" maxDate="2026-05-29T11:43:18"/>
    </cacheField>
    <cacheField name="Prioridad" numFmtId="49">
      <sharedItems count="2">
        <s v="Media"/>
        <s v="Alta"/>
      </sharedItems>
    </cacheField>
    <cacheField name="Tipo de servicio" numFmtId="49">
      <sharedItems/>
    </cacheField>
    <cacheField name="Estado2" numFmtId="49">
      <sharedItems/>
    </cacheField>
    <cacheField name="Razón cierre" numFmtId="49">
      <sharedItems containsBlank="1"/>
    </cacheField>
    <cacheField name="Fecha registro" numFmtId="22">
      <sharedItems containsSemiMixedTypes="0" containsNonDate="0" containsDate="1" containsString="0" minDate="2026-05-04T08:20:24" maxDate="2026-05-29T11:43:18"/>
    </cacheField>
    <cacheField name="Sistema " numFmtId="49">
      <sharedItems containsBlank="1"/>
    </cacheField>
    <cacheField name="Elemento" numFmtId="49">
      <sharedItems/>
    </cacheField>
    <cacheField name="Ruta" numFmtId="49">
      <sharedItems/>
    </cacheField>
    <cacheField name="AñoMes" numFmtId="0">
      <sharedItems/>
    </cacheField>
    <cacheField name="Duracion" numFmtId="2">
      <sharedItems containsSemiMixedTypes="0" containsString="0" containsNumber="1" minValue="8.8611111044883728E-2" maxValue="505.2386111111263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gio Alejandro Rodas Romero" refreshedDate="46188.715143518515" createdVersion="8" refreshedVersion="8" minRefreshableVersion="3" recordCount="26" xr:uid="{BD996575-213B-4EF4-9BA0-362445BF6BC1}">
  <cacheSource type="worksheet">
    <worksheetSource name="Tabla2"/>
  </cacheSource>
  <cacheFields count="20">
    <cacheField name="Usuario solicita" numFmtId="49">
      <sharedItems/>
    </cacheField>
    <cacheField name="correo solicita" numFmtId="49">
      <sharedItems/>
    </cacheField>
    <cacheField name="Departamento" numFmtId="49">
      <sharedItems count="7">
        <s v="Coordinacion Leasing"/>
        <s v="Coordinacion Operaciones"/>
        <s v="Gerencia Tecnología"/>
        <s v="Directora Comercial"/>
        <s v="Gerencia Leasing"/>
        <s v="Gerencia Factoring"/>
        <s v="Gerencia Legal"/>
      </sharedItems>
    </cacheField>
    <cacheField name="ID" numFmtId="1">
      <sharedItems containsSemiMixedTypes="0" containsString="0" containsNumber="1" containsInteger="1" minValue="342" maxValue="367"/>
    </cacheField>
    <cacheField name="Tipo" numFmtId="49">
      <sharedItems containsBlank="1" count="3">
        <m/>
        <s v="Externo"/>
        <s v="Interno"/>
      </sharedItems>
    </cacheField>
    <cacheField name="Titulo" numFmtId="0">
      <sharedItems longText="1"/>
    </cacheField>
    <cacheField name="Estado" numFmtId="49">
      <sharedItems count="4">
        <s v="Resuelto"/>
        <s v="En pruebas de Usuario"/>
        <s v="A la Espera del Proveedor"/>
        <s v="Rechazado"/>
      </sharedItems>
    </cacheField>
    <cacheField name="Solución" numFmtId="0">
      <sharedItems containsBlank="1" longText="1"/>
    </cacheField>
    <cacheField name="Fecha cierre" numFmtId="22">
      <sharedItems containsSemiMixedTypes="0" containsNonDate="0" containsDate="1" containsString="0" minDate="2026-04-07T16:21:20" maxDate="2026-05-07T12:09:27"/>
    </cacheField>
    <cacheField name="Fecha Apertura" numFmtId="22">
      <sharedItems containsSemiMixedTypes="0" containsNonDate="0" containsDate="1" containsString="0" minDate="2026-04-06T11:17:19" maxDate="2026-04-29T14:55:19"/>
    </cacheField>
    <cacheField name="Prioridad" numFmtId="49">
      <sharedItems count="3">
        <s v="Alta"/>
        <s v="Media"/>
        <s v="Baja"/>
      </sharedItems>
    </cacheField>
    <cacheField name="Tipo de servicio" numFmtId="49">
      <sharedItems/>
    </cacheField>
    <cacheField name="Estado2" numFmtId="49">
      <sharedItems count="3">
        <s v="Sergio Rodas"/>
        <s v="Francisco González"/>
        <s v="Sin Asignarse"/>
      </sharedItems>
    </cacheField>
    <cacheField name="Razón cierre" numFmtId="49">
      <sharedItems containsBlank="1"/>
    </cacheField>
    <cacheField name="Fecha registro" numFmtId="22">
      <sharedItems containsSemiMixedTypes="0" containsNonDate="0" containsDate="1" containsString="0" minDate="2026-04-06T11:17:19" maxDate="2026-04-29T14:55:19"/>
    </cacheField>
    <cacheField name="Sistema " numFmtId="49">
      <sharedItems containsBlank="1"/>
    </cacheField>
    <cacheField name="Elemento" numFmtId="49">
      <sharedItems/>
    </cacheField>
    <cacheField name="Ruta" numFmtId="49">
      <sharedItems/>
    </cacheField>
    <cacheField name="AñoMes" numFmtId="0">
      <sharedItems/>
    </cacheField>
    <cacheField name="Duracion" numFmtId="2">
      <sharedItems containsSemiMixedTypes="0" containsString="0" containsNumber="1" minValue="0.94805555557832122" maxValue="554.7174999999697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s v="Lisbeth Zuseth Castillo Moraga"/>
    <s v="lcastillo@workingcapitalsa.com"/>
    <x v="0"/>
    <n v="368"/>
    <x v="0"/>
    <s v="FAVOR CREAR CARPETA COMPARTIDA CON MELODY JOCHOLA."/>
    <x v="0"/>
    <s v="Especificar mas a detalle el ticket, enviar por medio del mismo correo en que se levanto este ticket, especificaciones de :_x000a_1. Lugar en donde se necesita la carpeta._x000a_2.- Especificar todo lo concerniente a este requerimiento para que quede claro el mismo.     _x000a_Se Procede a rechazar el ticket, se requiere que se reunan para coordinar los requerimientos. Debido a que por seguridad de la informacion Contamos con un Servidor NAS."/>
    <d v="2026-05-07T14:41:50"/>
    <d v="2026-05-04T08:20:24"/>
    <x v="0"/>
    <s v="Otros - Especificar en el detalle del Ticket"/>
    <s v="Sin Asignarse"/>
    <s v="No Existe Retroalimentación"/>
    <d v="2026-05-04T08:20:24"/>
    <m/>
    <s v="Elemento"/>
    <s v="sites/SISTEMAHELPDESKWCG/Lists/Sistema HelpDesk WCG"/>
    <s v="2026-5"/>
    <n v="78.357222222082783"/>
  </r>
  <r>
    <s v="Francisco Arnoldo Gonzalez Ardón"/>
    <s v="fgonzalez@workingcapitalsa.com"/>
    <x v="1"/>
    <n v="369"/>
    <x v="1"/>
    <s v="ESTA ES UNA PRUEBA DE ENVIO DE CORREOS ACTUALIZADA PARA 2026"/>
    <x v="0"/>
    <s v="SE REALIZARA LA PRUEBA DE CAMBIO DE ESTADO"/>
    <d v="2026-05-13T08:24:02"/>
    <d v="2026-05-04T12:18:45"/>
    <x v="1"/>
    <s v="Incidencia en Hardware"/>
    <s v="Sin Asignarse"/>
    <s v="Servicio No Soportado"/>
    <d v="2026-05-04T12:18:45"/>
    <m/>
    <s v="Elemento"/>
    <s v="sites/SISTEMAHELPDESKWCG/Lists/Sistema HelpDesk WCG"/>
    <s v="2026-5"/>
    <n v="212.08805555541767"/>
  </r>
  <r>
    <s v="José Roberto Velásquez Pineda"/>
    <s v="jvelasquez@workingcapitalsa.com"/>
    <x v="2"/>
    <n v="370"/>
    <x v="2"/>
    <s v="El inconveniente persiste, al momento de seleccionar la fecha de apertura y presionar el boton calcular rendimiento vuelve a regresar a la fecha actual. Previamente converso con Sergio Rodas."/>
    <x v="1"/>
    <s v="Se solicito la correcion a Soporte de advanced hoy 6 de Mayo 2026.   _x000a_Estimados,_x000a_👋 Reciban un cordial saludo._x000a_Por medio del presente, damos seguimiento a la incidencia previamente reportada, la cual continúa presentándose sin resolución._x000a_⚠️ Descripción del inconveniente:_x000a__x000a_El usuario indica que, al seleccionar la fecha de apertura y presionar el botón “Calcular rendimiento”, el sistema automáticamente restablece la fecha a la actual, impidiendo el cálculo correcto según la fecha deseada._x000a_🎥 Evidencia adjunta:_x000a__x000a_Se incluye video para una mejor comprensión del comportamiento reportado._x000a_🛠️ Impacto técnico:_x000a__x000a_Este fallo está afectando la precisión del cálculo de rendimiento y limita la operatividad normal del proceso, generando inconsistencias en los resultados esperados._x000a_🚨 Solicitud de atención inmediata:_x000a__x000a_Agradecemos su apoyo para que esta incidencia sea analizada y corregida a la mayor brevedad posible, ya que el inconveniente persiste y continúa impactando la operación._x000a_📌 Requerimiento adicional:_x000a__x000a_Solicitamos amablemente que la respuesta a este correo se realice utilizando este mismo hilo, con el fin de mantener la trazabilidad del caso._x000a_Quedamos atentos a su pronta respuesta y a la solución efectiva de este incidente._x000a_Muchas gracias por su apoyo._x000a_Atentamente,_x000a__x000a_Se recibio la soilicitud de realizar pruebas por parte del proveedor: Solicitan de Advanced realizar pruebas sobre la incidencia reportada, responder sobre este mismo hilo de correo para el seguimiento adecuado._x000a_Se recibio respuesta de parte de operaciones por correo: Confirmo que he realizado pruebas satisfactorias tanto en WC como WCL. Por lo que agradezco el cierre del ticket_x000a__x000a_ "/>
    <d v="2026-05-08T09:33:58"/>
    <d v="2026-05-05T08:48:29"/>
    <x v="1"/>
    <s v="Incidencia en Software"/>
    <s v="Francisco González"/>
    <s v="Resuelto"/>
    <d v="2026-05-05T08:48:29"/>
    <s v="Advanced Investment"/>
    <s v="Elemento"/>
    <s v="sites/SISTEMAHELPDESKWCG/Lists/Sistema HelpDesk WCG"/>
    <s v="2026-5"/>
    <n v="72.758055555517785"/>
  </r>
  <r>
    <s v="José Roberto Velásquez Pineda"/>
    <s v="jvelasquez@workingcapitalsa.com"/>
    <x v="2"/>
    <n v="371"/>
    <x v="2"/>
    <s v="En cotizacion no permite seleccionar el cliente para vincularlo a la operacion. He anexado un video donde se puede apreciar que no permite. "/>
    <x v="1"/>
    <s v="Se envio correo a Soporte de Logica Studio hoy 6 de mayo 2026.  _x000a_Estimados,_x000a_👋 Reciban un cordial saludo._x000a_Por medio del presente, damos seguimiento a una incidencia reportada en Siseg leasing_x000a_⚠️ Descripción del inconveniente:_x000a_El usuario indica que, En cotizacion no permite seleccionar el cliente para vincularlo a la operacion. He anexado un video donde se puede apreciar que no permite._x000a_🎥 Evidencia adjunta:_x000a_Se incluye video para una mejor comprensión del comportamiento reportado._x000a_🛠️ Impacto técnico:_x000a_Este fallo está afectando la operatividad normal del proceso._x000a_Agradecemos su apoyo para que esta incidencia sea analizada y corregida a la mayor brevedad posible._x000a_Quedamos atentos a su pronta respuesta y a la solución  de este inconveniente._x000a_Muchas gracias por su apoyo._x000a_Atentamente,_x000a__x000a_Nos estan solicitando Pruebas Por parte de logica, e indicaron lo siguiente:  Antes de seleccionar el cliente, dale un clic donde está el 0 y luego haz el proceso para seleccionar al cliente normal."/>
    <d v="2026-05-07T14:28:25"/>
    <d v="2026-05-06T08:21:36"/>
    <x v="1"/>
    <s v="Incidencia en Software"/>
    <s v="Francisco González"/>
    <s v="No Existe Tal Error"/>
    <d v="2026-05-06T08:21:36"/>
    <s v="Siseg Leasing"/>
    <s v="Elemento"/>
    <s v="sites/SISTEMAHELPDESKWCG/Lists/Sistema HelpDesk WCG"/>
    <s v="2026-5"/>
    <n v="30.113611111126374"/>
  </r>
  <r>
    <s v="José Roberto Velásquez Pineda"/>
    <s v="jvelasquez@workingcapitalsa.com"/>
    <x v="2"/>
    <n v="372"/>
    <x v="2"/>
    <s v="Poder contar con una opción para poder establecer la fecha maxima de pago de la renta cero &quot;0&quot;, así como poder establecer que la ultima renta sea en la fecha de vencimiento del contrato (no de acuerdo a la fecha fija de pago de las demas rentas), así como establecer automaticamente que un mes posterior a la fecha antes indicada, se establezca como fecha máxima de pago de la opción a compra. Esto fue conversado ayer con Sergio Rodas, con el objeto de evitar procesos manuales de carga."/>
    <x v="2"/>
    <s v="Se solicito hoy 6 de mayo por correo._x000a__x000a_Estimados,_x000a_Espero que se encuentren bien._x000a_Derivado de la reunión sostenida el día de ayer con Sergio Rodas, y con el objetivo de continuar fortaleciendo la eficiencia operativa del sistema, se plantea la siguiente solicitud de mejora (RFC), la cual consideramos importante incluir dentro del alcance de los desarrollos discutidos:_x000a__________________________________________x000a_📌 RFC – Parametrización avanzada de condiciones de renta y opción a compra_x000a_Se propone incorporar las siguientes funcionalidades:_x000a_✅ 1. Definición de fecha máxima de pago para renta cero (0)_x000a_Permitir establecer la fecha máxima de pago en rentas con valor cero (0), con el objetivo de mantener consistencia en los calendarios y reglas de negocio aplicadas._x000a__________________________________________x000a_✅ 2. Ajuste de la última renta en función del vencimiento del contrato_x000a_Configurar que la última renta:_x000a_📅 Se alinee automáticamente a la fecha de vencimiento del contrato_x000a_🔄 No dependa de la fecha fija establecida para el resto de las rentas_x000a_Esto permitirá mayor precisión en la generación de cronogramas._x000a__________________________________________x000a_✅ 3. Automatización de fecha máxima para opción de compra_x000a_Incorporar una lógica que permita que:_x000a_➕ Un mes posterior a la fecha de la última renta_x000a_📆 Se establezca automáticamente como la fecha máxima de pago de la opción a compra_x000a__________________________________________x000a_🎯 Objetivo del requerimiento_x000a_Estas mejoras tienen como finalidad:_x000a_⚙️ Reducir procesos manuales de carga_x000a_📊 Aumentar la precisión en los cálculos financieros_x000a_🚀 Optimizar la eficiencia operativa del sistema de leasing/rentas_x000a__________________________________________x000a_📎 Consideraciones_x000a_Se solicita muy atentamente que este RFC sea evaluado para su inclusión dentro del conjunto de desarrollos levantados en la reunión reciente, asegurando así una implementación integral y alineada a las necesidades operativas actuales._x000a__________________________________________x000a_Agradecemos de antemano el apoyo y la disposición brindada para la atención de estos requerimientos._x000a_Quedamos atentos a cualquier observación, comentario o validación que consideren pertinente._x000a__________________________________________x000a_Saludos cordiales,"/>
    <d v="2026-05-07T12:22:46"/>
    <d v="2026-05-06T08:42:41"/>
    <x v="1"/>
    <s v="Incidencia en Software"/>
    <s v="Francisco González"/>
    <m/>
    <d v="2026-05-06T08:42:41"/>
    <s v="Siseg Leasing"/>
    <s v="Elemento"/>
    <s v="sites/SISTEMAHELPDESKWCG/Lists/Sistema HelpDesk WCG"/>
    <s v="2026-5"/>
    <n v="27.668055555608589"/>
  </r>
  <r>
    <s v="Evelyn Estefanía Monzón Casasola"/>
    <s v="emonzon@workingcapitalsa.com"/>
    <x v="3"/>
    <n v="373"/>
    <x v="0"/>
    <s v="Buenos dias, seguimos presentado problemas con el internet, lo que provoca que el uso de los sistemas sea lento para poder realizar las tareas diarias."/>
    <x v="1"/>
    <s v="Se corrio una prueba de velocidad, para medir el ancho de banda en nuestro proveedor. ( se comparte imagen del resultado del test), Nota: estamos por encima de lo contratado._x000a_Se realizo una prueba PING: para observar la entrega de los paquetes y no se obrserva perdida alguna. ( se adjunta imagen del proceso)_x000a_Se realizo una Prueba TRECERT para ver la trazabilidad de nuestro enlace: ( la traza indica que si llegamos a nuestro destino)_x000a_Se reporto con nuestro Proveedor de Internet para verificar la saturacion en el enlace (Me indican que tenemos una saturacion de 28.8 promedio, abajo de nuestra capacidad en el enlace._x000a_Se estara monitorizando para darle seguiento._x000a__x000a_SE REQUIERE DE LOS USUARIOS LA SIGUIENTE INFORMACION: Para dar el seguimiento a su equipo_x000a_1.-  Correr en el buscador    speedtest.net   y compartirme la imagen del resultado en el hilo del correo de help desk que le ingreso sobre este ticket._x000a_2.-  Indicarnos si es al navegar en el explorador o al momento de comunicarse con software de terceros:   indicarme en el correo ejmplo si es al utilizar Dropbox ( advanced) u otro software o proceso y si se puede tomar captura estaria mejor._x000a__x000a_Se reinicio el Reuter y el switch del proveedor.   Se procedio a Explicarle al usuario. Se procedera a establecer comunicacion con el proveedor con el que los usuarios se ven afectados."/>
    <d v="2026-05-06T12:23:36"/>
    <d v="2026-05-06T09:54:29"/>
    <x v="1"/>
    <s v="Incidencia en Conectividad"/>
    <s v="Francisco González"/>
    <s v="Resuelto"/>
    <d v="2026-05-06T09:54:29"/>
    <m/>
    <s v="Elemento"/>
    <s v="sites/SISTEMAHELPDESKWCG/Lists/Sistema HelpDesk WCG"/>
    <s v="2026-5"/>
    <n v="2.4852777777705342"/>
  </r>
  <r>
    <s v="Francisco Arnoldo Gonzalez Ardón"/>
    <s v="fgonzalez@workingcapitalsa.com"/>
    <x v="1"/>
    <n v="374"/>
    <x v="1"/>
    <s v="solicitud de prueba de flujo sobre encuesta ti"/>
    <x v="0"/>
    <m/>
    <d v="2026-05-13T08:24:57"/>
    <d v="2026-05-06T10:30:11"/>
    <x v="1"/>
    <s v="Incidencia en Hardware"/>
    <s v="Francisco González"/>
    <s v="Servicio No Soportado"/>
    <d v="2026-05-06T10:30:11"/>
    <m/>
    <s v="Elemento"/>
    <s v="sites/SISTEMAHELPDESKWCG/Lists/Sistema HelpDesk WCG"/>
    <s v="2026-5"/>
    <n v="165.91277777776122"/>
  </r>
  <r>
    <s v="José Roberto Velásquez Pineda"/>
    <s v="jvelasquez@workingcapitalsa.com"/>
    <x v="2"/>
    <n v="375"/>
    <x v="2"/>
    <s v="Segun conversación con Sergio Rodas, agradezco el apoyo para poderme programar un plan de capacitacion con el proveedor sobre el sistema SISEG Insurance, esto derivado de instruccion de Guillermo Soler, para mi conocimiento sobre dicha unidad."/>
    <x v="2"/>
    <s v="Estimados señores,_x000a_🌟 Reciban un cordial saludo._x000a_Por este medio, me permito expresar mi agradecimiento por el apoyo brindado en las distintas gestiones realizadas en conjunto._x000a_📘 En seguimiento a la instrucción de Guillermo Soler Munguia, se ha identificado la necesidad de fortalecer el conocimiento sobre la unidad correspondiente al sistema SISEG Insurance, tanto a nivel técnico como operativo._x000a_🎯 En ese contexto, solicitamos atentamente su valioso apoyo para la programación de un plan de capacitación, el cual esté orientado a:_x000a_Reforzar el entendimiento funcional del sistema._x000a_Brindar claridad en los procesos operativos._x000a_Capacitar a los usuarios clave que interactúan directamente con la plataforma._x000a_👥 Esta capacitación es fundamental para asegurar el uso adecuado del sistema y optimizar los procesos asociados dentro de la organización._x000a_📅 Agradeceremos que puedan indicarnos la fecha propuesta para llevar a cabo dicha capacitación, con el objetivo de organizar la logística interna, coordinación de participantes y asegurar la disponibilidad de los usuarios involucrados._x000a_🤝 Quedamos atentos a su confirmación y a cualquier información adicional que consideren necesaria para la adecuada planificación del proceso._x000a_✨ Agradeciendo de antemano su apoyo y colaboración._x000a_Saludos cordiales,"/>
    <d v="2026-05-07T12:20:40"/>
    <d v="2026-05-06T13:38:34"/>
    <x v="1"/>
    <s v="Incidencia en Software"/>
    <s v="Francisco González"/>
    <m/>
    <d v="2026-05-06T13:38:34"/>
    <s v="Siseg Insurance"/>
    <s v="Elemento"/>
    <s v="sites/SISTEMAHELPDESKWCG/Lists/Sistema HelpDesk WCG"/>
    <s v="2026-5"/>
    <n v="22.701666666660458"/>
  </r>
  <r>
    <s v="Erick Alfonso Sazo Pérez"/>
    <s v="esazo@workingcapitalsa.com"/>
    <x v="4"/>
    <n v="376"/>
    <x v="2"/>
    <s v="Buena tarde TI, SOLICITO DE SU APOYO PARA SOLICITAR ADVACED, QUE SE PUEDA PROCEDER A UNA COPIA DE FICHAS DE BANCOS Y ASESORES, EN LAS UNIDADES DE WC HOLDING, FACTORING Y LEASING, PARA TENER LA INFORMACIÓN IGUAL DE LAS 3 UNIDADES"/>
    <x v="2"/>
    <s v="Se solicita a Erick Sazo , nos indique a detalla cual es la que se tomara como primaria para replicarla en las demas.  Se requirio a advanced: hoy 7 de mayo 2026. Estimado equipo de ADVANCED, 👋_x000a_Reciban un cordial saludo._x000a_Por medio del presente, solicitamos de su valioso apoyo en proceder a  la creación de una copia de fichas de BANCOS Y ASESORES  entre nuestras unidades operativas. 🧩_x000a_🎯 Objetivo del requerimiento_x000a_Implementar una copia  de fichas de bancos y asesores entre las siguientes unidades:_x000a_🏢 WC Holding_x000a_💼 Factoring (unidad master)_x000a_🚗 Leasing_x000a__________________________________________x000a_⚙️ Alcance esperado_x000a_📌 Definir a Factoring como unidad de referencia (master)_x000a_🔄 Replicar la información de fichas de:_x000a__x000a__x000a__x000a__x000a__x000a_🏦 Bancos_x000a_👤 Asesores_x000a_🎯 Asegurar la homologación de datos entre las tres unidades_x000a_✅ Garantizar consistencia, integridad y sincronización de la información_x000a__________________________________________x000a_💡 Justificación técnica_x000a_Este requerimiento tiene como finalidad:_x000a_📊 Mantener uniformidad de catálogos críticos_x000a_🚀 Optimizar los procesos operativos y de consulta_x000a_❌ Evitar inconsistencias y reprocesos manuales_x000a_🔒 Mejorar el control sobre la información compartida_x000a__________________________________________x000a_📢 Acción solicitada_x000a_Agradecemos puedan:_x000a_📝 Levantar formalmente el requerimiento_x000a_📅 Proponer tiempos estimados para implementación_x000a__________________________________________x000a_Quedamos atentos a sus comentarios, validaciones y cualquier información adicional que requieran para avanzar con esta solicitud. 🤝_x000a_Muchas gracias por su apoyo y acompañamiento continuo._x000a__________________________________________x000a_Atentamente,"/>
    <d v="2026-05-07T15:21:01"/>
    <d v="2026-05-07T12:14:57"/>
    <x v="1"/>
    <s v="Otros - Especificar en el detalle del Ticket"/>
    <s v="Francisco González"/>
    <m/>
    <d v="2026-05-07T12:14:57"/>
    <s v="Advanced Investment"/>
    <s v="Elemento"/>
    <s v="sites/SISTEMAHELPDESKWCG/Lists/Sistema HelpDesk WCG"/>
    <s v="2026-5"/>
    <n v="3.1011111111729406"/>
  </r>
  <r>
    <s v="Francisco Arnoldo Gonzalez Ardón"/>
    <s v="fgonzalez@workingcapitalsa.com"/>
    <x v="1"/>
    <n v="377"/>
    <x v="2"/>
    <s v="SE REALIZA PRUEBA PARA CORROBORAR LOS CORREOS ENVIADO EN FLUJO DE POWER AUTOMATE"/>
    <x v="0"/>
    <s v="SE DESCRIBE LA SOLUCION PARA VERIFICAR EL ESTADO EN PROCESO. _x000a_SE DESCRIBE LA SOLUCION PARA VERIFICAR EL ESTADO EN PRUEBAS DE USUARIO._x000a_SE DESCRIBE LA SOLUCION PARA VERIFICAR EL ESTADO EN  A LA ESPERA DE INFORMACION DEL USUARIO._x000a_SE DESCRIBE LA SOLUCION PARA VERIFICAR EL ESTADO EN  A LA ESPERA DEL PROVEEDOR_x000a_SE DESCRIBE LA SOLUCION PARA VERIFICAR EL ESTADO EN  RECHAZADO._x000a_SE DESCRIBE LA SOLUCION PARA VERIFICAR EL ESTADO EN  RESUELTO"/>
    <d v="2026-05-08T10:35:54"/>
    <d v="2026-05-07T16:06:28"/>
    <x v="1"/>
    <s v="Incidencia en Hardware"/>
    <s v="Francisco González"/>
    <m/>
    <d v="2026-05-07T16:06:28"/>
    <s v="Siseg Leasing"/>
    <s v="Elemento"/>
    <s v="sites/SISTEMAHELPDESKWCG/Lists/Sistema HelpDesk WCG"/>
    <s v="2026-5"/>
    <n v="18.490555555501487"/>
  </r>
  <r>
    <s v="José Roberto Velásquez Pineda"/>
    <s v="jvelasquez@workingcapitalsa.com"/>
    <x v="2"/>
    <n v="378"/>
    <x v="2"/>
    <s v="Se solicita contar con un reporte detallado y consolidado (xlsx y/o csv), sobre las comisiones generadas de asesores (altas), asi como de reintegros (en caso sea desinversión o cancelación anticipada de operación). Comparto un formato propuesto de los campos de dichos reportes. Siempre para consignar el tipo de cambio de compra y venta de referencia de nuestro Banco Centralizador.  Esto con el objetivo de automatizar el proceso, brindar respuesta inmediata y evitar manualidad que exponga riesgo en el cálculo."/>
    <x v="3"/>
    <s v="Estimado equipo de ADVANCED, 👋_x000a_Reciban un cordial saludo._x000a_Por medio del presente, solicitamos de su valioso apoyo en proceder a  la creación de una copia de fichas de BANCOS Y ASESORES  entre nuestras unidades operativas. 🧩_x000a_🎯 Objetivo del requerimiento_x000a_Implementar una copia  de fichas de bancos y asesores entre las siguientes unidades:_x000a_🏢 WC Holding_x000a_💼 Factoring (unidad master)_x000a_🚗 Leasing_x000a_⚙️ Alcance esperado_x000a_📌 Definir a Factoring como unidad de referencia (master)_x000a_🔄 Replicar la información de fichas de:_x000a_🏦 Bancos_x000a_👤 Asesores_x000a_🎯 Asegurar la homologación de datos entre las tres unidades_x000a_✅ Garantizar consistencia, integridad y sincronización de la información_x000a_💡 Justificación técnica_x000a_Este requerimiento tiene como finalidad:_x000a_📊 Mantener uniformidad de catálogos críticos_x000a_🚀 Optimizar los procesos operativos y de consulta_x000a_❌ Evitar inconsistencias y reprocesos manuales_x000a_🔒 Mejorar el control sobre la información compartida_x000a_📢 Acción solicitada_x000a_Agradecemos puedan:_x000a_📝 Levantar formalmente el requerimiento_x000a_📅 Proponer tiempos estimados para implementación_x000a_Quedamos atentos a sus comentarios, validaciones y cualquier información adicional que requieran para avanzar con esta solicitud. 🤝_x000a_Muchas gracias por su apoyo y acompañamiento continuo._x000a_Atentamente,"/>
    <d v="2026-05-08T10:52:36"/>
    <d v="2026-05-08T08:11:05"/>
    <x v="1"/>
    <s v="Incidencia en Software"/>
    <s v="Francisco González"/>
    <m/>
    <d v="2026-05-08T08:11:05"/>
    <s v="Advanced Investment"/>
    <s v="Elemento"/>
    <s v="sites/SISTEMAHELPDESKWCG/Lists/Sistema HelpDesk WCG"/>
    <s v="2026-5"/>
    <n v="2.6919444445520639"/>
  </r>
  <r>
    <s v="José Roberto Velásquez Pineda"/>
    <s v="jvelasquez@workingcapitalsa.com"/>
    <x v="2"/>
    <n v="379"/>
    <x v="1"/>
    <s v="Solicitar la &quot;cancelación total&quot;, de la operación PG01250701 a nombre de ANA LUCIA SAMAYOA ALDANA con fecha 14/04/2026, debido a que en su momento el sistema lanzaba que el código de autorizacion ingresado manualmente por Veronica Alarcon era invalido. Dado a la nueva parametrizacion implementada de no permitir cambios si la cuota del mes anterior ya se encuentra en estado pagada ya no es posible realizar pruebas ingresando el codigo de autorización. Por lo que se realiza esta nueva solicitud.   Debido a que se solvento por via telefonica, como lo indica el usuario, se procede a invalidar el ticket y dejar constancia._x000a__x000a_Solo comentario adicional, en su momento se cancelo con calculo manual."/>
    <x v="0"/>
    <s v="sE ENVIO EL REQUERIMIENTO A SOPORTE DE ADVANCED. HOY 8 DE MAYO 2026._x000a_eL USUARIO OPERACIONES INDICO LO SIGUIENTE: Buena tarde Sergio_x000a__x000a_Gusto en saludarle_x000a__x000a_ _x000a__x000a_Con relación al siguiente ticket, se ingresó para el debido soporte, pero dada la urgencia en dar de baja a la operación en sistema, Evelyn coordino una llamada con el proveedor (Oscar) y nos solvento de manera inmediata. Por lo que agradezco tomar esto en cuenta para el ticket indicado. Que para darle mas contexto es aquella operación que el sistema no aceptaba el código de autorización de Veronica para darle de baja y que tenia ya aplicado el bloqueo para cuotas pagadas._x000a__x000a_ "/>
    <d v="2026-05-08T12:09:56"/>
    <d v="2026-05-08T10:38:27"/>
    <x v="1"/>
    <s v="Incidencia en Software"/>
    <s v="Sin Asignarse"/>
    <s v="Invalido"/>
    <d v="2026-05-08T10:38:27"/>
    <s v="Advanced Investment"/>
    <s v="Elemento"/>
    <s v="sites/SISTEMAHELPDESKWCG/Lists/Sistema HelpDesk WCG"/>
    <s v="2026-5"/>
    <n v="1.5247222222387791"/>
  </r>
  <r>
    <s v="José Roberto Velásquez Pineda"/>
    <s v="jvelasquez@workingcapitalsa.com"/>
    <x v="2"/>
    <n v="380"/>
    <x v="2"/>
    <s v="Se solicita contar con una opción para poder excluir una o varias cuotas del pago de rendimientos (con su correspondiente campo de observación y/o fecha para el vencimiento de la exclusión). Esto con el objeto de evitar duplicidad de pagos, por excepciones en donde se realiza de manera manual (desinversiones, inconvenientes en sistema y/o mejoras en proceso del sistema). Adicionalmente contar con una opción para visualizar todos los casos que pudieran estar excluidos para el correspondiente control y seguimiento."/>
    <x v="3"/>
    <s v="Se envio correo hoy 8 de mayo 2026 al proveedor."/>
    <d v="2026-05-08T17:08:41"/>
    <d v="2026-05-08T13:54:16"/>
    <x v="1"/>
    <s v="Incidencia en Software"/>
    <s v="Francisco González"/>
    <m/>
    <d v="2026-05-08T13:54:16"/>
    <s v="Advanced Investment"/>
    <s v="Elemento"/>
    <s v="sites/SISTEMAHELPDESKWCG/Lists/Sistema HelpDesk WCG"/>
    <s v="2026-5"/>
    <n v="3.2402777777169831"/>
  </r>
  <r>
    <s v="José Roberto Velásquez Pineda"/>
    <s v="jvelasquez@workingcapitalsa.com"/>
    <x v="2"/>
    <n v="381"/>
    <x v="2"/>
    <s v="Contar con un reporte detallado y consolidado de:_x000a__x000a_1. Todas las operaciones de inversión, con filtro entre dos fechas, por asesor y por estado: &quot;VIGENTE&quot;, &quot;CANCELADO&quot;, &quot;VENCIDO&quot;, ETC (incluyendo opción de &quot;todos&quot;, en estados y asesores)._x000a_2. Pagos de rendimientos, , con filtro entre dos fechas, por asesor y por estado: &quot;VIGENTE&quot;, &quot;CANCELADO&quot;, &quot;VENCIDO,&quot; ETC (incluyendo opción de &quot;todos&quot;, en estados y asesores)._x000a_"/>
    <x v="3"/>
    <s v="Se envio correo a Soporte de advanced._x000a_Buenas tardes, _x000a__x000a_Usuario de operaciones, solicita lo siguiente:_x000a_Contar con un reporte detallado y consolidado de:_x000a__x000a_1. Todas las operaciones de inversión, con filtro entre dos fechas, por asesor y por estado: &quot;VIGENTE&quot;, &quot;CANCELADO&quot;, &quot;VENCIDO&quot;, ETC (incluyendo opción de &quot;todos&quot;, en estados y asesores)._x000a_2. Pagos de rendimientos, , con filtro entre dos fechas, por asesor y por estado: &quot;VIGENTE&quot;, &quot;CANCELADO&quot;, &quot;VENCIDO,&quot; ETC (incluyendo opción de &quot;todos&quot;, en estados y asesores)."/>
    <d v="2026-05-08T17:01:26"/>
    <d v="2026-05-08T13:59:32"/>
    <x v="0"/>
    <s v="Incidencia en Software"/>
    <s v="Francisco González"/>
    <m/>
    <d v="2026-05-08T13:59:32"/>
    <s v="Advanced Investment"/>
    <s v="Elemento"/>
    <s v="sites/SISTEMAHELPDESKWCG/Lists/Sistema HelpDesk WCG"/>
    <s v="2026-5"/>
    <n v="3.0316666667349637"/>
  </r>
  <r>
    <s v="Erick Alfonso Sazo Pérez"/>
    <s v="esazo@workingcapitalsa.com"/>
    <x v="5"/>
    <n v="382"/>
    <x v="2"/>
    <s v="Buen día TI, solicito de su apoyo con solicitar al proveedor de Factorlab, para que pueda agregar una funcionalidad de calculos del documento a presentar, es decir cuando el cliente este interesado en desembolsar $150,000.00, que le proporcione los calculos para que pueda presentar el documento de soporte y que indique que monto seria el mino a recibir (Facturas, Pagaré u otros)"/>
    <x v="3"/>
    <s v="Se requirio e Sergio Rodas el dia de hoy, para el seguimiento respectivo, ya que en estos momentos es el proyect manager._x000a_Sergio el Usuario Erick Sazo solicita lo siguiente:  agregar una funcionalidad de calculos del documento a presentar, es decir cuando el cliente este interesado en desembolsar $150,000.00, que le proporcione los calculos para que pueda presentar el documento de soporte y que indique que monto seria el mino a recibir (Facturas, Pagaré u otros)"/>
    <d v="2026-05-11T10:16:42"/>
    <d v="2026-05-11T08:39:34"/>
    <x v="1"/>
    <s v="Otros - Especificar en el detalle del Ticket"/>
    <s v="Sergio Rodas"/>
    <m/>
    <d v="2026-05-11T08:39:34"/>
    <s v="FactorLab"/>
    <s v="Elemento"/>
    <s v="sites/SISTEMAHELPDESKWCG/Lists/Sistema HelpDesk WCG"/>
    <s v="2026-5"/>
    <n v="1.6188888889155351"/>
  </r>
  <r>
    <s v="Verónica Elizabeth Alarcón Vásquez"/>
    <s v="valarcon@workingcapitalsa.com"/>
    <x v="6"/>
    <n v="383"/>
    <x v="0"/>
    <s v="Tecla o del teclado se safó,  agradezco su apoyo con la revisión.  gracias. "/>
    <x v="1"/>
    <s v="Se reviso la computadora y se realizaron los ajustes necesarios en los plastico de la placa del teclado, con esto se pudo volver a instalar la tecla respectiva."/>
    <d v="2026-05-11T10:18:20"/>
    <d v="2026-05-11T10:13:01"/>
    <x v="1"/>
    <s v="Incidencia en Software"/>
    <s v="Francisco González"/>
    <s v="Resuelto"/>
    <d v="2026-05-11T10:13:01"/>
    <s v="Software Interno"/>
    <s v="Elemento"/>
    <s v="sites/SISTEMAHELPDESKWCG/Lists/Sistema HelpDesk WCG"/>
    <s v="2026-5"/>
    <n v="8.8611111044883728E-2"/>
  </r>
  <r>
    <s v="Celeste Eugenia Chacón Flores"/>
    <s v="cchacon@workingcapitalsa.com"/>
    <x v="7"/>
    <n v="384"/>
    <x v="0"/>
    <s v="De acuerdo con instrucciones de Guillermo, agradeceré configurar mi firma en email WC con la versión original.  Saludos,"/>
    <x v="1"/>
    <s v="Se procedera a solicitar a Celeste chacon nos provea de la computadora para configurarle la firma de su correo.Se configuro la firma."/>
    <d v="2026-06-01T13:36:21"/>
    <d v="2026-05-11T12:22:02"/>
    <x v="1"/>
    <s v="Solicitud de Configuraciones"/>
    <s v="Francisco González"/>
    <s v="Resuelto"/>
    <d v="2026-05-11T12:22:02"/>
    <s v="Software Interno"/>
    <s v="Elemento"/>
    <s v="sites/SISTEMAHELPDESKWCG/Lists/Sistema HelpDesk WCG"/>
    <s v="2026-5"/>
    <n v="505.23861111112637"/>
  </r>
  <r>
    <s v="José Roberto Velásquez Pineda"/>
    <s v="jvelasquez@workingcapitalsa.com"/>
    <x v="2"/>
    <n v="385"/>
    <x v="2"/>
    <s v="No permite generar el reporte de comisiones, al hacer clic sobre el reporte &quot;Comisiones&quot; lanza a pagina indicada en adjunto, con el error 404."/>
    <x v="4"/>
    <s v="Se envio el correo a logica: _x000a_Estimados equipo de Logica Studio,_x000a_Reciban un cordial saludo._x000a_🚨 Reportamos incidencia crítica en producción:_x000a__x000a_Actualmente, no es posible generar el reporte de comisiones, ya que al seleccionar la opción &quot;Comisiones&quot;, el sistema redirige a una página que muestra un error 404 (Not Found), impidiendo completamente la consulta del reporte._x000a__x000a__x000a_Esta situación está afectando directamente la operación, ya que el reporte es requerido para validaciones y gestión interna._x000a_🔴 Requerimiento urgente:_x000a__x000a_Solicitamos su apoyo inmediato para la revisión y resolución de esta incidencia, dado que necesitamos de su intervención en este momento para restablecer el servicio._x000a_📩 Seguimiento:_x000a__x000a_Quedamos a la espera de sus indicaciones y pronta respuesta, así como de cualquier validación o información adicional que requieran de nuestra parte para agilizar la solución._x000a_Agradecemos de antemano su pronta atención y apoyo._x000a_Saludos_x000a__x000a_SE RECIBIO RESPUESTA DE SOPORTE DE LOGICA: _x000a_Te comento que lo acabo de generar y me lo genero sin problemas prueba desde una ventana de incognito "/>
    <d v="2026-05-13T08:22:33"/>
    <d v="2026-05-12T08:46:33"/>
    <x v="1"/>
    <s v="Incidencia en Software"/>
    <s v="Francisco González"/>
    <m/>
    <d v="2026-05-12T08:46:33"/>
    <s v="Siseg Leasing"/>
    <s v="Elemento"/>
    <s v="sites/SISTEMAHELPDESKWCG/Lists/Sistema HelpDesk WCG"/>
    <s v="2026-5"/>
    <n v="23.600000000093132"/>
  </r>
  <r>
    <s v="Silvia Melody Jochola"/>
    <s v="sjochola@workingcapitalsa.com"/>
    <x v="0"/>
    <n v="386"/>
    <x v="1"/>
    <s v="Solicito apoyo para corregir en la herramienta para generar las propuestas el valor de la opción a compra en la carta, ya que actualmente genera el valor de la opción a compra sin intereses y no cuadra con el flujo.  _x000a__x000a_adicional a esto solicito se pueda confirguar en el formato de la carta el porcentaje de la opción a compra.  muchas gracias, "/>
    <x v="3"/>
    <m/>
    <d v="2026-05-12T15:49:58"/>
    <d v="2026-05-12T10:00:24"/>
    <x v="1"/>
    <s v="Solicitud de Configuraciones"/>
    <s v="Sin Asignarse"/>
    <m/>
    <d v="2026-05-12T10:00:24"/>
    <s v="Siseg Leasing"/>
    <s v="Elemento"/>
    <s v="sites/SISTEMAHELPDESKWCG/Lists/Sistema HelpDesk WCG"/>
    <s v="2026-5"/>
    <n v="5.8261111111496575"/>
  </r>
  <r>
    <s v="Francisco Arnoldo Gonzalez Ardón"/>
    <s v="fgonzalez@workingcapitalsa.com"/>
    <x v="1"/>
    <n v="387"/>
    <x v="1"/>
    <s v="PRUEBA DE ENVIO DE CORREOS"/>
    <x v="0"/>
    <m/>
    <d v="2026-05-13T10:46:44"/>
    <d v="2026-05-13T09:36:31"/>
    <x v="1"/>
    <s v="Incidencia en Software"/>
    <s v="Sin Asignarse"/>
    <s v="Invalido"/>
    <d v="2026-05-13T09:36:31"/>
    <s v="Siseg Leasing"/>
    <s v="Elemento"/>
    <s v="sites/SISTEMAHELPDESKWCG/Lists/Sistema HelpDesk WCG"/>
    <s v="2026-5"/>
    <n v="1.1702777778846212"/>
  </r>
  <r>
    <s v="Erick Alfonso Sazo Pérez"/>
    <s v="esazo@workingcapitalsa.com"/>
    <x v="4"/>
    <n v="390"/>
    <x v="2"/>
    <s v="Buen día Ti, solicito de su apoyo con el siguiente requerimiento:_x000a_En la opción de administrador de solicitud, solicito que se agregue la opción de vencimiento programado, con el fin cuando se traslade a operaciones pueda mantener esas condiciones."/>
    <x v="3"/>
    <s v="Se envio correo con la solicitud a Soporte Advanced_x000a_Estimados,_x000a_Espero se encuentren bien._x000a_🛠️ Por medio del presente, solicito su apoyo para la incorporación de una mejora dentro de la opción de Administrador de Solicitudes, específicamente en la creación de una funcionalidad de vencimiento programado._x000a_📅 Objetivo de la mejora:_x000a__x000a_Permitir que, al momento de generar la solicitud, se pueda definir una fecha de vencimiento que se mantenga al ser trasladada al área de Operaciones, garantizando así la continuidad de las condiciones establecidas desde su origen._x000a_🔄 Beneficio esperado:_x000a_Mejor control sobre los tiempos de gestión_x000a_Mayor trazabilidad del proceso_x000a_Alineación entre las áreas involucradas_x000a_📌 Solicitud adicional:_x000a__x000a_Agradeceré que, una vez revisado este requerimiento, nos puedan confirmar por este mismo medio la recepción y validación del mismo, así como cualquier comentario o consideración adicional._x000a_Quedo atento a sus comentarios y agradezco de antemano su apoyo en esta gestión._x000a_Saludos cordiales,"/>
    <d v="2026-05-14T08:57:54"/>
    <d v="2026-05-13T10:49:06"/>
    <x v="1"/>
    <s v="Otros - Especificar en el detalle del Ticket"/>
    <s v="Francisco González"/>
    <m/>
    <d v="2026-05-13T10:49:06"/>
    <s v="Advanced Investment"/>
    <s v="Elemento"/>
    <s v="sites/SISTEMAHELPDESKWCG/Lists/Sistema HelpDesk WCG"/>
    <s v="2026-5"/>
    <n v="22.146666666667443"/>
  </r>
  <r>
    <s v="José Roberto Velásquez Pineda"/>
    <s v="jvelasquez@workingcapitalsa.com"/>
    <x v="2"/>
    <n v="391"/>
    <x v="2"/>
    <s v="Se solicita contar con una opcion, donde sea posible trasladar / cargar valores pendientes o faltantes a otras rentas, como moras e IOC de manera automatica. Tambien contar con una opcion para carga de documentos de soporte como Vo Bo para realizar esta gestión y que pueda estar disponible la visualizacion de los documentos cargados."/>
    <x v="3"/>
    <s v="Se requirio por correo a soporte de logica:_x000a__x000a_Estimados, reciban un cordial saludo. 🤝_x000a_Por medio del presente, solicitamos su valioso apoyo para la evaluación e implementación del siguiente requerimiento funcional:_x000a_🔄 Automatización de traslado de valores:_x000a__x000a_Se requiere contar con una opción que permita trasladar y/o cargar de manera automática los valores pendientes o faltantes hacia otras rentas, tales como moras e IOC, optimizando así la gestión operativa y reduciendo procesos manuales._x000a_📂 Carga y gestión de documentos de soporte:_x000a__x000a_Asimismo, se solicita habilitar una funcionalidad que permita adjuntar documentos de respaldo (Vo. Bo., u otros necesarios) asociados a esta gestión, garantizando trazabilidad y control adecuado._x000a_👁️ Visualización de documentos:_x000a__x000a_Es importante que los documentos cargados puedan ser consultados posteriormente, asegurando su disponibilidad para revisión y auditoría cuando sea requerido._x000a_📌 Confirmación de recepción:_x000a__x000a_Agradeceremos nos puedan confirmar la recepción del presente requerimiento y, de ser posible, indicarnos los siguientes pasos a considerar para su análisis e implementación._x000a_🙏 Agradecimiento:_x000a__x000a_Agradecemos de antemano su apoyo y colaboración en la atención de esta solicitud, la cual contribuirá a mejorar la eficiencia de nuestros procesos._x000a_Quedamos atentos a sus comentarios. ✉️_x000a_Saludos cordiales,"/>
    <d v="2026-05-14T09:03:46"/>
    <d v="2026-05-14T08:58:21"/>
    <x v="1"/>
    <s v="Incidencia en Software"/>
    <s v="Francisco González"/>
    <m/>
    <d v="2026-05-14T08:58:21"/>
    <s v="Siseg Leasing"/>
    <s v="Elemento"/>
    <s v="sites/SISTEMAHELPDESKWCG/Lists/Sistema HelpDesk WCG"/>
    <s v="2026-5"/>
    <n v="9.0277777751907706E-2"/>
  </r>
  <r>
    <s v="Verónica Elizabeth Alarcón Vásquez"/>
    <s v="valarcon@workingcapitalsa.com"/>
    <x v="6"/>
    <n v="392"/>
    <x v="0"/>
    <s v="Depósitos Inversiones &lt;depositos@workingcapitalsa.com&gt;  por favor agradezco incluirme en este buzón de correo.  gracias "/>
    <x v="1"/>
    <s v="Se agrego a la lista sindicada el correo valarcon@workingcapitalsa.com"/>
    <d v="2026-05-14T14:02:23"/>
    <d v="2026-05-14T12:07:25"/>
    <x v="1"/>
    <s v="Solicitud de Configuraciones"/>
    <s v="Sin Asignarse"/>
    <s v="Resuelto"/>
    <d v="2026-05-14T12:07:25"/>
    <m/>
    <s v="Elemento"/>
    <s v="sites/SISTEMAHELPDESKWCG/Lists/Sistema HelpDesk WCG"/>
    <s v="2026-5"/>
    <n v="1.9161111109424382"/>
  </r>
  <r>
    <s v="Sergio Alejandro Rodas Romero"/>
    <s v="srodas@workingcapitalsa.com"/>
    <x v="1"/>
    <n v="398"/>
    <x v="0"/>
    <s v="Mensaje no se muestra"/>
    <x v="0"/>
    <s v="Es para prueba de gestión"/>
    <d v="2026-05-21T11:46:55"/>
    <d v="2026-05-20T15:26:08"/>
    <x v="0"/>
    <s v="Incidencia en Software"/>
    <s v="Sin Asignarse"/>
    <s v="Invalido"/>
    <d v="2026-05-20T15:26:08"/>
    <s v="Siseg Leasing"/>
    <s v="Elemento"/>
    <s v="sites/SISTEMAHELPDESKWCG/Lists/Sistema HelpDesk WCG"/>
    <s v="2026-5"/>
    <n v="20.34638888889458"/>
  </r>
  <r>
    <s v="Verónica Elizabeth Alarcón Vásquez"/>
    <s v="valarcon@workingcapitalsa.com"/>
    <x v="6"/>
    <n v="408"/>
    <x v="0"/>
    <s v="_x0009_Un gusto saludarle, quisiera solicitar su apoyo para pedirle unos cambios si fueran viables, _x000a__x000a_1._x0009_Anexo interno, en la parte de la Opción a compra colocar los intereses, aparece sin intereses y al verlo en conjunto con la propuesta y la tabla de pagos no cuadra. _x000a_ _x000a_2._x0009_En anexo Interno 2, en datos de la operación, indicar que el monto con IVA a financiar.  Si se pudiera agregar.  Monto del bien con IVA, Enganche con IVA, valor a financiar con IVA (si se pudiera sin IVA y no afecta los cálculos mejor)  el objetivo sería  tener una mejor comprensión cuando alguien los quiera leer.  Ya que actualmente en la casilla sólo dice Monto, y el valor que esta consignado esta con IVA y sin enganche, entonces al verlos por separado causa confusión. _x000a__x000a_ _x000a__x000a_Muchas gracias, _x000a__x000a_favor ver correo de referencia enviado por Melody."/>
    <x v="5"/>
    <s v="Se envio el requerimiento a Logica:_x000a_Estimados,_x000a_Reciban un cordial saludo. 🤝_x000a_En seguimiento a los puntos abordados en la última reunión, agradezco su apoyo para evaluar la viabilidad de los siguientes ajustes en los anexos internos, con el objetivo de mejorar la consistencia y claridad de la información presentada:_x000a__________________________________________x000a_🔹 1. Ajuste en Anexo Interno – Opción a compra_x000a__x000a_Se solicita incorporar el detalle de intereses en la opción a compra, ya que actualmente se muestra sin intereses, lo cual genera inconsistencias al compararlo con la propuesta y la tabla de pagos._x000a_ _x000a_🔹 2. Ajustes en Anexo Interno 2 – Datos de la operación_x000a__x000a_Con el fin de evitar confusiones en la interpretación de los montos, se solicita:_x000a_Indicar explícitamente que el monto corresponde a valores con IVA_x000a_De ser viable, agregar los siguientes campos:_x000a__x000a_✅ Monto del bien con IVA_x000a__x000a_✅ Enganche con IVA_x000a__x000a_✅ Valor a financiar con IVA_x000a__x000a_✅ (Opcional) Valores sin IVA, siempre que no afecten los cálculos_x000a_📊 El objetivo es facilitar la comprensión integral de la operación al momento de su revisión._x000a_ _x000a_📌 Registro en RFC y control_x000a__x000a_Agradeceré que estos requerimientos puedan ser incluidos dentro de los RFC discutidos en la última reunión, y de ser posible:_x000a_🔢 Compartir el número de RFC asignado a cada solicitud_x000a_📬 Brindar una confirmación o retroalimentación, para llevar el control y seguimiento correspondiente_x000a__________________________________________x000a_Quedo atento a sus comentarios y validación. 🙌_x000a__x000a_Agradezco de antemano su apoyo para continuar fortaleciendo la claridad y precisión de la información en el sistema._x000a_Saludos cordiales,"/>
    <d v="2026-05-26T15:11:55"/>
    <d v="2026-05-26T08:26:58"/>
    <x v="1"/>
    <s v="Otros - Especificar en el detalle del Ticket"/>
    <s v="Francisco González"/>
    <m/>
    <d v="2026-05-26T08:26:58"/>
    <s v="Siseg Leasing"/>
    <s v="Elemento"/>
    <s v="sites/SISTEMAHELPDESKWCG/Lists/Sistema HelpDesk WCG"/>
    <s v="2026-5"/>
    <n v="6.749166666646488"/>
  </r>
  <r>
    <s v="José Roberto Velásquez Pineda"/>
    <s v="jvelasquez@workingcapitalsa.com"/>
    <x v="2"/>
    <n v="409"/>
    <x v="2"/>
    <s v="El sistema no permite cancelar en fecha de vencimiento seleccionada (19/05/2026) la operacion TM01260501 (Annabella Burbano). lanza el mensaje que anexo como adjunto."/>
    <x v="2"/>
    <s v="Se compartio el requerimiento a Advanced"/>
    <d v="2026-05-26T11:48:28"/>
    <d v="2026-05-26T09:30:32"/>
    <x v="1"/>
    <s v="Incidencia en Software"/>
    <s v="Francisco González"/>
    <m/>
    <d v="2026-05-26T09:30:32"/>
    <s v="Advanced Investment"/>
    <s v="Elemento"/>
    <s v="sites/SISTEMAHELPDESKWCG/Lists/Sistema HelpDesk WCG"/>
    <s v="2026-5"/>
    <n v="2.2988888887921348"/>
  </r>
  <r>
    <s v="Erick Alfonso Sazo Pérez"/>
    <s v="esazo@workingcapitalsa.com"/>
    <x v="4"/>
    <n v="410"/>
    <x v="0"/>
    <s v="REVISIÓN DE COMPUTADORA, YA QUE ME INDICA ACCESO DENEGADO A MIS CORREOS."/>
    <x v="1"/>
    <s v="Se regreso a la vista clasica y luego se volvio a activar el Nuevo outlook"/>
    <d v="2026-05-26T15:07:58"/>
    <d v="2026-05-26T14:59:15"/>
    <x v="1"/>
    <s v="Otros - Especificar en el detalle del Ticket"/>
    <s v="Francisco González"/>
    <s v="Resuelto"/>
    <d v="2026-05-26T14:59:15"/>
    <s v="Software Interno"/>
    <s v="Elemento"/>
    <s v="sites/SISTEMAHELPDESKWCG/Lists/Sistema HelpDesk WCG"/>
    <s v="2026-5"/>
    <n v="0.14527777768671513"/>
  </r>
  <r>
    <s v="José Roberto Velásquez Pineda"/>
    <s v="jvelasquez@workingcapitalsa.com"/>
    <x v="2"/>
    <n v="411"/>
    <x v="2"/>
    <s v="Solicito de tu apoyo para que el sistema permita la cancelacion retroactiva (dentro del mismo mes en curso y previo a efectuar el cierre mensual). Debido a que no esta permitiendo cancelar inversiones. Les coloca automaticamente la cuota como pagada y lanza el mensaje de la imagen que adjunto. Operación de esta referencia TM02260501 (Jorge Humberto Lopez Hernandez)"/>
    <x v="2"/>
    <s v="El  proveedor indico que en una anterior ocacion ya se habia indicado como se puede resolver este inconveniente: _x000a_Buenas tardes Francisco, favor acudir al correo enviado el dia 13/04/2026 o bien me pueden llamar y con gusto les guio en el proceso._x000a__x000a_Luego de esto enviamos otro correo con las indicaciones de Jose velasquez, haciendo ver que el caso actual no era igual al de esa ocacion, y que no se podia proceder de igual forma.  ( se le informo de esto al proveedor)._x000a__x000a_Luego se le solicito uno reunion para el dia lunes 1 de junio del 2026.    quedando agendada con los siguientes participantes: Jose velasquez, Jose martinez, Francisco Gonzalez  y Oscar Morales_x000a_"/>
    <d v="2026-05-27T15:44:08"/>
    <d v="2026-05-27T11:19:55"/>
    <x v="1"/>
    <s v="Incidencia en Software"/>
    <s v="Francisco González"/>
    <m/>
    <d v="2026-05-27T11:19:55"/>
    <s v="Advanced Investment"/>
    <s v="Elemento"/>
    <s v="sites/SISTEMAHELPDESKWCG/Lists/Sistema HelpDesk WCG"/>
    <s v="2026-5"/>
    <n v="4.4036111111054197"/>
  </r>
  <r>
    <s v="José Roberto Velásquez Pineda"/>
    <s v="jvelasquez@workingcapitalsa.com"/>
    <x v="2"/>
    <n v="412"/>
    <x v="2"/>
    <s v="Solicitando que al momento de efectuar la cancelacion de inversiones, se cuente con opcion a eleccion, donde se indique si es cancelacion por por desinversion total, desinversion parcial o si es cancelacion por renovacion. Esto con el objeto que cuando aplique generar el archivo CSV, pueda incluir el valor de capital total + rendimientos generados a la fecha indicada (desinversion total), colocar el monto de capital a desinvertir parcial  + rendimientos generados a la fecha indicada (desinversion parcial) y solo incluir los rendimientos generados a la fecha indicada (renovación). Esto debido a que actualmente el CSV que genera el sistema por cancelacion de inversión solo genera los rendimientos generados, pero no el capital en caso aplique (total o parcial)."/>
    <x v="2"/>
    <s v="Estimados,_x000a_🔧 Con el objetivo de optimizar el proceso de cancelación de inversiones dentro del sistema, se solicita la incorporación de una mejora funcional que permita seleccionar el tipo de cancelación al momento de ejecutar la operación._x000a_💡 Funcionalidad requerida:_x000a_Se propone habilitar una opción de selección donde el usuario pueda elegir entre:_x000a_✅ Desinversión total_x000a_✅ Desinversión parcial_x000a_✅ Cancelación por renovación_x000a_⚙️ Comportamiento esperado en la generación del archivo CSV:_x000a_El sistema deberá ajustar la información generada en el archivo CSV según el tipo de cancelación seleccionada, de la siguiente manera:_x000a_🔵 Desinversión total:_x000a__x000a_Incluir capital total + rendimientos generados a la fecha indicada._x000a_🟡 Desinversión parcial:_x000a__x000a_Incluir monto de capital a desinvertir + rendimientos generados a la fecha indicada._x000a_🟢 Renovación:_x000a__x000a_Incluir únicamente los rendimientos generados a la fecha indicada._x000a_🚨 Situación actual:_x000a_Actualmente, el archivo CSV generado en el proceso de cancelación de inversiones solo contempla los rendimientos generados, omitiendo el capital en los casos donde aplica (total o parcial), lo cual limita la correcta interpretación y procesamiento de la información._x000a_🎯 Objetivo del requerimiento:_x000a_Garantizar que la información exportada sea completa, precisa y alineada al tipo de operación financiera ejecutada, mejorando así la trazabilidad y el control operativo._x000a_📩 Coordinación y entendimiento del requerimiento:_x000a_Para cualquier duda, validación o necesidad de reunión de entendimiento relacionada con este desarrollo, agradeceremos canalizarlo exclusivamente por este mismo medio, con el fin de mantener la trazabilidad y control centralizado de la gestión._x000a_Quedo atento a sus comentarios y confirmación de viabilidad._x000a_Saludos cordiales,"/>
    <d v="2026-05-27T15:52:48"/>
    <d v="2026-05-27T11:35:38"/>
    <x v="1"/>
    <s v="Incidencia en Software"/>
    <s v="Francisco González"/>
    <m/>
    <d v="2026-05-27T11:35:38"/>
    <s v="Advanced Investment"/>
    <s v="Elemento"/>
    <s v="sites/SISTEMAHELPDESKWCG/Lists/Sistema HelpDesk WCG"/>
    <s v="2026-5"/>
    <n v="4.286111111054197"/>
  </r>
  <r>
    <s v="Francisco Arnoldo Gonzalez Ardón"/>
    <s v="fgonzalez@workingcapitalsa.com"/>
    <x v="1"/>
    <n v="413"/>
    <x v="2"/>
    <s v="Realizar el analisis para activar o implementar el modulo de cuentas por pagar en advantage, para llevar el control en el sistema del registro de todos los pagos.  Su aprobacion, generacion de archivo e texto para pago en banca, registro del pago realizado y contabilizacion en el modulo contable."/>
    <x v="2"/>
    <s v="Estimados,_x000a_Reciban un cordial saludo._x000a_🔎 Análisis para implementación del Módulo de Cuentas por Pagar – Advantage_x000a__x000a_En seguimiento a la necesidad de fortalecer el control interno y la gestión financiera, se solicita el análisis para la activación/implementación del módulo de Cuentas por Pagar en Advantage, con el objetivo de centralizar y automatizar el ciclo completo de pagos dentro del sistema._x000a_🧩 Alcance funcional requerido_x000a__x000a_El análisis deberá contemplar los siguientes componentes clave:_x000a_✅ Registro de obligaciones_x000a_Ingreso y control de todas las cuentas por pagar en el sistema._x000a_✅ Flujo de aprobación_x000a_Definición y gestión de autorizaciones según políticas internas._x000a_✅ Generación de archivo para banca_x000a_Creación de archivo en formato de texto compatible con los portales bancarios para ejecución de pagos._x000a_✅ Confirmación de pagos ejecutados_x000a_Registro y validación de los pagos realizados en el sistema._x000a_✅ Integración contable_x000a_Contabilización automática en el módulo contable, asegurando integridad y trazabilidad de la información financiera._x000a_🎯 Objetivo del requerimiento_x000a__x000a_Contar con un proceso estandarizado, auditable y automatizado, que minimice riesgos operativos, mejore la trazabilidad y optimice la gestión de pagos dentro de la organización._x000a_📅 Coordinación de reunión_x000a__x000a_Con el fin de alinear expectativas y obtener un mayor entendimiento funcional y técnico del requerimiento, agradeceremos nos puedan compartir su disponibilidad de fechas para agendar una sesión de trabajo._x000a_📢 Canal de comunicación_x000a__x000a_Adicionalmente, se solicita que toda la información, avances y consultas relacionadas con este requerimiento sean gestionadas a través de este mismo canal, con el objetivo de mantener una adecuada trazabilidad y control del proceso._x000a_Quedamos atentos a sus comentarios y confirmación de fechas._x000a_Atentamente,"/>
    <d v="2026-05-27T16:02:22"/>
    <d v="2026-05-27T15:29:29"/>
    <x v="1"/>
    <s v="Incidencia en Software"/>
    <s v="Sin Asignarse"/>
    <m/>
    <d v="2026-05-27T15:29:29"/>
    <s v="Addvantage"/>
    <s v="Elemento"/>
    <s v="sites/SISTEMAHELPDESKWCG/Lists/Sistema HelpDesk WCG"/>
    <s v="2026-5"/>
    <n v="0.54805555567145348"/>
  </r>
  <r>
    <s v="Francisco Arnoldo Gonzalez Ardón"/>
    <s v="fgonzalez@workingcapitalsa.com"/>
    <x v="1"/>
    <n v="414"/>
    <x v="2"/>
    <s v="Iniciar el analisis y evaluacion para implementar las ordenes de compra a travez del sistema Advantage, para registrar las solicitudes de compra, tener un flujo de aprobacion y que se conviertan en compras, esto vendria alineado a la solicitud de cuentas por pagar."/>
    <x v="2"/>
    <s v="Estimados,_x000a_Espero se encuentren bien._x000a_🔍 Inicio de Análisis Funcional_x000a__x000a_Por medio de la presente, solicitamos formalmente iniciar el análisis y evaluación para la implementación del módulo de Órdenes de Compra dentro del sistema Advantage, con el objetivo de fortalecer el control y trazabilidad del proceso de adquisiciones._x000a_⚙️ Alcance Requerido_x000a__x000a_Se requiere que la solución contemple los siguientes componentes clave:_x000a__x000a_• 📌 Registro estructurado de solicitudes de compra_x000a__x000a_• 🔄 Definición de un flujo de aprobación escalonado_x000a__x000a_• ✅ Conversión automática de solicitudes aprobadas en órdenes de compra formales_x000a__x000a_• 🔗 Integración alineada con el proceso de Cuentas por Pagar, garantizando consistencia operativa y financiera_x000a_📊 Objetivo Estratégico_x000a__x000a_Esta iniciativa busca optimizar la gestión de compras, asegurar un adecuado control interno y mantener la alineación con los procesos contables vigentes._x000a_🤝 Coordinación y Seguimiento_x000a__x000a_Agradeceremos que cualquier reunión de entendimiento, levantamiento de requerimientos o sesiones de trabajo sea solicitada a través de este mismo canal, con el fin de mantener una adecuada trazabilidad y coordinación del proyecto._x000a_✨ Agradecimiento_x000a__x000a_Agradecemos de antemano su apoyo, compromiso y colaboración continua para la ejecución exitosa de esta iniciativa._x000a_Quedamos atentos a sus comentarios._x000a__________________________________________x000a_Saludos cordiales,"/>
    <d v="2026-05-27T16:07:12"/>
    <d v="2026-05-27T15:31:54"/>
    <x v="1"/>
    <s v="Incidencia en Software"/>
    <s v="Francisco González"/>
    <m/>
    <d v="2026-05-27T15:31:54"/>
    <s v="Addvantage"/>
    <s v="Elemento"/>
    <s v="sites/SISTEMAHELPDESKWCG/Lists/Sistema HelpDesk WCG"/>
    <s v="2026-5"/>
    <n v="0.58833333343500271"/>
  </r>
  <r>
    <s v="Francisco Arnoldo Gonzalez Ardón"/>
    <s v="fgonzalez@workingcapitalsa.com"/>
    <x v="1"/>
    <n v="415"/>
    <x v="2"/>
    <s v="Iniciar el analisis para utilizar de mejor manera el modulo de bancos, para llevar el control de cada uno de las transacciones / movimientos bancarios, para tener no solo de manera general los movimientos bancarios, sino una integracion de cada uno de los movimientos de ingresos y egresos. esto para llevar un mejor flujo de efectivo."/>
    <x v="2"/>
    <s v="Estimados,_x000a_💼 Por medio del presente, solicitamos formalmente el inicio del análisis funcional y técnico del módulo de Bancos, con el objetivo de optimizar su uso dentro de nuestras operaciones financieras._x000a_📊 El enfoque principal se orienta a fortalecer el control integral de los movimientos bancarios, permitiendo no solo una visualización general, sino una trazabilidad detallada de cada transacción registrada._x000a_🔄 Adicionalmente, buscamos lograr una correcta integración entre los movimientos de ingresos y egresos, asegurando consistencia en la información y facilitando la conciliación de operaciones en tiempo real._x000a_💰 Este requerimiento tiene como finalidad mejorar la gestión y visibilidad del flujo de efectivo, proporcionando información más precisa, oportuna y alineada a las necesidades operativas y de control financiero de la organización._x000a_🤝 Quedamos en total disposición de coordinar una reunión de trabajo, en la que podamos profundizar en el alcance de este requerimiento y asegurar una correcta interpretación funcional y técnica por parte de su equipo._x000a_📩 Agradeceremos que cualquier seguimiento, consulta o retroalimentación relacionada con esta solicitud se canalice a través de este mismo medio, con el fin de mantener trazabilidad y control de la gestión._x000a_🙏 Agradecemos de antemano el apoyo y acompañamiento brindado en este proceso, seguros de que contribuirá a la mejora continua de nuestras operaciones._x000a__________________________________________x000a_Quedamos atentos a sus comentarios._x000a_Saludos cordiales,"/>
    <d v="2026-05-27T16:11:53"/>
    <d v="2026-05-27T15:34:41"/>
    <x v="1"/>
    <s v="Incidencia en Software"/>
    <s v="Francisco González"/>
    <m/>
    <d v="2026-05-27T15:34:41"/>
    <s v="Addvantage"/>
    <s v="Elemento"/>
    <s v="sites/SISTEMAHELPDESKWCG/Lists/Sistema HelpDesk WCG"/>
    <s v="2026-5"/>
    <n v="0.61999999999534339"/>
  </r>
  <r>
    <s v="José Roberto Velásquez Pineda"/>
    <s v="jvelasquez@workingcapitalsa.com"/>
    <x v="2"/>
    <n v="416"/>
    <x v="2"/>
    <s v="Se realizó un envio de recordatorio de pago para tres correos, pero no fueron enviados, visualizando el siguiente error. Agradezco pronto apoyo para solucionarlo._x000a__x000a_Error:_x000a_ERROR - The SMTP server requires a secure connection or the client was not authenticated. The server response was: 5.7.57 Client not authenticated to send mail. Error: 535 5.7.139 Authentication unsuccessful, user password has expired. [CH5PR04CA0023.namprd04.prod.outlook.com 2026-05-28T16:42:09.408Z 08DEBBB508AA66E6]"/>
    <x v="1"/>
    <s v="Este error se debio a varios factores que a continuacin dejare descritos para dejar constancia de los cambios realizados:_x000a_Por porliticas de seguriad de la contraseña, estas cambiaran cada 3 meses, con esto, contraseñas como la de negocios y cartera que estan configuradas en siseg X , se vieron afectadas ya que las cuentas de correo solicitaron el resablecimiento de la contraseña, se procedio a configurar el de negocios en el portal, pero a su vez habia que configurar el  de cartera, que es por el cual salen los correos de avisos pero este no se encuentra en el panel de administracion de siseg X , este lo tuvo ue configurar directamente el equipo de soporte de logica.  Con esto el inconveniente quedo resuelto."/>
    <d v="2026-05-28T16:09:09"/>
    <d v="2026-05-28T09:50:45"/>
    <x v="1"/>
    <s v="Incidencia en Software"/>
    <s v="Sin Asignarse"/>
    <s v="Resuelto"/>
    <d v="2026-05-28T09:50:45"/>
    <s v="Siseg Leasing"/>
    <s v="Elemento"/>
    <s v="sites/SISTEMAHELPDESKWCG/Lists/Sistema HelpDesk WCG"/>
    <s v="2026-5"/>
    <n v="6.3066666665836237"/>
  </r>
  <r>
    <s v="Erick Alfonso Sazo Pérez"/>
    <s v="esazo@workingcapitalsa.com"/>
    <x v="4"/>
    <n v="417"/>
    <x v="2"/>
    <s v="Buena tarde TI, solicito de su apoyo, ya que se esta enviado correos de prueba pero no se recepcionan correos de prueba, en el sistema de Advanced"/>
    <x v="1"/>
    <s v="Por politicas de seguridad de las contraseñas estas se tuvieron que reconfigurar. se perocedio junto con Advanced a restablecer la contraeña y recibimos el ok."/>
    <d v="2026-06-01T13:34:55"/>
    <d v="2026-05-29T11:43:18"/>
    <x v="1"/>
    <s v="Otros - Especificar en el detalle del Ticket"/>
    <s v="Francisco González"/>
    <s v="Resuelto"/>
    <d v="2026-05-29T11:43:18"/>
    <s v="Advanced Investment"/>
    <s v="Elemento"/>
    <s v="sites/SISTEMAHELPDESKWCG/Lists/Sistema HelpDesk WCG"/>
    <s v="2026-5"/>
    <n v="73.8602777776541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s v="Silvia Melody Jochola"/>
    <s v="sjochola@workingcapitalsa.com"/>
    <x v="0"/>
    <n v="342"/>
    <x v="0"/>
    <s v="Estimado Sergio y Francisco, les comento que relaizando el flujo a 12 meses de la cotización adjunta no me genera las rentas con la última cuota y la opcion a compra en el sistema de SISEG Leasing si aparece en detalle de rentas todas las cuotas. "/>
    <x v="0"/>
    <m/>
    <d v="2026-04-07T16:21:20"/>
    <d v="2026-04-06T11:17:19"/>
    <x v="0"/>
    <s v="Otros - Especificar en el detalle del Ticket"/>
    <x v="0"/>
    <s v="Resuelto"/>
    <d v="2026-04-06T11:17:19"/>
    <s v="Siseg Leasing"/>
    <s v="Elemento"/>
    <s v="sites/SISTEMAHELPDESKWCG/Lists/Sistema HelpDesk WCG"/>
    <s v="2026-4"/>
    <n v="29.066944444435649"/>
  </r>
  <r>
    <s v="José Roberto Velásquez Pineda"/>
    <s v="jvelasquez@workingcapitalsa.com"/>
    <x v="1"/>
    <n v="343"/>
    <x v="1"/>
    <s v="Solicitando de su apoyo con la mejora: Aal momento de que el usuario realice el cierre mensual, tambien debe bloquear las cuotas &quot;pagadas&quot;, en el entendido que no deberia permitir realizar alguna cancelación con fecha retroacitva si la cuota ya se encuentra en estado de &quot;Pagada&quot;. Podria incorporarse que para poder ser modificada (excepción) con codigo de autorizacion. Pero deberia lanzar un mensaje que la cuota se encuentra en estado &quot;Pagada&quot; y no puede ser modificada."/>
    <x v="1"/>
    <s v="Se envio correo con la descricion de la solicitud hoy 7/04/2026   Se solicitaron pruebas por parte de Advanced, se indico a se Velasquez el requerimiento, e indico que levanto otro ticket porque el requerimiento  codigo de autorizacion esa dando error, e indico que los otros dos requerimientos de este ticket aun no ha realizado pruebas debido a que es en produccion y solo cuando exista una operacion que se de este caso podra realizarlo.  Se procede a cerrar este ticket, y colocarlo en pruebas de usuario."/>
    <d v="2026-04-27T14:54:32"/>
    <d v="2026-04-07T14:40:02"/>
    <x v="0"/>
    <s v="Incidencia en Software"/>
    <x v="1"/>
    <s v="Se Trabajará como Proyecto"/>
    <d v="2026-04-07T14:40:02"/>
    <s v="Advanced Investment"/>
    <s v="Elemento"/>
    <s v="sites/SISTEMAHELPDESKWCG/Lists/Sistema HelpDesk WCG"/>
    <s v="2026-4"/>
    <n v="480.24166666675592"/>
  </r>
  <r>
    <s v="José Roberto Velásquez Pineda"/>
    <s v="jvelasquez@workingcapitalsa.com"/>
    <x v="1"/>
    <n v="344"/>
    <x v="1"/>
    <s v="Agregar el filtro, que las operaciones (Contratos) con estado &quot;Cancelado&quot;, no se visualicen las rentas, en la pantalla de &quot;Administrador de rentas&quot;. Por ejemplo los contratos VHLEASE01008 (Lilliam Karolina Lopez) y VHLEASE01007 (Feltre) ya se encuentran en estatus &quot;Cancelado&quot;. Por lo que ya no deberian de visualizarse en el &quot;Administrador de Rentas.&quot;"/>
    <x v="2"/>
    <s v="Se requirio por correo a Logica."/>
    <d v="2026-04-27T14:38:17"/>
    <d v="2026-04-07T16:19:37"/>
    <x v="1"/>
    <s v="Incidencia en Software"/>
    <x v="1"/>
    <s v="Se Trabajará como Proyecto"/>
    <d v="2026-04-07T16:19:37"/>
    <s v="Siseg Leasing"/>
    <s v="Elemento"/>
    <s v="sites/SISTEMAHELPDESKWCG/Lists/Sistema HelpDesk WCG"/>
    <s v="2026-4"/>
    <n v="478.31111111113569"/>
  </r>
  <r>
    <s v="Sergio Alejandro Rodas Romero"/>
    <s v="srodas@workingcapitalsa.com"/>
    <x v="2"/>
    <n v="345"/>
    <x v="0"/>
    <s v="Instalar Advanced Investment en el equipo de Lisbeth Castillo._x000a_Configurar accesos iguales a los de Erick Sazo."/>
    <x v="0"/>
    <s v="Se instaló en el equipo y se creó el usuario indicado"/>
    <d v="2026-04-09T13:47:47"/>
    <d v="2026-04-09T09:41:00"/>
    <x v="1"/>
    <s v="Solicitud de Configuraciones"/>
    <x v="2"/>
    <s v="Configurado"/>
    <d v="2026-04-09T09:41:00"/>
    <s v="Addvantage"/>
    <s v="Elemento"/>
    <s v="sites/SISTEMAHELPDESKWCG/Lists/Sistema HelpDesk WCG"/>
    <s v="2026-4"/>
    <n v="4.1130555555573665"/>
  </r>
  <r>
    <s v="José Roberto Velásquez Pineda"/>
    <s v="jvelasquez@workingcapitalsa.com"/>
    <x v="1"/>
    <n v="346"/>
    <x v="0"/>
    <s v="prueba"/>
    <x v="0"/>
    <s v="Prueba de nuevo ticket"/>
    <d v="2026-04-09T13:46:36"/>
    <d v="2026-04-09T09:46:54"/>
    <x v="0"/>
    <s v="Incidencia en Software"/>
    <x v="2"/>
    <s v="Invalido"/>
    <d v="2026-04-09T09:46:54"/>
    <s v="Advanced Investment"/>
    <s v="Elemento"/>
    <s v="sites/SISTEMAHELPDESKWCG/Lists/Sistema HelpDesk WCG"/>
    <s v="2026-4"/>
    <n v="3.9949999999953434"/>
  </r>
  <r>
    <s v="Verónica Elizabeth Alarcón Vásquez"/>
    <s v="valarcon@workingcapitalsa.com"/>
    <x v="3"/>
    <n v="347"/>
    <x v="2"/>
    <s v="Configuración de whatsapp en la computadora de Melody  por la información que los clientes envía  por ese medio para optimizar los tiempos.  gracias. "/>
    <x v="0"/>
    <s v="El equipo comercial no lo tiene bloqueado"/>
    <d v="2026-04-14T16:15:02"/>
    <d v="2026-04-09T13:40:43"/>
    <x v="0"/>
    <s v="Solicitud de Configuraciones"/>
    <x v="0"/>
    <s v="Configurado"/>
    <d v="2026-04-09T13:40:43"/>
    <s v="Siseg Leasing"/>
    <s v="Elemento"/>
    <s v="sites/SISTEMAHELPDESKWCG/Lists/Sistema HelpDesk WCG"/>
    <s v="2026-4"/>
    <n v="122.57194444444031"/>
  </r>
  <r>
    <s v="Lisbeth Zuseth Castillo Moraga"/>
    <s v="lcastillo@workingcapitalsa.com"/>
    <x v="0"/>
    <n v="348"/>
    <x v="2"/>
    <s v="Brindar acceso en Dropbox a la carpeta de expedientes."/>
    <x v="0"/>
    <s v="Se agrega la carpeta de expedientes a la lista de carpetas visibles"/>
    <d v="2026-04-09T16:01:11"/>
    <d v="2026-04-09T14:57:54"/>
    <x v="0"/>
    <s v="Otros - Especificar en el detalle del Ticket"/>
    <x v="0"/>
    <s v="Configurado"/>
    <d v="2026-04-09T14:57:54"/>
    <s v="Advanced Investment"/>
    <s v="Elemento"/>
    <s v="sites/SISTEMAHELPDESKWCG/Lists/Sistema HelpDesk WCG"/>
    <s v="2026-4"/>
    <n v="1.0547222222085111"/>
  </r>
  <r>
    <s v="Lisbeth Zuseth Castillo Moraga"/>
    <s v="lcastillo@workingcapitalsa.com"/>
    <x v="4"/>
    <n v="349"/>
    <x v="0"/>
    <s v="prueba"/>
    <x v="3"/>
    <s v="Es prueba"/>
    <d v="2026-04-14T16:18:46"/>
    <d v="2026-04-10T09:05:59"/>
    <x v="0"/>
    <s v="Incidencia en Software"/>
    <x v="2"/>
    <s v="Invalido"/>
    <d v="2026-04-10T09:05:59"/>
    <s v="Siseg Leasing"/>
    <s v="Elemento"/>
    <s v="sites/SISTEMAHELPDESKWCG/Lists/Sistema HelpDesk WCG"/>
    <s v="2026-4"/>
    <n v="103.21305555553408"/>
  </r>
  <r>
    <s v="Francisco Arnoldo Gonzalez Ardón"/>
    <s v="fgonzalez@workingcapitalsa.com"/>
    <x v="2"/>
    <n v="350"/>
    <x v="0"/>
    <s v="prueba"/>
    <x v="3"/>
    <s v="No es real"/>
    <d v="2026-04-14T16:16:48"/>
    <d v="2026-04-10T12:08:53"/>
    <x v="2"/>
    <s v="Solicitud de Configuraciones"/>
    <x v="2"/>
    <s v="Invalido"/>
    <d v="2026-04-10T12:08:53"/>
    <m/>
    <s v="Elemento"/>
    <s v="sites/SISTEMAHELPDESKWCG/Lists/Sistema HelpDesk WCG"/>
    <s v="2026-4"/>
    <n v="100.13194444449618"/>
  </r>
  <r>
    <s v="José Roberto Velásquez Pineda"/>
    <s v="jvelasquez@workingcapitalsa.com"/>
    <x v="1"/>
    <n v="351"/>
    <x v="1"/>
    <s v="No se visualizan los expedientes digitalizados de las operaciones. En la operación PG02251102 tiene 5 archivos pdf cargados, pero solo 1/5 permite visualizar el pdf"/>
    <x v="0"/>
    <s v="Buenas tardes es un gusto saludarlos,_x000a__x000a_ Actualmente el sistema usa el plugin del visor PDF del navegador de Internet, sin embargo es posible que algunos archivos tengan codecs mas recientes que no son compatibles, para lo cual se podria realizar lo siguiente:_x000a__x000a_Opcion 1: Actualizar la aplicacion de PDF actual o bien instalar Foxit PDF Reader (comparto link)_x000a_Opcion 2: Asociar manualmente (clic derecho sobre el archivo PDF y luego &quot;abrir con...&quot; y dejarlo asociado a la aplicacion de PDF)_x000a_Opcion 3: Haremos un cambio en el sistema para que se pueda abrir directamente desde la aplicacion de Windows._x000a_Con gusto el area de soporte les puede apoyar con esta configuracion, si nos brindan acceso remoto a la computadora._x000a__x000a_ https://www.foxit.com/downloads/_x000a_Desde el servidor con el plugin del navegador de Foxit"/>
    <d v="2026-05-07T12:09:27"/>
    <d v="2026-04-14T09:26:24"/>
    <x v="1"/>
    <s v="Incidencia en Software"/>
    <x v="0"/>
    <s v="Resuelto"/>
    <d v="2026-04-14T09:26:24"/>
    <s v="Advanced Investment"/>
    <s v="Elemento"/>
    <s v="sites/SISTEMAHELPDESKWCG/Lists/Sistema HelpDesk WCG"/>
    <s v="2026-4"/>
    <n v="554.71749999996973"/>
  </r>
  <r>
    <s v="José Roberto Velásquez Pineda"/>
    <s v="jvelasquez@workingcapitalsa.com"/>
    <x v="1"/>
    <n v="352"/>
    <x v="1"/>
    <s v="Al ingresar el codigo para cancelacion de inversión, el sistema lanza el mensaje de error de que no corresponde el codigo, pero validando esta operacion tiene la cuota de abril (30/04/2026) en estado PAGADA (correcto PENDIENTE), debido a que aun no hemos efectuado el pago masivo de dicha cuota y es lo que considero que no permite la cancelación. Comparto capturas donde indica lo anterior. "/>
    <x v="3"/>
    <s v="Se genero un segundo ticket debiso a que se realizaron las pruebas a lo requerido, y no fueron satisfactorias. Por ese motivo se rechaza este ticket por estar abierto otro ante las pruebas negativas."/>
    <d v="2026-04-23T11:56:05"/>
    <d v="2026-04-14T11:16:56"/>
    <x v="0"/>
    <s v="Incidencia en Software"/>
    <x v="0"/>
    <s v="Invalido"/>
    <d v="2026-04-14T11:16:56"/>
    <s v="Advanced Investment"/>
    <s v="Elemento"/>
    <s v="sites/SISTEMAHELPDESKWCG/Lists/Sistema HelpDesk WCG"/>
    <s v="2026-4"/>
    <n v="216.6524999999092"/>
  </r>
  <r>
    <s v="Verónica Elizabeth Alarcón Vásquez"/>
    <s v="valarcon@workingcapitalsa.com"/>
    <x v="3"/>
    <n v="353"/>
    <x v="2"/>
    <s v="traslado de documentos de la computadora de investment y factoring a la computadora de Veronica Alarcon."/>
    <x v="0"/>
    <s v="Por favor indicar dónde están y qué archivos son los que se necesitan."/>
    <d v="2026-04-23T11:00:04"/>
    <d v="2026-04-14T14:43:11"/>
    <x v="0"/>
    <s v="Incidencia en Software"/>
    <x v="1"/>
    <m/>
    <d v="2026-04-14T14:43:11"/>
    <s v="Advanced Investment"/>
    <s v="Elemento"/>
    <s v="sites/SISTEMAHELPDESKWCG/Lists/Sistema HelpDesk WCG"/>
    <s v="2026-4"/>
    <n v="212.28138888889225"/>
  </r>
  <r>
    <s v="José Roberto Velásquez Pineda"/>
    <s v="jvelasquez@workingcapitalsa.com"/>
    <x v="1"/>
    <n v="354"/>
    <x v="1"/>
    <s v="Al ingresar el codigo de autorizacion para cancelar la operacion lanza mensaje de error (ver captura)"/>
    <x v="0"/>
    <s v="Se compartio el requerimiento con advanced investment.  Advanced requirio la verificacion de parte del usuario Veronica Alarcon por ingreso de contraseña. se le dara el seguimeinto con el usuario."/>
    <d v="2026-05-07T12:05:02"/>
    <d v="2026-04-16T11:53:00"/>
    <x v="0"/>
    <s v="Incidencia en Software"/>
    <x v="1"/>
    <s v="No Se Puede Reproducir"/>
    <d v="2026-04-16T11:53:00"/>
    <s v="Advanced Investment"/>
    <s v="Elemento"/>
    <s v="sites/SISTEMAHELPDESKWCG/Lists/Sistema HelpDesk WCG"/>
    <s v="2026-4"/>
    <n v="504.20055555563886"/>
  </r>
  <r>
    <s v="Erick Alfonso Sazo Pérez"/>
    <s v="esazo@workingcapitalsa.com"/>
    <x v="5"/>
    <n v="355"/>
    <x v="0"/>
    <s v="Buena tarde IT, les comento que la impresora Xerox Versalink, presenta falla en impresión ."/>
    <x v="0"/>
    <s v="Se requirio la visita de PBS. Se presentaron el Viernes 17 de Abril"/>
    <d v="2026-04-23T11:03:35"/>
    <d v="2026-04-16T14:57:34"/>
    <x v="0"/>
    <s v="Otros - Especificar en el detalle del Ticket"/>
    <x v="1"/>
    <s v="Resuelto"/>
    <d v="2026-04-16T14:57:34"/>
    <m/>
    <s v="Elemento"/>
    <s v="sites/SISTEMAHELPDESKWCG/Lists/Sistema HelpDesk WCG"/>
    <s v="2026-4"/>
    <n v="164.10027777787764"/>
  </r>
  <r>
    <s v="Celeste Eugenia Chacón Flores"/>
    <s v="cchacon@workingcapitalsa.com"/>
    <x v="6"/>
    <n v="356"/>
    <x v="2"/>
    <s v="Solicito su apoyo para habilitar acceso directo en escritorio al sitio de Microsoft SharePoint (PGO 2026) sin tener que buscar correo cada vez y sin requerir ingreso de credenciales en cada acceso."/>
    <x v="0"/>
    <s v="Se requiere para la implementacion del acceso directo, se me proporcione la computadora, unos 10 minutos. Se configuro el accso directo y se verifico que no requiriera el usuario ni el password, esto se debio a que ya previamente el usuario ingreo su cuenta y credencial, por esto mismo ya no solicito autenticacion.  Quedo configurado."/>
    <d v="2026-04-29T16:57:28"/>
    <d v="2026-04-16T17:13:25"/>
    <x v="0"/>
    <s v="Solicitud de Configuraciones"/>
    <x v="1"/>
    <s v="Resuelto"/>
    <d v="2026-04-16T17:13:25"/>
    <m/>
    <s v="Elemento"/>
    <s v="sites/SISTEMAHELPDESKWCG/Lists/Sistema HelpDesk WCG"/>
    <s v="2026-4"/>
    <n v="311.73416666669073"/>
  </r>
  <r>
    <s v="Celeste Eugenia Chacón Flores"/>
    <s v="cchacon@workingcapitalsa.com"/>
    <x v="6"/>
    <n v="357"/>
    <x v="2"/>
    <s v="Al marcar un texto con el mouse, lo desmarca y despues de varios intentos he logrado que lo marque, por favor apoyar para que sea al primer intento.    "/>
    <x v="0"/>
    <s v="Se requiere la entrega de la computadora, para verificar el inconveniente y proceder a realizar pruebas si fuera necesario.  Se reviso la computadora y se llega a la conclusion de que se necesita un mouse para cambiar el de Celeste Chacon. Se aconseja hacer uso del mouse pad. en lo que se traslada el requerimiento de compra.  Se levantara un requerimiento de Compra."/>
    <d v="2026-04-29T16:53:42"/>
    <d v="2026-04-16T17:14:59"/>
    <x v="1"/>
    <s v="Incidencia en Hardware"/>
    <x v="1"/>
    <s v="Resuelto"/>
    <d v="2026-04-16T17:14:59"/>
    <m/>
    <s v="Elemento"/>
    <s v="sites/SISTEMAHELPDESKWCG/Lists/Sistema HelpDesk WCG"/>
    <s v="2026-4"/>
    <n v="311.64527777780313"/>
  </r>
  <r>
    <s v="Lisbeth Zuseth Castillo Moraga"/>
    <s v="lcastillo@workingcapitalsa.com"/>
    <x v="0"/>
    <n v="358"/>
    <x v="0"/>
    <s v="Instalación de visualizador de PDF."/>
    <x v="0"/>
    <s v="Se configuro pdf Creator"/>
    <d v="2026-04-23T11:01:49"/>
    <d v="2026-04-20T08:20:49"/>
    <x v="2"/>
    <s v="Otros - Especificar en el detalle del Ticket"/>
    <x v="2"/>
    <s v="Resuelto"/>
    <d v="2026-04-20T08:20:49"/>
    <m/>
    <s v="Elemento"/>
    <s v="sites/SISTEMAHELPDESKWCG/Lists/Sistema HelpDesk WCG"/>
    <s v="2026-4"/>
    <n v="74.683333333348855"/>
  </r>
  <r>
    <s v="Verónica Elizabeth Alarcón Vásquez"/>
    <s v="valarcon@workingcapitalsa.com"/>
    <x v="3"/>
    <n v="359"/>
    <x v="0"/>
    <s v="Configuración de correo inversiones@workingcapitalsa.com en mi computadora "/>
    <x v="0"/>
    <s v="Se requiere la computadora para efectuar la configuracion, alrededor de 10 minutos. Se procedio a configurar el correo de inversiones, y Veronica alarcon constato la configuracion."/>
    <d v="2026-04-29T11:34:27"/>
    <d v="2026-04-27T17:34:53"/>
    <x v="0"/>
    <s v="Incidencia en Software"/>
    <x v="1"/>
    <s v="Resuelto"/>
    <d v="2026-04-27T17:34:53"/>
    <s v="Advanced Investment"/>
    <s v="Elemento"/>
    <s v="sites/SISTEMAHELPDESKWCG/Lists/Sistema HelpDesk WCG"/>
    <s v="2026-4"/>
    <n v="41.992777777835727"/>
  </r>
  <r>
    <s v="José Roberto Velásquez Pineda"/>
    <s v="jvelasquez@workingcapitalsa.com"/>
    <x v="1"/>
    <n v="360"/>
    <x v="1"/>
    <s v="Contar con una opción para congelar renta a una fecha especifica, con el objetivo que no continue generando mora. Esto con el objeto de mitigar que en el reporte que se genera no difiera los cargos moratorios dia a dia con los correspondientes a la fecha de recepción del pago."/>
    <x v="2"/>
    <s v="Se envio correo a Siseg hoy 28 de abril 2026: Espero se encuentren muy bien. 👋_x000a_Por medio del presente, solicitamos de su valioso apoyo para evaluar la posibilidad de contar con una opción que permita congelar la renta a una fecha específica ❄️📅, con el objetivo de evitar que continúe generando mora._x000a_🔍 Objetivo principal:_x000a_Implementar esta opción permitiría mitigar diferencias en los reportes generados, evitando que los cargos moratorios se sigan acumulando día a día ⏳ y que estos no difieran respecto a los cargos correspondientes a la fecha real de recepción del pago ✅💳._x000a_📊 Beneficios clave:_x000a_Mayor precisión en los reportes_x000a_Reducción de variaciones diarias por mora_x000a_Mejor control y trazabilidad de los cargos_x000a_Mayor claridad operativa y contable_x000a_🙏 Agradecemos mucho su ayuda y acompañamiento para analizar la viabilidad de esta funcionalidad y el mejor enfoque para su implementación._x000a_📅 Reunión de entendimiento:_x000a_En caso de que consideren necesario realizar una reunión para profundizar en el requerimiento, aclarar escenarios o validar el impacto, por favor indíquenoslo. Con gusto nos adaptamos a su disponibilidad 🤝💬._x000a_Quedamos atentos a sus comentarios y recomendaciones._x000a_¡Muchas gracias por su apoyo! 🙌"/>
    <d v="2026-04-28T15:07:41"/>
    <d v="2026-04-28T13:45:43"/>
    <x v="0"/>
    <s v="Incidencia en Software"/>
    <x v="1"/>
    <s v="Se Trabajará como Proyecto"/>
    <d v="2026-04-28T13:45:43"/>
    <s v="Siseg Leasing"/>
    <s v="Elemento"/>
    <s v="sites/SISTEMAHELPDESKWCG/Lists/Sistema HelpDesk WCG"/>
    <s v="2026-4"/>
    <n v="1.3661111112451181"/>
  </r>
  <r>
    <s v="José Roberto Velásquez Pineda"/>
    <s v="jvelasquez@workingcapitalsa.com"/>
    <x v="1"/>
    <n v="361"/>
    <x v="1"/>
    <s v="Se solicita contar con la opción y/o retomar la configuracion, para poder establecer el(los) correo(s) para el envio de recordatorios de pago y si fuese posible poder contar con una opción para establecer con cuantos dias de anticipación al vencimiento de proxima renta se puedan enviar._x000a_  "/>
    <x v="2"/>
    <s v="Estimados,_x000a_👋 Muy buen día._x000a_Por medio del presente, deseamos solicitar su valioso apoyo para poder habilitar o retomar la configuración que permita establecer uno o varios correos electrónicos de destino para el envío de recordatorios de pago dentro del sistema SISEG LEASING. ✉️_x000a_📌 Adicionalmente, y de ser posible, nos gustaría contar con una opción que nos permita definir con cuántos días de anticipación al vencimiento de la próxima renta se realice dicho envío automático. ⏰📅_x000a_✅ Esta mejora resulta de gran importancia, ya que permitiría:_x000a_🔔 Anticipar notificaciones a los clientes de manera oportuna_x000a_📉 Reducir riesgos de mora por olvido o falta de aviso_x000a_📊 Mantener mayor consistencia y control en los reportes de renta_x000a_🙏 Agradecemos de antemano el apoyo y acompañamiento que puedan brindarnos para evaluar la viabilidad de esta funcionalidad y, en su caso, su correcta implementación._x000a_🤝 Quedamos completamente a disposición para coordinar una reunión de entendimiento, en caso consideren necesario profundizar en el requerimiento, resolver dudas o revisar escenarios de uso. Nos adaptamos con gusto a la fecha y horario que estimen conveniente. 🗂️📞_x000a_✨ Sin otro particular, agradecemos mucho su atención y el apoyo brindado._x000a_Saludos cordiales,"/>
    <d v="2026-04-28T15:31:34"/>
    <d v="2026-04-28T13:56:09"/>
    <x v="0"/>
    <s v="Incidencia en Software"/>
    <x v="1"/>
    <s v="Se Trabajará como Proyecto"/>
    <d v="2026-04-28T13:56:09"/>
    <s v="Siseg Leasing"/>
    <s v="Elemento"/>
    <s v="sites/SISTEMAHELPDESKWCG/Lists/Sistema HelpDesk WCG"/>
    <s v="2026-4"/>
    <n v="1.5902777777519077"/>
  </r>
  <r>
    <s v="José Roberto Velásquez Pineda"/>
    <s v="jvelasquez@workingcapitalsa.com"/>
    <x v="1"/>
    <n v="362"/>
    <x v="1"/>
    <s v="Contar con una opción (cuenta corriente de ingresos por aplicar). Bajo el cual no se podrá aplicar ningun pago, si previamente no aparecen los fondos registrados en esta cuenta._x000a__x000a_Formulario de registro de fondos (Credito): Al recibir los fondos en nuestras cuentas de bancos se ingresan en este formulario los datos de: fecha del movimiento, seleccionar cliente (NIT y nombre) a quien pertenece los fondos, seleccionar la cuenta Working Capital Leasing, donde ingresaron los fondos, consignar el valor, consignar referencia (número boleta de deposito) y contar con opción para comentarios adicionales._x000a__x000a_En el formulario de aplicacion de pagos (Débito): Deberá mostrar el disponible (GTQ / USD) por aplicar a favor del cliente, del cual al aplicarse el pago al contrato, deberé registrarlo como un movimiento de débito y mostrar el nuevo saldo por aplicar. Si el cliente no tiene saldo disponible a favor no deberá permitir aplicar el pago."/>
    <x v="2"/>
    <s v="Se levanto el requerimiento a logica hoy 28 de abril del 2026 por medio de correo._x000a_Estimados, buen día 👋✨_x000a_Espero se encuentren muy bien._x000a_Por este medio, y dando seguimiento a un requerimiento  levantado, compartimos de forma resumida y estructurada la propuesta de control para la gestión de ingresos y aplicación de pagos, con el objetivo de mejorar la trazabilidad, control y exactitud de los saldos por cliente 💼📊._x000a_💰 Cuenta corriente – Ingresos por aplicar_x000a_📒 Se propone contar con una cuenta corriente de ingresos por aplicar, bajo la premisa de que:_x000a_🚫 No se podrá aplicar ningún pago si previamente los fondos no se encuentran registrados en esta cuenta._x000a_Esto permitirá asegurar que todo pago aplicado tenga respaldo real de fondos recibidos, evitando descuadres operativos ✅._x000a_📝 Formulario de Registro de Fondos (Crédito)_x000a_🏦 Al momento de recibir fondos en nuestras cuentas bancarias, estos deberán registrarse mediante un formulario que incluya:_x000a_📅 Fecha del movimiento_x000a_👤 Selección del cliente (NIT y nombre)_x000a_🏢 Selección de la cuenta Working Capital Leasing donde ingresaron los fondos_x000a_💲 Monto del ingreso_x000a_🧾 Referencia (número de boleta de depósito)_x000a_💬 Campo para comentarios adicionales_x000a_✨ Este registro generará automáticamente el saldo disponible por aplicar a favor del cliente._x000a_🔄 Formulario de Aplicación de Pagos (Débito)_x000a_📉 En el formulario de aplicación de pagos, el sistema deberá:_x000a_✅ Mostrar el saldo disponible por aplicar del cliente (GTQ / USD)_x000a_✅ Permitir aplicar el pago únicamente contra ese saldo disponible_x000a_✅ Registrar el movimiento como débito_x000a_✅ Mostrar el nuevo saldo por aplicar luego de la transacción_x000a_🚫 Si el cliente no cuenta con saldo disponible, el sistema no deberá permitir la aplicación del pago._x000a_🤝 Acompañamiento y agradecimiento_x000a_Quedamos totalmente atentos 👀😊 por si consideran oportuno agendar una reunión de entendimiento, con gusto nos ajustamos para revisar el flujo y resolver cualquier duda funcional 🙋‍♂️📅._x000a_🙏 Agradecemos mucho el apoyo brindado y el acompañamiento de siempre para seguir fortaleciendo los procesos._x000a_Quedamos al pendiente._x000a_¡Muchas gracias!"/>
    <d v="2026-04-29T09:56:26"/>
    <d v="2026-04-28T14:46:50"/>
    <x v="0"/>
    <s v="Incidencia en Software"/>
    <x v="1"/>
    <s v="Se Trabajará como Proyecto"/>
    <d v="2026-04-28T14:46:50"/>
    <s v="Siseg Leasing"/>
    <s v="Elemento"/>
    <s v="sites/SISTEMAHELPDESKWCG/Lists/Sistema HelpDesk WCG"/>
    <s v="2026-4"/>
    <n v="19.159999999974389"/>
  </r>
  <r>
    <s v="José Roberto Velásquez Pineda"/>
    <s v="jvelasquez@workingcapitalsa.com"/>
    <x v="1"/>
    <n v="363"/>
    <x v="1"/>
    <s v="Implementar dentro del sistema de Leasing, el modelo de cupos, de manera que pueda configurarse segun el excel que se anexa, donde los contratos puedan agruparse dentro de un cupo y los repagos de capital resten, asi mostrar una disponibilidad. Tomar en cuenta que para conversion de moneda se realizaria al tipo de cambio del BanGuat para ir rebajando los saldos en la moneda del cupo."/>
    <x v="2"/>
    <s v=" Se envio correo a Logica: el 29 de abril del 2026_x000a_Buena tarde._x000a_Con el fin de fortalecer el control y la visualización financiera dentro del sistema de Leasing, solicitamos su valioso apoyo para implementar el modelo de cupos, de manera que pueda configurarse conforme al archivo de Excel adjunto._x000a_📊 Alcance funcional propuesto:_x000a_✨ Configurar cupos dentro del sistema, permitiendo:_x000a_📑 Agrupar múltiples contratos bajo un mismo cupo._x000a_💰 Que los repagos de capital realicen automáticamente la disminución del saldo utilizado._x000a_📉 Mostrar en todo momento la disponibilidad real del cupo, considerando los movimientos aplicados._x000a_🌎 Conversión de moneda:_x000a_🔄 Para contratos en distinta moneda, se solicita que la conversión se realice utilizando el tipo de cambio oficial del BanGuat, de forma que los saldos se rebajen correctamente en la moneda base del cupo._x000a_🎯 Objetivo principal: Este modelo permitirá contar con información más precisa, consistente y alineada al reporte financiero, mitigando posibles diferencias en los cargos y mejorando la toma de decisiones._x000a_🤝 Apoyo requerido: Agradeceremos su acompañamiento tanto en:_x000a_⚙️ La evaluación técnica y funcional de la propuesta_x000a_🛠️ La implementación y validación del modelo en el sistema_x000a_📅 Reunión de seguimiento: Quedamos totalmente anuentes a coordinar una reunión en caso se requiera mayor detalle, revisión del Excel o definición del alcance técnico. Solo indíquennos su disponibilidad y con gusto la organizamos._x000a_✅ Agradecemos de antemano su apoyo y colaboración para avanzar con esta mejora tan relevante._x000a_Saludos cordiales,_x000a_"/>
    <d v="2026-04-29T09:05:24"/>
    <d v="2026-04-28T15:35:09"/>
    <x v="1"/>
    <s v="Incidencia en Software"/>
    <x v="1"/>
    <s v="Se Trabajará como Proyecto"/>
    <d v="2026-04-28T15:35:09"/>
    <s v="Siseg Leasing"/>
    <s v="Elemento"/>
    <s v="sites/SISTEMAHELPDESKWCG/Lists/Sistema HelpDesk WCG"/>
    <s v="2026-4"/>
    <n v="17.504166666709352"/>
  </r>
  <r>
    <s v="José Roberto Velásquez Pineda"/>
    <s v="jvelasquez@workingcapitalsa.com"/>
    <x v="1"/>
    <n v="364"/>
    <x v="1"/>
    <s v="El sistema esta solicitando el ingreso de codigo de autorización para la generación del archivo CSV de la exportacion del pago de rendimientos de inversionistas, lo cual se solicita se retire de maner urgente, debido a que en ocasiones no es tan facil obtener este codigo y dada la urgencia para cumplir con el pago a inversionistas, se solicita sea retirado este requisito del sistema."/>
    <x v="0"/>
    <s v="se envio correo:_x000a_Buen día Oscar_x000a_Gusto en saludarles_x000a__x000a_ Solicitando de su apoyo de manera urgente, debido a que validando veo que ahora para efectuar la exportación del archivo CSV para pago de rendimientos del mes, el sistema solicita clave de autorización, la cual no es inmediata obtenerla. Por lo que agradezco de su apoyo en poder liberar este parámetro para que permita la exportación sin este código de autorización._x000a_Se envio correo:_x000a_Buen dia,_x000a_Solicito pronta respuesta, para poderle dar seguimiento en tecnología._x000a_Saludos_x000a__x000a_SE RECIBIO CORREO_x000a_Buen día José y Francisco,_x000a_Gusto en saludarles._x000a_En seguimiento a su solicitud, les informamos que el requerimiento ya fue trasladado al área de desarrollo para su respectiva validación y gestión._x000a_Una vez se cuente con avances o se haya aplicado el ajuste, se les estará brindando la retroalimentación correspondiente por esta misma vía._x000a_Quedamos atentos a cualquier consulta adicional._x000a_Saludos cordiales,   _x000a__x000a_Soporte de advanced respondio lo siguiente: Buenas noches, es un gusto saludarles._x000a_Se aplicaron las siguientes funcionalidades al sistema:_x000a_En la configuración del sistema, se agrego una casilla de verificacion que permite activar o desactivar la opcion de &quot;Autorizacion para generar CSV&quot;. Bitacora:_x000a_Se agregoó al reporte la generación de CSV por pago de rendimientos._x000a_Se recibio respuesta a las inquietudes que indica el usuario:   Buenos días, José:_x000a__x000a_Gusto en saludarle. Esta funcionalidad está disponible únicamente para el administrador, quien puede decidir si activarla o desactivarla según sea necesario. Actualmente, a solicitud del equipo, se encuentra desactivada._x000a_Sin embargo, se ha registrado en la bitácora, de modo que, aunque esté inactiva, se pueda identificar el momento en que se realizó la descarga del archivo CSV._x000a_Quedo atenta a cualquier comentario.  se estaran requiriendo pruebas por parte de soporte wcg al usuario con el rol ADMINISTRADOR."/>
    <d v="2026-05-07T11:07:23"/>
    <d v="2026-04-29T08:24:10"/>
    <x v="0"/>
    <s v="Incidencia en Software"/>
    <x v="1"/>
    <s v="Configurado"/>
    <d v="2026-04-29T08:24:10"/>
    <s v="Advanced Investment"/>
    <s v="Elemento"/>
    <s v="sites/SISTEMAHELPDESKWCG/Lists/Sistema HelpDesk WCG"/>
    <s v="2026-4"/>
    <n v="194.72027777787298"/>
  </r>
  <r>
    <s v="José Roberto Velásquez Pineda"/>
    <s v="jvelasquez@workingcapitalsa.com"/>
    <x v="1"/>
    <n v="365"/>
    <x v="1"/>
    <s v="Se solicita tener una reunión con el proveedor, con el objeto de tener viabilidad para retomar la implementacion del registro de pagos parciales, nuestra propuesta es que se puedan registrar los abonos al sistema y unicamente que sean rebajaados del saldo de la renta."/>
    <x v="2"/>
    <s v="Buen Dia,_x000a_Espero se encuentren muy bien. 👋_x000a_Por este medio, deseamos solicitar muy cordialmente una reunión de trabajo 🗓️ con su equipo, con el objetivo de evaluar la viabilidad para retomar la implementación del registro de pagos parciales en el sistema. 💻_x000a_🔍 Contexto de la solicitud_x000a_Actualmente contamos con la necesidad operativa de registrar abonos parciales dentro del sistema, de tal forma que:_x000a_✅ Los abonos puedan ser registrados correctamente_x000a_✅ Dichos abonos únicamente rebajen el saldo de la renta_x000a_✅ No se vean afectados los cálculos automáticos ni los reportes financieros_x000a_💡 Propuesta funcional_x000a_Nuestra propuesta se enfoca en que el sistema permita el ingreso de pagos parciales como abonos informativos y contables, manteniendo la lógica actual de la renta, pero reflejando de forma correcta el saldo real pendiente._x000a_🤝 Creemos firmemente que, con su apoyo y experiencia, podremos definir una solución viable, alineada a las mejores prácticas del sistema y a nuestras necesidades operativas._x000a_Agradecemos de antemano su disposición y acompañamiento 🙌._x000a_Saludos,"/>
    <d v="2026-04-29T10:25:56"/>
    <d v="2026-04-29T08:54:33"/>
    <x v="0"/>
    <s v="Incidencia en Software"/>
    <x v="1"/>
    <s v="Se Trabajará como Proyecto"/>
    <d v="2026-04-29T08:54:33"/>
    <s v="Siseg Leasing"/>
    <s v="Elemento"/>
    <s v="sites/SISTEMAHELPDESKWCG/Lists/Sistema HelpDesk WCG"/>
    <s v="2026-4"/>
    <n v="1.5230555555317551"/>
  </r>
  <r>
    <s v="Verónica Elizabeth Alarcón Vásquez"/>
    <s v="valarcon@workingcapitalsa.com"/>
    <x v="3"/>
    <n v="366"/>
    <x v="0"/>
    <s v="Apoyo con el traslado de los archivos de la computadora de la gerencia de investment /factoring vía usb para poder gestionar las operaciones del día."/>
    <x v="3"/>
    <s v="Se rechazara el ticket poque se documentara aun mas para su entendimeinto."/>
    <d v="2026-04-29T15:27:27"/>
    <d v="2026-04-29T14:30:34"/>
    <x v="0"/>
    <s v="Incidencia en Software"/>
    <x v="2"/>
    <s v="Invalido"/>
    <d v="2026-04-29T14:30:34"/>
    <s v="Software Interno"/>
    <s v="Elemento"/>
    <s v="sites/SISTEMAHELPDESKWCG/Lists/Sistema HelpDesk WCG"/>
    <s v="2026-4"/>
    <n v="0.94805555557832122"/>
  </r>
  <r>
    <s v="Verónica Elizabeth Alarcón Vásquez"/>
    <s v="valarcon@workingcapitalsa.com"/>
    <x v="3"/>
    <n v="367"/>
    <x v="0"/>
    <s v="Agradezco su apoyo en virtud de que el onedrive no bajó toda la información de la computadora de la gerencia de Investment/factoring.  para que la misma pueda ser extraida usb para poder tener a todos los archivos concernientes a la gestión de dicha gerencia y así luego ser tasladados a la computadora de la dirección comercia._x000a__x000a_Importante mencionar que esta información deberá ser trasladada también en su momento a la persona que venga a sustituir esta posición._x000a__x000a_gracias. "/>
    <x v="0"/>
    <s v="Se procedera a revisar la informacion y luego se le pide a Veronica Alarcon nos proporcione una usb con cpacidad sufieciente para la extraccion._x000a__x000a_revisare el tema de la recepcion del equipo en su momento por Sergio Rodas, para entender lo solicitado."/>
    <d v="2026-04-30T14:45:36"/>
    <d v="2026-04-29T14:55:19"/>
    <x v="0"/>
    <s v="Incidencia en Software"/>
    <x v="1"/>
    <s v="Resuelto"/>
    <d v="2026-04-29T14:55:19"/>
    <s v="Software Interno"/>
    <s v="Elemento"/>
    <s v="sites/SISTEMAHELPDESKWCG/Lists/Sistema HelpDesk WCG"/>
    <s v="2026-4"/>
    <n v="23.8380555555922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5262A1-E751-4A14-8D36-F9D0E98EE92F}" name="TablaDinámica3" cacheId="3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F3:K8" firstHeaderRow="1" firstDataRow="3" firstDataCol="1" rowPageCount="1" colPageCount="1"/>
  <pivotFields count="20">
    <pivotField showAll="0"/>
    <pivotField showAll="0"/>
    <pivotField axis="axisRow" showAll="0">
      <items count="9">
        <item x="0"/>
        <item h="1" x="2"/>
        <item h="1" x="6"/>
        <item x="5"/>
        <item h="1" x="3"/>
        <item x="4"/>
        <item h="1" x="7"/>
        <item h="1" x="1"/>
        <item t="default"/>
      </items>
    </pivotField>
    <pivotField numFmtId="1" showAll="0"/>
    <pivotField axis="axisPage" showAll="0">
      <items count="4">
        <item x="2"/>
        <item x="0"/>
        <item x="1"/>
        <item t="default"/>
      </items>
    </pivotField>
    <pivotField showAll="0"/>
    <pivotField axis="axisCol" showAll="0">
      <items count="7">
        <item x="5"/>
        <item x="2"/>
        <item x="3"/>
        <item x="4"/>
        <item x="0"/>
        <item x="1"/>
        <item t="default"/>
      </items>
    </pivotField>
    <pivotField showAll="0"/>
    <pivotField numFmtId="22" showAll="0"/>
    <pivotField numFmtId="22" showAll="0"/>
    <pivotField axis="axisCol" showAll="0">
      <items count="3">
        <item x="1"/>
        <item x="0"/>
        <item t="default"/>
      </items>
    </pivotField>
    <pivotField showAll="0"/>
    <pivotField showAll="0"/>
    <pivotField showAll="0"/>
    <pivotField numFmtId="22" showAll="0"/>
    <pivotField showAll="0"/>
    <pivotField showAll="0"/>
    <pivotField showAll="0"/>
    <pivotField showAll="0"/>
    <pivotField dataField="1" numFmtId="2" showAll="0"/>
  </pivotFields>
  <rowFields count="1">
    <field x="2"/>
  </rowFields>
  <rowItems count="3">
    <i>
      <x/>
    </i>
    <i>
      <x v="5"/>
    </i>
    <i t="grand">
      <x/>
    </i>
  </rowItems>
  <colFields count="2">
    <field x="10"/>
    <field x="6"/>
  </colFields>
  <colItems count="5">
    <i>
      <x/>
      <x v="5"/>
    </i>
    <i t="default">
      <x/>
    </i>
    <i>
      <x v="1"/>
      <x v="4"/>
    </i>
    <i t="default">
      <x v="1"/>
    </i>
    <i t="grand">
      <x/>
    </i>
  </colItems>
  <pageFields count="1">
    <pageField fld="4" item="1" hier="-1"/>
  </pageFields>
  <dataFields count="1">
    <dataField name="Suma de Duracion" fld="1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83A6DA-4109-4023-B737-883EC3B5EBA3}" name="TablaDinámica2" cacheId="4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8" firstHeaderRow="1" firstDataRow="2" firstDataCol="1"/>
  <pivotFields count="20">
    <pivotField showAll="0"/>
    <pivotField showAll="0"/>
    <pivotField axis="axisRow" showAll="0">
      <items count="8">
        <item x="0"/>
        <item h="1" x="1"/>
        <item h="1" x="3"/>
        <item x="5"/>
        <item x="4"/>
        <item h="1" x="6"/>
        <item h="1" x="2"/>
        <item t="default"/>
      </items>
    </pivotField>
    <pivotField dataField="1" numFmtId="1" showAll="0"/>
    <pivotField showAll="0"/>
    <pivotField showAll="0"/>
    <pivotField axis="axisCol" showAll="0">
      <items count="5">
        <item x="2"/>
        <item x="1"/>
        <item x="3"/>
        <item x="0"/>
        <item t="default"/>
      </items>
    </pivotField>
    <pivotField showAll="0"/>
    <pivotField numFmtId="22" showAll="0"/>
    <pivotField numFmtId="22" showAll="0"/>
    <pivotField showAll="0"/>
    <pivotField showAll="0"/>
    <pivotField showAll="0"/>
    <pivotField showAll="0"/>
    <pivotField numFmtId="22" showAll="0"/>
    <pivotField showAll="0"/>
    <pivotField showAll="0"/>
    <pivotField showAll="0"/>
    <pivotField showAll="0"/>
    <pivotField numFmtId="2" showAll="0"/>
  </pivotFields>
  <rowFields count="1">
    <field x="2"/>
  </rowFields>
  <rowItems count="4">
    <i>
      <x/>
    </i>
    <i>
      <x v="3"/>
    </i>
    <i>
      <x v="4"/>
    </i>
    <i t="grand">
      <x/>
    </i>
  </rowItems>
  <colFields count="1">
    <field x="6"/>
  </colFields>
  <colItems count="3">
    <i>
      <x v="2"/>
    </i>
    <i>
      <x v="3"/>
    </i>
    <i t="grand">
      <x/>
    </i>
  </colItems>
  <dataFields count="1">
    <dataField name="Cuenta de ID" fld="3" subtotal="count" baseField="2"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B79E86-782A-4A6B-BCBD-5CF51B7A1F5E}" name="TablaDinámica7" cacheId="4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F3:K9" firstHeaderRow="1" firstDataRow="3" firstDataCol="1" rowPageCount="1" colPageCount="1"/>
  <pivotFields count="20">
    <pivotField showAll="0"/>
    <pivotField showAll="0"/>
    <pivotField axis="axisRow" showAll="0">
      <items count="8">
        <item x="0"/>
        <item x="1"/>
        <item x="3"/>
        <item x="5"/>
        <item x="4"/>
        <item x="6"/>
        <item x="2"/>
        <item t="default"/>
      </items>
    </pivotField>
    <pivotField numFmtId="1" showAll="0"/>
    <pivotField axis="axisPage" showAll="0">
      <items count="4">
        <item x="1"/>
        <item x="2"/>
        <item x="0"/>
        <item t="default"/>
      </items>
    </pivotField>
    <pivotField showAll="0"/>
    <pivotField axis="axisCol" showAll="0">
      <items count="5">
        <item x="2"/>
        <item x="1"/>
        <item x="3"/>
        <item x="0"/>
        <item t="default"/>
      </items>
    </pivotField>
    <pivotField showAll="0"/>
    <pivotField numFmtId="22" showAll="0"/>
    <pivotField numFmtId="22" showAll="0"/>
    <pivotField axis="axisCol" showAll="0">
      <items count="4">
        <item x="0"/>
        <item x="2"/>
        <item x="1"/>
        <item t="default"/>
      </items>
    </pivotField>
    <pivotField showAll="0"/>
    <pivotField showAll="0">
      <items count="4">
        <item x="1"/>
        <item x="0"/>
        <item x="2"/>
        <item t="default"/>
      </items>
    </pivotField>
    <pivotField showAll="0"/>
    <pivotField numFmtId="22" showAll="0"/>
    <pivotField showAll="0"/>
    <pivotField showAll="0"/>
    <pivotField showAll="0"/>
    <pivotField showAll="0"/>
    <pivotField dataField="1" numFmtId="2" showAll="0"/>
  </pivotFields>
  <rowFields count="1">
    <field x="2"/>
  </rowFields>
  <rowItems count="4">
    <i>
      <x/>
    </i>
    <i>
      <x v="2"/>
    </i>
    <i>
      <x v="5"/>
    </i>
    <i t="grand">
      <x/>
    </i>
  </rowItems>
  <colFields count="2">
    <field x="10"/>
    <field x="6"/>
  </colFields>
  <colItems count="5">
    <i>
      <x/>
      <x v="3"/>
    </i>
    <i t="default">
      <x/>
    </i>
    <i>
      <x v="2"/>
      <x v="3"/>
    </i>
    <i t="default">
      <x v="2"/>
    </i>
    <i t="grand">
      <x/>
    </i>
  </colItems>
  <pageFields count="1">
    <pageField fld="4" item="1" hier="-1"/>
  </pageFields>
  <dataFields count="1">
    <dataField name="Suma de Duracion" fld="1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E5C714-026C-4DD4-BC61-A84B6335C136}" name="TablaDinámica6" cacheId="4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8" firstHeaderRow="1" firstDataRow="2" firstDataCol="1"/>
  <pivotFields count="20">
    <pivotField showAll="0"/>
    <pivotField showAll="0"/>
    <pivotField axis="axisRow" showAll="0">
      <items count="8">
        <item x="0"/>
        <item h="1" x="1"/>
        <item h="1" x="3"/>
        <item x="5"/>
        <item x="4"/>
        <item h="1" x="6"/>
        <item h="1" x="2"/>
        <item t="default"/>
      </items>
    </pivotField>
    <pivotField dataField="1" numFmtId="1" showAll="0"/>
    <pivotField showAll="0"/>
    <pivotField showAll="0"/>
    <pivotField axis="axisCol" showAll="0">
      <items count="5">
        <item x="2"/>
        <item x="1"/>
        <item x="3"/>
        <item x="0"/>
        <item t="default"/>
      </items>
    </pivotField>
    <pivotField showAll="0"/>
    <pivotField numFmtId="22" showAll="0"/>
    <pivotField numFmtId="22" showAll="0"/>
    <pivotField showAll="0"/>
    <pivotField showAll="0"/>
    <pivotField showAll="0"/>
    <pivotField showAll="0"/>
    <pivotField numFmtId="22" showAll="0"/>
    <pivotField showAll="0"/>
    <pivotField showAll="0"/>
    <pivotField showAll="0"/>
    <pivotField showAll="0"/>
    <pivotField numFmtId="2" showAll="0"/>
  </pivotFields>
  <rowFields count="1">
    <field x="2"/>
  </rowFields>
  <rowItems count="4">
    <i>
      <x/>
    </i>
    <i>
      <x v="3"/>
    </i>
    <i>
      <x v="4"/>
    </i>
    <i t="grand">
      <x/>
    </i>
  </rowItems>
  <colFields count="1">
    <field x="6"/>
  </colFields>
  <colItems count="3">
    <i>
      <x v="2"/>
    </i>
    <i>
      <x v="3"/>
    </i>
    <i t="grand">
      <x/>
    </i>
  </colItems>
  <dataFields count="1">
    <dataField name="Cuenta de ID" fld="3"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744060-8037-47C7-ACDC-118950FA4251}" name="Tabla1" displayName="Tabla1" ref="A1:T35" totalsRowShown="0">
  <autoFilter ref="A1:T35" xr:uid="{7F744060-8037-47C7-ACDC-118950FA4251}"/>
  <tableColumns count="20">
    <tableColumn id="1" xr3:uid="{FE0FE99D-004F-4377-B533-1ECFCC5D644C}" name="Usuario solicita" dataDxfId="39"/>
    <tableColumn id="2" xr3:uid="{E3293A17-6B8B-4FE3-94D8-692DD8E4CF49}" name="correo solicita" dataDxfId="38"/>
    <tableColumn id="3" xr3:uid="{65FF82F9-8868-4FC4-BB02-E264E727D7E3}" name="Departamento" dataDxfId="37"/>
    <tableColumn id="4" xr3:uid="{51963C17-FF7E-48BE-BD1C-EAA4C2B12F19}" name="ID" dataDxfId="36"/>
    <tableColumn id="5" xr3:uid="{5DCDA407-213A-4FD2-A7B0-EA3176D8B244}" name="Tipo" dataDxfId="35"/>
    <tableColumn id="6" xr3:uid="{007D2CF1-A377-4C45-9257-D28F2467D8C2}" name="Titulo" dataDxfId="34"/>
    <tableColumn id="7" xr3:uid="{F65D78DA-400C-4355-B76F-B5FED0E25F2D}" name="Estado" dataDxfId="33"/>
    <tableColumn id="8" xr3:uid="{E915C8DB-F91D-48ED-80DB-83D9D2CDC908}" name="Solución" dataDxfId="32"/>
    <tableColumn id="9" xr3:uid="{7063B29D-6EB8-4BD9-9C3D-DD18746AA9E3}" name="Fecha cierre" dataDxfId="31"/>
    <tableColumn id="10" xr3:uid="{C6FCB96F-A7CC-404A-ADC7-94BC0679CE2E}" name="Fecha Apertura" dataDxfId="30"/>
    <tableColumn id="11" xr3:uid="{BC305B8C-AEAE-43AF-9BE7-783C504B8AA0}" name="Prioridad" dataDxfId="29"/>
    <tableColumn id="12" xr3:uid="{AC755E8B-4DDB-4702-9B1F-3677E39B2E36}" name="Tipo de servicio" dataDxfId="28"/>
    <tableColumn id="13" xr3:uid="{CE4F32EC-85AA-4419-BCBE-0B0F73072E4C}" name="Estado2" dataDxfId="27"/>
    <tableColumn id="14" xr3:uid="{A2C26FEB-2D2F-4CA7-BCC4-D01DCE0E06D6}" name="Razón cierre" dataDxfId="26"/>
    <tableColumn id="15" xr3:uid="{7721AD42-2309-4FBD-85C8-F3345A3173A7}" name="Fecha registro" dataDxfId="25"/>
    <tableColumn id="16" xr3:uid="{3547890C-1456-46D4-B3A3-06BF88ECD13D}" name="Sistema " dataDxfId="24"/>
    <tableColumn id="17" xr3:uid="{082D5318-7410-47E2-AF29-53013971530C}" name="Elemento" dataDxfId="23"/>
    <tableColumn id="18" xr3:uid="{5094C388-A54F-4DA0-A22F-2CE69CA6C05D}" name="Ruta" dataDxfId="4"/>
    <tableColumn id="19" xr3:uid="{46F55F25-FC51-40EC-91BB-051C243E5D92}" name="AñoMes" dataDxfId="3">
      <calculatedColumnFormula>CONCATENATE(YEAR(Tabla1[[#This Row],[Fecha registro]]),"-",MONTH(Tabla1[[#This Row],[Fecha registro]]))</calculatedColumnFormula>
    </tableColumn>
    <tableColumn id="20" xr3:uid="{EDF09377-B1E1-4A3C-B826-59721CF56A46}" name="Duracion" dataDxfId="2">
      <calculatedColumnFormula>(Tabla1[[#This Row],[Fecha cierre]]-Tabla1[[#This Row],[Fecha Apertura]])*24</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84CA56-D679-426E-96D9-C8F2F1B4AA0E}" name="Tabla2" displayName="Tabla2" ref="A1:T27" totalsRowShown="0">
  <autoFilter ref="A1:T27" xr:uid="{6484CA56-D679-426E-96D9-C8F2F1B4AA0E}"/>
  <tableColumns count="20">
    <tableColumn id="1" xr3:uid="{982866DA-9A28-45AF-919B-E20D47D7256C}" name="Usuario solicita" dataDxfId="22"/>
    <tableColumn id="2" xr3:uid="{291F5B2E-8A7F-4B78-994C-A6BDB4A3CDA8}" name="correo solicita" dataDxfId="21"/>
    <tableColumn id="3" xr3:uid="{EA9C4BF2-25BA-483F-AA3F-6E525318318F}" name="Departamento" dataDxfId="20"/>
    <tableColumn id="4" xr3:uid="{DB67783D-1F92-4882-86F4-7F4E70E139B7}" name="ID" dataDxfId="19"/>
    <tableColumn id="5" xr3:uid="{71EB5042-CAA7-4A4F-B044-27DAB12D2C2C}" name="Tipo" dataDxfId="18"/>
    <tableColumn id="6" xr3:uid="{BF4064B7-FE6D-4464-90F9-9AE536216AAB}" name="Titulo" dataDxfId="17"/>
    <tableColumn id="7" xr3:uid="{B93F4D1E-438F-4989-AAA3-4401ABDC7348}" name="Estado" dataDxfId="16"/>
    <tableColumn id="8" xr3:uid="{4E57A9E0-DD16-4CB5-A31E-1F370B11D553}" name="Solución" dataDxfId="15"/>
    <tableColumn id="9" xr3:uid="{1E09B6CB-3D2E-4BDF-86D7-6D104C9B7E24}" name="Fecha cierre" dataDxfId="14"/>
    <tableColumn id="10" xr3:uid="{9698FC87-3033-4F3C-88B0-051CEE09DF71}" name="Fecha Apertura" dataDxfId="13"/>
    <tableColumn id="11" xr3:uid="{AD9242F6-508C-4EC2-B452-2394035D7F26}" name="Prioridad" dataDxfId="12"/>
    <tableColumn id="12" xr3:uid="{97C31A74-901F-4012-AC54-A8E78C941523}" name="Tipo de servicio" dataDxfId="11"/>
    <tableColumn id="13" xr3:uid="{A10E8E9F-8A07-48F9-B0A1-A929B33FC67D}" name="Estado2" dataDxfId="10"/>
    <tableColumn id="14" xr3:uid="{232585F9-561F-447F-8A6E-6416A336C6B6}" name="Razón cierre" dataDxfId="9"/>
    <tableColumn id="15" xr3:uid="{064F4FB7-5457-45F5-89E1-F9C00C1C3C12}" name="Fecha registro" dataDxfId="8"/>
    <tableColumn id="16" xr3:uid="{936A8A2D-ABBD-4F35-8451-7E04BB74F4AA}" name="Sistema " dataDxfId="7"/>
    <tableColumn id="17" xr3:uid="{B5C21D98-5D45-489E-8840-82BDAB9F80AD}" name="Elemento" dataDxfId="6"/>
    <tableColumn id="18" xr3:uid="{2F153D66-2182-4982-80FB-6166F6EC0F32}" name="Ruta" dataDxfId="5"/>
    <tableColumn id="19" xr3:uid="{463FB731-6D04-4E42-BC17-FCE3B1799F97}" name="AñoMes" dataDxfId="1">
      <calculatedColumnFormula>CONCATENATE(YEAR(Tabla2[[#This Row],[Fecha registro]]),"-",MONTH(Tabla2[[#This Row],[Fecha registro]]))</calculatedColumnFormula>
    </tableColumn>
    <tableColumn id="20" xr3:uid="{52F512C7-EC6E-49ED-956B-8DD4A3A2B868}" name="Duracion" dataDxfId="0">
      <calculatedColumnFormula>(Tabla2[[#This Row],[Fecha cierre]]-Tabla2[[#This Row],[Fecha Apertura]])*24</calculatedColumnFormula>
    </tableColumn>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43E82-3A21-420B-AE2E-DC964F9C4442}">
  <dimension ref="A1:T35"/>
  <sheetViews>
    <sheetView topLeftCell="M1" workbookViewId="0">
      <selection activeCell="S1" sqref="S1:T2"/>
    </sheetView>
  </sheetViews>
  <sheetFormatPr baseColWidth="10" defaultRowHeight="15" x14ac:dyDescent="0.25"/>
  <cols>
    <col min="1" max="1" width="33" bestFit="1" customWidth="1"/>
    <col min="2" max="2" width="32.28515625" bestFit="1" customWidth="1"/>
    <col min="3" max="3" width="25" bestFit="1" customWidth="1"/>
    <col min="4" max="4" width="5" customWidth="1"/>
    <col min="5" max="5" width="7.42578125" bestFit="1" customWidth="1"/>
    <col min="6" max="6" width="43.140625" bestFit="1" customWidth="1"/>
    <col min="7" max="7" width="35.5703125" bestFit="1" customWidth="1"/>
    <col min="8" max="8" width="224.7109375" bestFit="1" customWidth="1"/>
    <col min="9" max="9" width="15.42578125" bestFit="1" customWidth="1"/>
    <col min="10" max="10" width="16.42578125" customWidth="1"/>
    <col min="11" max="11" width="11.42578125" customWidth="1"/>
    <col min="12" max="12" width="37.5703125" bestFit="1" customWidth="1"/>
    <col min="13" max="13" width="18.28515625" bestFit="1" customWidth="1"/>
    <col min="14" max="14" width="26" bestFit="1" customWidth="1"/>
    <col min="15" max="15" width="15.5703125" customWidth="1"/>
    <col min="16" max="16" width="19.7109375" bestFit="1" customWidth="1"/>
    <col min="17" max="17" width="11.28515625" customWidth="1"/>
    <col min="18" max="18" width="52.85546875" bestFit="1" customWidth="1"/>
    <col min="19" max="19" width="11.42578125" style="10"/>
  </cols>
  <sheetData>
    <row r="1" spans="1:20" x14ac:dyDescent="0.25">
      <c r="A1" t="s">
        <v>233</v>
      </c>
      <c r="B1" t="s">
        <v>234</v>
      </c>
      <c r="C1" t="s">
        <v>235</v>
      </c>
      <c r="D1" t="s">
        <v>236</v>
      </c>
      <c r="E1" t="s">
        <v>237</v>
      </c>
      <c r="F1" t="s">
        <v>238</v>
      </c>
      <c r="G1" t="s">
        <v>239</v>
      </c>
      <c r="H1" t="s">
        <v>240</v>
      </c>
      <c r="I1" t="s">
        <v>241</v>
      </c>
      <c r="J1" t="s">
        <v>242</v>
      </c>
      <c r="K1" t="s">
        <v>243</v>
      </c>
      <c r="L1" t="s">
        <v>244</v>
      </c>
      <c r="M1" t="s">
        <v>249</v>
      </c>
      <c r="N1" t="s">
        <v>245</v>
      </c>
      <c r="O1" t="s">
        <v>246</v>
      </c>
      <c r="P1" t="s">
        <v>247</v>
      </c>
      <c r="Q1" t="s">
        <v>4</v>
      </c>
      <c r="R1" t="s">
        <v>248</v>
      </c>
      <c r="S1" s="10" t="s">
        <v>254</v>
      </c>
      <c r="T1" t="s">
        <v>253</v>
      </c>
    </row>
    <row r="2" spans="1:20" ht="180" x14ac:dyDescent="0.25">
      <c r="A2" s="1" t="s">
        <v>5</v>
      </c>
      <c r="B2" s="1" t="s">
        <v>6</v>
      </c>
      <c r="C2" s="1" t="s">
        <v>55</v>
      </c>
      <c r="D2" s="2">
        <v>368</v>
      </c>
      <c r="E2" s="1" t="s">
        <v>74</v>
      </c>
      <c r="F2" s="3" t="s">
        <v>165</v>
      </c>
      <c r="G2" s="1" t="s">
        <v>23</v>
      </c>
      <c r="H2" s="3" t="s">
        <v>166</v>
      </c>
      <c r="I2" s="4">
        <v>46149.612384259257</v>
      </c>
      <c r="J2" s="4">
        <v>46146.347500000003</v>
      </c>
      <c r="K2" s="1" t="s">
        <v>24</v>
      </c>
      <c r="L2" s="1" t="s">
        <v>33</v>
      </c>
      <c r="M2" s="1" t="s">
        <v>39</v>
      </c>
      <c r="N2" s="1" t="s">
        <v>27</v>
      </c>
      <c r="O2" s="4">
        <v>46146.347500000003</v>
      </c>
      <c r="P2" s="1"/>
      <c r="Q2" s="1" t="s">
        <v>4</v>
      </c>
      <c r="R2" s="1" t="s">
        <v>3</v>
      </c>
      <c r="S2" s="10" t="str">
        <f>CONCATENATE(YEAR(Tabla1[[#This Row],[Fecha registro]]),"-",MONTH(Tabla1[[#This Row],[Fecha registro]]))</f>
        <v>2026-5</v>
      </c>
      <c r="T2" s="11">
        <f>(Tabla1[[#This Row],[Fecha cierre]]-Tabla1[[#This Row],[Fecha Apertura]])*24</f>
        <v>78.357222222082783</v>
      </c>
    </row>
    <row r="3" spans="1:20" ht="75" x14ac:dyDescent="0.25">
      <c r="A3" s="1" t="s">
        <v>1</v>
      </c>
      <c r="B3" s="1" t="s">
        <v>2</v>
      </c>
      <c r="C3" s="1" t="s">
        <v>13</v>
      </c>
      <c r="D3" s="2">
        <v>369</v>
      </c>
      <c r="E3" s="1"/>
      <c r="F3" s="3" t="s">
        <v>167</v>
      </c>
      <c r="G3" s="1" t="s">
        <v>23</v>
      </c>
      <c r="H3" s="3" t="s">
        <v>168</v>
      </c>
      <c r="I3" s="4">
        <v>46155.350023148145</v>
      </c>
      <c r="J3" s="4">
        <v>46146.513020833336</v>
      </c>
      <c r="K3" s="1" t="s">
        <v>32</v>
      </c>
      <c r="L3" s="1" t="s">
        <v>29</v>
      </c>
      <c r="M3" s="1" t="s">
        <v>39</v>
      </c>
      <c r="N3" s="1" t="s">
        <v>169</v>
      </c>
      <c r="O3" s="4">
        <v>46146.513020833336</v>
      </c>
      <c r="P3" s="1"/>
      <c r="Q3" s="1" t="s">
        <v>4</v>
      </c>
      <c r="R3" s="1" t="s">
        <v>3</v>
      </c>
      <c r="S3" s="10" t="str">
        <f>CONCATENATE(YEAR(Tabla1[[#This Row],[Fecha registro]]),"-",MONTH(Tabla1[[#This Row],[Fecha registro]]))</f>
        <v>2026-5</v>
      </c>
      <c r="T3" s="11">
        <f>(Tabla1[[#This Row],[Fecha cierre]]-Tabla1[[#This Row],[Fecha Apertura]])*24</f>
        <v>212.08805555541767</v>
      </c>
    </row>
    <row r="4" spans="1:20" ht="409.5" x14ac:dyDescent="0.25">
      <c r="A4" s="1" t="s">
        <v>41</v>
      </c>
      <c r="B4" s="1" t="s">
        <v>42</v>
      </c>
      <c r="C4" s="1" t="s">
        <v>114</v>
      </c>
      <c r="D4" s="2">
        <v>370</v>
      </c>
      <c r="E4" s="1" t="s">
        <v>46</v>
      </c>
      <c r="F4" s="3" t="s">
        <v>170</v>
      </c>
      <c r="G4" s="1" t="s">
        <v>0</v>
      </c>
      <c r="H4" s="3" t="s">
        <v>171</v>
      </c>
      <c r="I4" s="4">
        <v>46150.398587962962</v>
      </c>
      <c r="J4" s="4">
        <v>46147.367002314815</v>
      </c>
      <c r="K4" s="1" t="s">
        <v>32</v>
      </c>
      <c r="L4" s="1" t="s">
        <v>36</v>
      </c>
      <c r="M4" s="1" t="s">
        <v>26</v>
      </c>
      <c r="N4" s="1" t="s">
        <v>0</v>
      </c>
      <c r="O4" s="4">
        <v>46147.367002314815</v>
      </c>
      <c r="P4" s="1" t="s">
        <v>47</v>
      </c>
      <c r="Q4" s="1" t="s">
        <v>4</v>
      </c>
      <c r="R4" s="1" t="s">
        <v>3</v>
      </c>
      <c r="S4" s="10" t="str">
        <f>CONCATENATE(YEAR(Tabla1[[#This Row],[Fecha registro]]),"-",MONTH(Tabla1[[#This Row],[Fecha registro]]))</f>
        <v>2026-5</v>
      </c>
      <c r="T4" s="11">
        <f>(Tabla1[[#This Row],[Fecha cierre]]-Tabla1[[#This Row],[Fecha Apertura]])*24</f>
        <v>72.758055555517785</v>
      </c>
    </row>
    <row r="5" spans="1:20" ht="409.5" x14ac:dyDescent="0.25">
      <c r="A5" s="1" t="s">
        <v>41</v>
      </c>
      <c r="B5" s="1" t="s">
        <v>42</v>
      </c>
      <c r="C5" s="1" t="s">
        <v>114</v>
      </c>
      <c r="D5" s="2">
        <v>371</v>
      </c>
      <c r="E5" s="1" t="s">
        <v>46</v>
      </c>
      <c r="F5" s="3" t="s">
        <v>172</v>
      </c>
      <c r="G5" s="1" t="s">
        <v>0</v>
      </c>
      <c r="H5" s="3" t="s">
        <v>173</v>
      </c>
      <c r="I5" s="4">
        <v>46149.603067129632</v>
      </c>
      <c r="J5" s="4">
        <v>46148.348333333335</v>
      </c>
      <c r="K5" s="1" t="s">
        <v>32</v>
      </c>
      <c r="L5" s="1" t="s">
        <v>36</v>
      </c>
      <c r="M5" s="1" t="s">
        <v>26</v>
      </c>
      <c r="N5" s="1" t="s">
        <v>38</v>
      </c>
      <c r="O5" s="4">
        <v>46148.348333333335</v>
      </c>
      <c r="P5" s="1" t="s">
        <v>49</v>
      </c>
      <c r="Q5" s="1" t="s">
        <v>4</v>
      </c>
      <c r="R5" s="1" t="s">
        <v>3</v>
      </c>
      <c r="S5" s="10" t="str">
        <f>CONCATENATE(YEAR(Tabla1[[#This Row],[Fecha registro]]),"-",MONTH(Tabla1[[#This Row],[Fecha registro]]))</f>
        <v>2026-5</v>
      </c>
      <c r="T5" s="11">
        <f>(Tabla1[[#This Row],[Fecha cierre]]-Tabla1[[#This Row],[Fecha Apertura]])*24</f>
        <v>30.113611111126374</v>
      </c>
    </row>
    <row r="6" spans="1:20" ht="409.5" x14ac:dyDescent="0.25">
      <c r="A6" s="1" t="s">
        <v>41</v>
      </c>
      <c r="B6" s="1" t="s">
        <v>42</v>
      </c>
      <c r="C6" s="1" t="s">
        <v>114</v>
      </c>
      <c r="D6" s="2">
        <v>372</v>
      </c>
      <c r="E6" s="1" t="s">
        <v>46</v>
      </c>
      <c r="F6" s="3" t="s">
        <v>174</v>
      </c>
      <c r="G6" s="1" t="s">
        <v>50</v>
      </c>
      <c r="H6" s="3" t="s">
        <v>175</v>
      </c>
      <c r="I6" s="4">
        <v>46149.515810185185</v>
      </c>
      <c r="J6" s="4">
        <v>46148.362974537034</v>
      </c>
      <c r="K6" s="1" t="s">
        <v>32</v>
      </c>
      <c r="L6" s="1" t="s">
        <v>36</v>
      </c>
      <c r="M6" s="1" t="s">
        <v>26</v>
      </c>
      <c r="N6" s="1"/>
      <c r="O6" s="4">
        <v>46148.362974537034</v>
      </c>
      <c r="P6" s="1" t="s">
        <v>49</v>
      </c>
      <c r="Q6" s="1" t="s">
        <v>4</v>
      </c>
      <c r="R6" s="1" t="s">
        <v>3</v>
      </c>
      <c r="S6" s="10" t="str">
        <f>CONCATENATE(YEAR(Tabla1[[#This Row],[Fecha registro]]),"-",MONTH(Tabla1[[#This Row],[Fecha registro]]))</f>
        <v>2026-5</v>
      </c>
      <c r="T6" s="11">
        <f>(Tabla1[[#This Row],[Fecha cierre]]-Tabla1[[#This Row],[Fecha Apertura]])*24</f>
        <v>27.668055555608589</v>
      </c>
    </row>
    <row r="7" spans="1:20" ht="409.5" x14ac:dyDescent="0.25">
      <c r="A7" s="1" t="s">
        <v>19</v>
      </c>
      <c r="B7" s="1" t="s">
        <v>20</v>
      </c>
      <c r="C7" s="1" t="s">
        <v>11</v>
      </c>
      <c r="D7" s="2">
        <v>373</v>
      </c>
      <c r="E7" s="1" t="s">
        <v>74</v>
      </c>
      <c r="F7" s="3" t="s">
        <v>176</v>
      </c>
      <c r="G7" s="1" t="s">
        <v>0</v>
      </c>
      <c r="H7" s="3" t="s">
        <v>177</v>
      </c>
      <c r="I7" s="4">
        <v>46148.516388888886</v>
      </c>
      <c r="J7" s="4">
        <v>46148.412835648145</v>
      </c>
      <c r="K7" s="1" t="s">
        <v>32</v>
      </c>
      <c r="L7" s="1" t="s">
        <v>40</v>
      </c>
      <c r="M7" s="1" t="s">
        <v>26</v>
      </c>
      <c r="N7" s="1" t="s">
        <v>0</v>
      </c>
      <c r="O7" s="4">
        <v>46148.412835648145</v>
      </c>
      <c r="P7" s="1"/>
      <c r="Q7" s="1" t="s">
        <v>4</v>
      </c>
      <c r="R7" s="1" t="s">
        <v>3</v>
      </c>
      <c r="S7" s="10" t="str">
        <f>CONCATENATE(YEAR(Tabla1[[#This Row],[Fecha registro]]),"-",MONTH(Tabla1[[#This Row],[Fecha registro]]))</f>
        <v>2026-5</v>
      </c>
      <c r="T7" s="11">
        <f>(Tabla1[[#This Row],[Fecha cierre]]-Tabla1[[#This Row],[Fecha Apertura]])*24</f>
        <v>2.4852777777705342</v>
      </c>
    </row>
    <row r="8" spans="1:20" ht="45" x14ac:dyDescent="0.25">
      <c r="A8" s="1" t="s">
        <v>1</v>
      </c>
      <c r="B8" s="1" t="s">
        <v>2</v>
      </c>
      <c r="C8" s="1" t="s">
        <v>13</v>
      </c>
      <c r="D8" s="2">
        <v>374</v>
      </c>
      <c r="E8" s="1"/>
      <c r="F8" s="3" t="s">
        <v>178</v>
      </c>
      <c r="G8" s="1" t="s">
        <v>23</v>
      </c>
      <c r="H8" s="3"/>
      <c r="I8" s="4">
        <v>46155.350659722222</v>
      </c>
      <c r="J8" s="4">
        <v>46148.437627314815</v>
      </c>
      <c r="K8" s="1" t="s">
        <v>32</v>
      </c>
      <c r="L8" s="1" t="s">
        <v>29</v>
      </c>
      <c r="M8" s="1" t="s">
        <v>26</v>
      </c>
      <c r="N8" s="1" t="s">
        <v>169</v>
      </c>
      <c r="O8" s="4">
        <v>46148.437627314815</v>
      </c>
      <c r="P8" s="1"/>
      <c r="Q8" s="1" t="s">
        <v>4</v>
      </c>
      <c r="R8" s="1" t="s">
        <v>3</v>
      </c>
      <c r="S8" s="10" t="str">
        <f>CONCATENATE(YEAR(Tabla1[[#This Row],[Fecha registro]]),"-",MONTH(Tabla1[[#This Row],[Fecha registro]]))</f>
        <v>2026-5</v>
      </c>
      <c r="T8" s="11">
        <f>(Tabla1[[#This Row],[Fecha cierre]]-Tabla1[[#This Row],[Fecha Apertura]])*24</f>
        <v>165.91277777776122</v>
      </c>
    </row>
    <row r="9" spans="1:20" ht="409.5" x14ac:dyDescent="0.25">
      <c r="A9" s="1" t="s">
        <v>41</v>
      </c>
      <c r="B9" s="1" t="s">
        <v>42</v>
      </c>
      <c r="C9" s="1" t="s">
        <v>114</v>
      </c>
      <c r="D9" s="2">
        <v>375</v>
      </c>
      <c r="E9" s="1" t="s">
        <v>46</v>
      </c>
      <c r="F9" s="3" t="s">
        <v>179</v>
      </c>
      <c r="G9" s="1" t="s">
        <v>50</v>
      </c>
      <c r="H9" s="3" t="s">
        <v>180</v>
      </c>
      <c r="I9" s="4">
        <v>46149.514351851853</v>
      </c>
      <c r="J9" s="4">
        <v>46148.568449074075</v>
      </c>
      <c r="K9" s="1" t="s">
        <v>32</v>
      </c>
      <c r="L9" s="1" t="s">
        <v>36</v>
      </c>
      <c r="M9" s="1" t="s">
        <v>26</v>
      </c>
      <c r="N9" s="1"/>
      <c r="O9" s="4">
        <v>46148.568449074075</v>
      </c>
      <c r="P9" s="1" t="s">
        <v>48</v>
      </c>
      <c r="Q9" s="1" t="s">
        <v>4</v>
      </c>
      <c r="R9" s="1" t="s">
        <v>3</v>
      </c>
      <c r="S9" s="10" t="str">
        <f>CONCATENATE(YEAR(Tabla1[[#This Row],[Fecha registro]]),"-",MONTH(Tabla1[[#This Row],[Fecha registro]]))</f>
        <v>2026-5</v>
      </c>
      <c r="T9" s="11">
        <f>(Tabla1[[#This Row],[Fecha cierre]]-Tabla1[[#This Row],[Fecha Apertura]])*24</f>
        <v>22.701666666660458</v>
      </c>
    </row>
    <row r="10" spans="1:20" ht="409.5" x14ac:dyDescent="0.25">
      <c r="A10" s="1" t="s">
        <v>16</v>
      </c>
      <c r="B10" s="1" t="s">
        <v>17</v>
      </c>
      <c r="C10" s="1" t="s">
        <v>99</v>
      </c>
      <c r="D10" s="2">
        <v>376</v>
      </c>
      <c r="E10" s="1" t="s">
        <v>46</v>
      </c>
      <c r="F10" s="3" t="s">
        <v>181</v>
      </c>
      <c r="G10" s="1" t="s">
        <v>50</v>
      </c>
      <c r="H10" s="3" t="s">
        <v>182</v>
      </c>
      <c r="I10" s="4">
        <v>46149.639594907407</v>
      </c>
      <c r="J10" s="4">
        <v>46149.510381944441</v>
      </c>
      <c r="K10" s="1" t="s">
        <v>32</v>
      </c>
      <c r="L10" s="1" t="s">
        <v>33</v>
      </c>
      <c r="M10" s="1" t="s">
        <v>26</v>
      </c>
      <c r="N10" s="1"/>
      <c r="O10" s="4">
        <v>46149.510381944441</v>
      </c>
      <c r="P10" s="1" t="s">
        <v>47</v>
      </c>
      <c r="Q10" s="1" t="s">
        <v>4</v>
      </c>
      <c r="R10" s="1" t="s">
        <v>3</v>
      </c>
      <c r="S10" s="10" t="str">
        <f>CONCATENATE(YEAR(Tabla1[[#This Row],[Fecha registro]]),"-",MONTH(Tabla1[[#This Row],[Fecha registro]]))</f>
        <v>2026-5</v>
      </c>
      <c r="T10" s="11">
        <f>(Tabla1[[#This Row],[Fecha cierre]]-Tabla1[[#This Row],[Fecha Apertura]])*24</f>
        <v>3.1011111111729406</v>
      </c>
    </row>
    <row r="11" spans="1:20" ht="195" x14ac:dyDescent="0.25">
      <c r="A11" s="1" t="s">
        <v>1</v>
      </c>
      <c r="B11" s="1" t="s">
        <v>2</v>
      </c>
      <c r="C11" s="1" t="s">
        <v>13</v>
      </c>
      <c r="D11" s="2">
        <v>377</v>
      </c>
      <c r="E11" s="1" t="s">
        <v>46</v>
      </c>
      <c r="F11" s="3" t="s">
        <v>183</v>
      </c>
      <c r="G11" s="1" t="s">
        <v>23</v>
      </c>
      <c r="H11" s="3" t="s">
        <v>184</v>
      </c>
      <c r="I11" s="4">
        <v>46150.44159722222</v>
      </c>
      <c r="J11" s="4">
        <v>46149.671157407407</v>
      </c>
      <c r="K11" s="1" t="s">
        <v>32</v>
      </c>
      <c r="L11" s="1" t="s">
        <v>29</v>
      </c>
      <c r="M11" s="1" t="s">
        <v>26</v>
      </c>
      <c r="N11" s="1"/>
      <c r="O11" s="4">
        <v>46149.671157407407</v>
      </c>
      <c r="P11" s="1" t="s">
        <v>49</v>
      </c>
      <c r="Q11" s="1" t="s">
        <v>4</v>
      </c>
      <c r="R11" s="1" t="s">
        <v>3</v>
      </c>
      <c r="S11" s="10" t="str">
        <f>CONCATENATE(YEAR(Tabla1[[#This Row],[Fecha registro]]),"-",MONTH(Tabla1[[#This Row],[Fecha registro]]))</f>
        <v>2026-5</v>
      </c>
      <c r="T11" s="11">
        <f>(Tabla1[[#This Row],[Fecha cierre]]-Tabla1[[#This Row],[Fecha Apertura]])*24</f>
        <v>18.490555555501487</v>
      </c>
    </row>
    <row r="12" spans="1:20" ht="409.5" x14ac:dyDescent="0.25">
      <c r="A12" s="1" t="s">
        <v>41</v>
      </c>
      <c r="B12" s="1" t="s">
        <v>42</v>
      </c>
      <c r="C12" s="1" t="s">
        <v>114</v>
      </c>
      <c r="D12" s="2">
        <v>378</v>
      </c>
      <c r="E12" s="1" t="s">
        <v>46</v>
      </c>
      <c r="F12" s="3" t="s">
        <v>185</v>
      </c>
      <c r="G12" s="1" t="s">
        <v>63</v>
      </c>
      <c r="H12" s="3" t="s">
        <v>186</v>
      </c>
      <c r="I12" s="4">
        <v>46150.453194444446</v>
      </c>
      <c r="J12" s="4">
        <v>46150.34103009259</v>
      </c>
      <c r="K12" s="1" t="s">
        <v>32</v>
      </c>
      <c r="L12" s="1" t="s">
        <v>36</v>
      </c>
      <c r="M12" s="1" t="s">
        <v>26</v>
      </c>
      <c r="N12" s="1"/>
      <c r="O12" s="4">
        <v>46150.34103009259</v>
      </c>
      <c r="P12" s="1" t="s">
        <v>47</v>
      </c>
      <c r="Q12" s="1" t="s">
        <v>4</v>
      </c>
      <c r="R12" s="1" t="s">
        <v>3</v>
      </c>
      <c r="S12" s="10" t="str">
        <f>CONCATENATE(YEAR(Tabla1[[#This Row],[Fecha registro]]),"-",MONTH(Tabla1[[#This Row],[Fecha registro]]))</f>
        <v>2026-5</v>
      </c>
      <c r="T12" s="11">
        <f>(Tabla1[[#This Row],[Fecha cierre]]-Tabla1[[#This Row],[Fecha Apertura]])*24</f>
        <v>2.6919444445520639</v>
      </c>
    </row>
    <row r="13" spans="1:20" ht="409.5" x14ac:dyDescent="0.25">
      <c r="A13" s="1" t="s">
        <v>41</v>
      </c>
      <c r="B13" s="1" t="s">
        <v>42</v>
      </c>
      <c r="C13" s="1" t="s">
        <v>114</v>
      </c>
      <c r="D13" s="2">
        <v>379</v>
      </c>
      <c r="E13" s="1"/>
      <c r="F13" s="3" t="s">
        <v>187</v>
      </c>
      <c r="G13" s="1" t="s">
        <v>23</v>
      </c>
      <c r="H13" s="3" t="s">
        <v>188</v>
      </c>
      <c r="I13" s="4">
        <v>46150.506898148145</v>
      </c>
      <c r="J13" s="4">
        <v>46150.443368055552</v>
      </c>
      <c r="K13" s="1" t="s">
        <v>32</v>
      </c>
      <c r="L13" s="1" t="s">
        <v>36</v>
      </c>
      <c r="M13" s="1" t="s">
        <v>39</v>
      </c>
      <c r="N13" s="1" t="s">
        <v>122</v>
      </c>
      <c r="O13" s="4">
        <v>46150.443368055552</v>
      </c>
      <c r="P13" s="1" t="s">
        <v>47</v>
      </c>
      <c r="Q13" s="1" t="s">
        <v>4</v>
      </c>
      <c r="R13" s="1" t="s">
        <v>3</v>
      </c>
      <c r="S13" s="10" t="str">
        <f>CONCATENATE(YEAR(Tabla1[[#This Row],[Fecha registro]]),"-",MONTH(Tabla1[[#This Row],[Fecha registro]]))</f>
        <v>2026-5</v>
      </c>
      <c r="T13" s="11">
        <f>(Tabla1[[#This Row],[Fecha cierre]]-Tabla1[[#This Row],[Fecha Apertura]])*24</f>
        <v>1.5247222222387791</v>
      </c>
    </row>
    <row r="14" spans="1:20" ht="409.5" x14ac:dyDescent="0.25">
      <c r="A14" s="1" t="s">
        <v>41</v>
      </c>
      <c r="B14" s="1" t="s">
        <v>42</v>
      </c>
      <c r="C14" s="1" t="s">
        <v>114</v>
      </c>
      <c r="D14" s="2">
        <v>380</v>
      </c>
      <c r="E14" s="1" t="s">
        <v>46</v>
      </c>
      <c r="F14" s="3" t="s">
        <v>189</v>
      </c>
      <c r="G14" s="1" t="s">
        <v>63</v>
      </c>
      <c r="H14" s="3" t="s">
        <v>190</v>
      </c>
      <c r="I14" s="4">
        <v>46150.714363425926</v>
      </c>
      <c r="J14" s="4">
        <v>46150.579351851855</v>
      </c>
      <c r="K14" s="1" t="s">
        <v>32</v>
      </c>
      <c r="L14" s="1" t="s">
        <v>36</v>
      </c>
      <c r="M14" s="1" t="s">
        <v>26</v>
      </c>
      <c r="N14" s="1"/>
      <c r="O14" s="4">
        <v>46150.579351851855</v>
      </c>
      <c r="P14" s="1" t="s">
        <v>47</v>
      </c>
      <c r="Q14" s="1" t="s">
        <v>4</v>
      </c>
      <c r="R14" s="1" t="s">
        <v>3</v>
      </c>
      <c r="S14" s="10" t="str">
        <f>CONCATENATE(YEAR(Tabla1[[#This Row],[Fecha registro]]),"-",MONTH(Tabla1[[#This Row],[Fecha registro]]))</f>
        <v>2026-5</v>
      </c>
      <c r="T14" s="11">
        <f>(Tabla1[[#This Row],[Fecha cierre]]-Tabla1[[#This Row],[Fecha Apertura]])*24</f>
        <v>3.2402777777169831</v>
      </c>
    </row>
    <row r="15" spans="1:20" ht="405" x14ac:dyDescent="0.25">
      <c r="A15" s="1" t="s">
        <v>41</v>
      </c>
      <c r="B15" s="1" t="s">
        <v>42</v>
      </c>
      <c r="C15" s="1" t="s">
        <v>114</v>
      </c>
      <c r="D15" s="2">
        <v>381</v>
      </c>
      <c r="E15" s="1" t="s">
        <v>46</v>
      </c>
      <c r="F15" s="3" t="s">
        <v>191</v>
      </c>
      <c r="G15" s="1" t="s">
        <v>63</v>
      </c>
      <c r="H15" s="3" t="s">
        <v>192</v>
      </c>
      <c r="I15" s="4">
        <v>46150.709328703706</v>
      </c>
      <c r="J15" s="4">
        <v>46150.583009259259</v>
      </c>
      <c r="K15" s="1" t="s">
        <v>24</v>
      </c>
      <c r="L15" s="1" t="s">
        <v>36</v>
      </c>
      <c r="M15" s="1" t="s">
        <v>26</v>
      </c>
      <c r="N15" s="1"/>
      <c r="O15" s="4">
        <v>46150.583009259259</v>
      </c>
      <c r="P15" s="1" t="s">
        <v>47</v>
      </c>
      <c r="Q15" s="1" t="s">
        <v>4</v>
      </c>
      <c r="R15" s="1" t="s">
        <v>3</v>
      </c>
      <c r="S15" s="10" t="str">
        <f>CONCATENATE(YEAR(Tabla1[[#This Row],[Fecha registro]]),"-",MONTH(Tabla1[[#This Row],[Fecha registro]]))</f>
        <v>2026-5</v>
      </c>
      <c r="T15" s="11">
        <f>(Tabla1[[#This Row],[Fecha cierre]]-Tabla1[[#This Row],[Fecha Apertura]])*24</f>
        <v>3.0316666667349637</v>
      </c>
    </row>
    <row r="16" spans="1:20" ht="330" x14ac:dyDescent="0.25">
      <c r="A16" s="1" t="s">
        <v>16</v>
      </c>
      <c r="B16" s="1" t="s">
        <v>17</v>
      </c>
      <c r="C16" s="1" t="s">
        <v>138</v>
      </c>
      <c r="D16" s="2">
        <v>382</v>
      </c>
      <c r="E16" s="1" t="s">
        <v>46</v>
      </c>
      <c r="F16" s="3" t="s">
        <v>193</v>
      </c>
      <c r="G16" s="1" t="s">
        <v>63</v>
      </c>
      <c r="H16" s="3" t="s">
        <v>194</v>
      </c>
      <c r="I16" s="4">
        <v>46153.428263888891</v>
      </c>
      <c r="J16" s="4">
        <v>46153.360810185186</v>
      </c>
      <c r="K16" s="1" t="s">
        <v>32</v>
      </c>
      <c r="L16" s="1" t="s">
        <v>33</v>
      </c>
      <c r="M16" s="1" t="s">
        <v>30</v>
      </c>
      <c r="N16" s="1"/>
      <c r="O16" s="4">
        <v>46153.360810185186</v>
      </c>
      <c r="P16" s="1" t="s">
        <v>195</v>
      </c>
      <c r="Q16" s="1" t="s">
        <v>4</v>
      </c>
      <c r="R16" s="1" t="s">
        <v>3</v>
      </c>
      <c r="S16" s="10" t="str">
        <f>CONCATENATE(YEAR(Tabla1[[#This Row],[Fecha registro]]),"-",MONTH(Tabla1[[#This Row],[Fecha registro]]))</f>
        <v>2026-5</v>
      </c>
      <c r="T16" s="11">
        <f>(Tabla1[[#This Row],[Fecha cierre]]-Tabla1[[#This Row],[Fecha Apertura]])*24</f>
        <v>1.6188888889155351</v>
      </c>
    </row>
    <row r="17" spans="1:20" ht="60" x14ac:dyDescent="0.25">
      <c r="A17" s="1" t="s">
        <v>44</v>
      </c>
      <c r="B17" s="1" t="s">
        <v>45</v>
      </c>
      <c r="C17" s="1" t="s">
        <v>43</v>
      </c>
      <c r="D17" s="2">
        <v>383</v>
      </c>
      <c r="E17" s="1" t="s">
        <v>74</v>
      </c>
      <c r="F17" s="3" t="s">
        <v>196</v>
      </c>
      <c r="G17" s="1" t="s">
        <v>0</v>
      </c>
      <c r="H17" s="3" t="s">
        <v>197</v>
      </c>
      <c r="I17" s="4">
        <v>46153.429398148146</v>
      </c>
      <c r="J17" s="4">
        <v>46153.425706018519</v>
      </c>
      <c r="K17" s="1" t="s">
        <v>32</v>
      </c>
      <c r="L17" s="1" t="s">
        <v>36</v>
      </c>
      <c r="M17" s="1" t="s">
        <v>26</v>
      </c>
      <c r="N17" s="1" t="s">
        <v>0</v>
      </c>
      <c r="O17" s="4">
        <v>46153.425706018519</v>
      </c>
      <c r="P17" s="1" t="s">
        <v>112</v>
      </c>
      <c r="Q17" s="1" t="s">
        <v>4</v>
      </c>
      <c r="R17" s="1" t="s">
        <v>3</v>
      </c>
      <c r="S17" s="10" t="str">
        <f>CONCATENATE(YEAR(Tabla1[[#This Row],[Fecha registro]]),"-",MONTH(Tabla1[[#This Row],[Fecha registro]]))</f>
        <v>2026-5</v>
      </c>
      <c r="T17" s="11">
        <f>(Tabla1[[#This Row],[Fecha cierre]]-Tabla1[[#This Row],[Fecha Apertura]])*24</f>
        <v>8.8611111044883728E-2</v>
      </c>
    </row>
    <row r="18" spans="1:20" ht="120" x14ac:dyDescent="0.25">
      <c r="A18" s="1" t="s">
        <v>10</v>
      </c>
      <c r="B18" s="1" t="s">
        <v>21</v>
      </c>
      <c r="C18" s="1" t="s">
        <v>9</v>
      </c>
      <c r="D18" s="2">
        <v>384</v>
      </c>
      <c r="E18" s="1" t="s">
        <v>74</v>
      </c>
      <c r="F18" s="3" t="s">
        <v>198</v>
      </c>
      <c r="G18" s="1" t="s">
        <v>0</v>
      </c>
      <c r="H18" s="3" t="s">
        <v>199</v>
      </c>
      <c r="I18" s="4">
        <v>46174.56690972222</v>
      </c>
      <c r="J18" s="4">
        <v>46153.515300925923</v>
      </c>
      <c r="K18" s="1" t="s">
        <v>32</v>
      </c>
      <c r="L18" s="1" t="s">
        <v>25</v>
      </c>
      <c r="M18" s="1" t="s">
        <v>26</v>
      </c>
      <c r="N18" s="1" t="s">
        <v>0</v>
      </c>
      <c r="O18" s="4">
        <v>46153.515300925923</v>
      </c>
      <c r="P18" s="1" t="s">
        <v>112</v>
      </c>
      <c r="Q18" s="1" t="s">
        <v>4</v>
      </c>
      <c r="R18" s="1" t="s">
        <v>3</v>
      </c>
      <c r="S18" s="10" t="str">
        <f>CONCATENATE(YEAR(Tabla1[[#This Row],[Fecha registro]]),"-",MONTH(Tabla1[[#This Row],[Fecha registro]]))</f>
        <v>2026-5</v>
      </c>
      <c r="T18" s="11">
        <f>(Tabla1[[#This Row],[Fecha cierre]]-Tabla1[[#This Row],[Fecha Apertura]])*24</f>
        <v>505.23861111112637</v>
      </c>
    </row>
    <row r="19" spans="1:20" ht="409.5" x14ac:dyDescent="0.25">
      <c r="A19" s="1" t="s">
        <v>41</v>
      </c>
      <c r="B19" s="1" t="s">
        <v>42</v>
      </c>
      <c r="C19" s="1" t="s">
        <v>114</v>
      </c>
      <c r="D19" s="2">
        <v>385</v>
      </c>
      <c r="E19" s="1" t="s">
        <v>46</v>
      </c>
      <c r="F19" s="3" t="s">
        <v>200</v>
      </c>
      <c r="G19" s="1" t="s">
        <v>95</v>
      </c>
      <c r="H19" s="3" t="s">
        <v>201</v>
      </c>
      <c r="I19" s="4">
        <v>46155.348993055559</v>
      </c>
      <c r="J19" s="4">
        <v>46154.365659722222</v>
      </c>
      <c r="K19" s="1" t="s">
        <v>32</v>
      </c>
      <c r="L19" s="1" t="s">
        <v>36</v>
      </c>
      <c r="M19" s="1" t="s">
        <v>26</v>
      </c>
      <c r="N19" s="1"/>
      <c r="O19" s="4">
        <v>46154.365659722222</v>
      </c>
      <c r="P19" s="1" t="s">
        <v>49</v>
      </c>
      <c r="Q19" s="1" t="s">
        <v>4</v>
      </c>
      <c r="R19" s="1" t="s">
        <v>3</v>
      </c>
      <c r="S19" s="10" t="str">
        <f>CONCATENATE(YEAR(Tabla1[[#This Row],[Fecha registro]]),"-",MONTH(Tabla1[[#This Row],[Fecha registro]]))</f>
        <v>2026-5</v>
      </c>
      <c r="T19" s="11">
        <f>(Tabla1[[#This Row],[Fecha cierre]]-Tabla1[[#This Row],[Fecha Apertura]])*24</f>
        <v>23.600000000093132</v>
      </c>
    </row>
    <row r="20" spans="1:20" ht="300" x14ac:dyDescent="0.25">
      <c r="A20" s="1" t="s">
        <v>58</v>
      </c>
      <c r="B20" s="1" t="s">
        <v>59</v>
      </c>
      <c r="C20" s="1" t="s">
        <v>55</v>
      </c>
      <c r="D20" s="2">
        <v>386</v>
      </c>
      <c r="E20" s="1"/>
      <c r="F20" s="3" t="s">
        <v>202</v>
      </c>
      <c r="G20" s="1" t="s">
        <v>63</v>
      </c>
      <c r="H20" s="3"/>
      <c r="I20" s="4">
        <v>46154.659699074073</v>
      </c>
      <c r="J20" s="4">
        <v>46154.416944444441</v>
      </c>
      <c r="K20" s="1" t="s">
        <v>32</v>
      </c>
      <c r="L20" s="1" t="s">
        <v>25</v>
      </c>
      <c r="M20" s="1" t="s">
        <v>39</v>
      </c>
      <c r="N20" s="1"/>
      <c r="O20" s="4">
        <v>46154.416944444441</v>
      </c>
      <c r="P20" s="1" t="s">
        <v>49</v>
      </c>
      <c r="Q20" s="1" t="s">
        <v>4</v>
      </c>
      <c r="R20" s="1" t="s">
        <v>3</v>
      </c>
      <c r="S20" s="10" t="str">
        <f>CONCATENATE(YEAR(Tabla1[[#This Row],[Fecha registro]]),"-",MONTH(Tabla1[[#This Row],[Fecha registro]]))</f>
        <v>2026-5</v>
      </c>
      <c r="T20" s="11">
        <f>(Tabla1[[#This Row],[Fecha cierre]]-Tabla1[[#This Row],[Fecha Apertura]])*24</f>
        <v>5.8261111111496575</v>
      </c>
    </row>
    <row r="21" spans="1:20" ht="30" x14ac:dyDescent="0.25">
      <c r="A21" s="1" t="s">
        <v>1</v>
      </c>
      <c r="B21" s="1" t="s">
        <v>2</v>
      </c>
      <c r="C21" s="1" t="s">
        <v>13</v>
      </c>
      <c r="D21" s="2">
        <v>387</v>
      </c>
      <c r="E21" s="1"/>
      <c r="F21" s="3" t="s">
        <v>203</v>
      </c>
      <c r="G21" s="1" t="s">
        <v>23</v>
      </c>
      <c r="H21" s="3"/>
      <c r="I21" s="4">
        <v>46155.449120370373</v>
      </c>
      <c r="J21" s="4">
        <v>46155.400358796294</v>
      </c>
      <c r="K21" s="1" t="s">
        <v>32</v>
      </c>
      <c r="L21" s="1" t="s">
        <v>36</v>
      </c>
      <c r="M21" s="1" t="s">
        <v>39</v>
      </c>
      <c r="N21" s="1" t="s">
        <v>122</v>
      </c>
      <c r="O21" s="4">
        <v>46155.400358796294</v>
      </c>
      <c r="P21" s="1" t="s">
        <v>49</v>
      </c>
      <c r="Q21" s="1" t="s">
        <v>4</v>
      </c>
      <c r="R21" s="1" t="s">
        <v>3</v>
      </c>
      <c r="S21" s="10" t="str">
        <f>CONCATENATE(YEAR(Tabla1[[#This Row],[Fecha registro]]),"-",MONTH(Tabla1[[#This Row],[Fecha registro]]))</f>
        <v>2026-5</v>
      </c>
      <c r="T21" s="11">
        <f>(Tabla1[[#This Row],[Fecha cierre]]-Tabla1[[#This Row],[Fecha Apertura]])*24</f>
        <v>1.1702777778846212</v>
      </c>
    </row>
    <row r="22" spans="1:20" ht="409.5" x14ac:dyDescent="0.25">
      <c r="A22" s="1" t="s">
        <v>16</v>
      </c>
      <c r="B22" s="1" t="s">
        <v>17</v>
      </c>
      <c r="C22" s="1" t="s">
        <v>99</v>
      </c>
      <c r="D22" s="2">
        <v>390</v>
      </c>
      <c r="E22" s="1" t="s">
        <v>46</v>
      </c>
      <c r="F22" s="3" t="s">
        <v>204</v>
      </c>
      <c r="G22" s="1" t="s">
        <v>63</v>
      </c>
      <c r="H22" s="3" t="s">
        <v>205</v>
      </c>
      <c r="I22" s="4">
        <v>46156.373541666668</v>
      </c>
      <c r="J22" s="4">
        <v>46155.45076388889</v>
      </c>
      <c r="K22" s="1" t="s">
        <v>32</v>
      </c>
      <c r="L22" s="1" t="s">
        <v>33</v>
      </c>
      <c r="M22" s="1" t="s">
        <v>26</v>
      </c>
      <c r="N22" s="1"/>
      <c r="O22" s="4">
        <v>46155.45076388889</v>
      </c>
      <c r="P22" s="1" t="s">
        <v>47</v>
      </c>
      <c r="Q22" s="1" t="s">
        <v>4</v>
      </c>
      <c r="R22" s="1" t="s">
        <v>3</v>
      </c>
      <c r="S22" s="10" t="str">
        <f>CONCATENATE(YEAR(Tabla1[[#This Row],[Fecha registro]]),"-",MONTH(Tabla1[[#This Row],[Fecha registro]]))</f>
        <v>2026-5</v>
      </c>
      <c r="T22" s="11">
        <f>(Tabla1[[#This Row],[Fecha cierre]]-Tabla1[[#This Row],[Fecha Apertura]])*24</f>
        <v>22.146666666667443</v>
      </c>
    </row>
    <row r="23" spans="1:20" ht="409.5" x14ac:dyDescent="0.25">
      <c r="A23" s="1" t="s">
        <v>41</v>
      </c>
      <c r="B23" s="1" t="s">
        <v>42</v>
      </c>
      <c r="C23" s="1" t="s">
        <v>114</v>
      </c>
      <c r="D23" s="2">
        <v>391</v>
      </c>
      <c r="E23" s="1" t="s">
        <v>46</v>
      </c>
      <c r="F23" s="3" t="s">
        <v>206</v>
      </c>
      <c r="G23" s="1" t="s">
        <v>63</v>
      </c>
      <c r="H23" s="3" t="s">
        <v>207</v>
      </c>
      <c r="I23" s="4">
        <v>46156.377615740741</v>
      </c>
      <c r="J23" s="4">
        <v>46156.373854166668</v>
      </c>
      <c r="K23" s="1" t="s">
        <v>32</v>
      </c>
      <c r="L23" s="1" t="s">
        <v>36</v>
      </c>
      <c r="M23" s="1" t="s">
        <v>26</v>
      </c>
      <c r="N23" s="1"/>
      <c r="O23" s="4">
        <v>46156.373854166668</v>
      </c>
      <c r="P23" s="1" t="s">
        <v>49</v>
      </c>
      <c r="Q23" s="1" t="s">
        <v>4</v>
      </c>
      <c r="R23" s="1" t="s">
        <v>3</v>
      </c>
      <c r="S23" s="10" t="str">
        <f>CONCATENATE(YEAR(Tabla1[[#This Row],[Fecha registro]]),"-",MONTH(Tabla1[[#This Row],[Fecha registro]]))</f>
        <v>2026-5</v>
      </c>
      <c r="T23" s="11">
        <f>(Tabla1[[#This Row],[Fecha cierre]]-Tabla1[[#This Row],[Fecha Apertura]])*24</f>
        <v>9.0277777751907706E-2</v>
      </c>
    </row>
    <row r="24" spans="1:20" ht="120" x14ac:dyDescent="0.25">
      <c r="A24" s="1" t="s">
        <v>44</v>
      </c>
      <c r="B24" s="1" t="s">
        <v>45</v>
      </c>
      <c r="C24" s="1" t="s">
        <v>43</v>
      </c>
      <c r="D24" s="2">
        <v>392</v>
      </c>
      <c r="E24" s="1" t="s">
        <v>74</v>
      </c>
      <c r="F24" s="3" t="s">
        <v>208</v>
      </c>
      <c r="G24" s="1" t="s">
        <v>0</v>
      </c>
      <c r="H24" s="3" t="s">
        <v>209</v>
      </c>
      <c r="I24" s="4">
        <v>46156.584988425922</v>
      </c>
      <c r="J24" s="4">
        <v>46156.505150462966</v>
      </c>
      <c r="K24" s="1" t="s">
        <v>32</v>
      </c>
      <c r="L24" s="1" t="s">
        <v>25</v>
      </c>
      <c r="M24" s="1" t="s">
        <v>39</v>
      </c>
      <c r="N24" s="1" t="s">
        <v>0</v>
      </c>
      <c r="O24" s="4">
        <v>46156.505150462966</v>
      </c>
      <c r="P24" s="1"/>
      <c r="Q24" s="1" t="s">
        <v>4</v>
      </c>
      <c r="R24" s="1" t="s">
        <v>3</v>
      </c>
      <c r="S24" s="10" t="str">
        <f>CONCATENATE(YEAR(Tabla1[[#This Row],[Fecha registro]]),"-",MONTH(Tabla1[[#This Row],[Fecha registro]]))</f>
        <v>2026-5</v>
      </c>
      <c r="T24" s="11">
        <f>(Tabla1[[#This Row],[Fecha cierre]]-Tabla1[[#This Row],[Fecha Apertura]])*24</f>
        <v>1.9161111109424382</v>
      </c>
    </row>
    <row r="25" spans="1:20" ht="30" x14ac:dyDescent="0.25">
      <c r="A25" s="1" t="s">
        <v>14</v>
      </c>
      <c r="B25" s="1" t="s">
        <v>15</v>
      </c>
      <c r="C25" s="1" t="s">
        <v>13</v>
      </c>
      <c r="D25" s="2">
        <v>398</v>
      </c>
      <c r="E25" s="1" t="s">
        <v>74</v>
      </c>
      <c r="F25" s="3" t="s">
        <v>210</v>
      </c>
      <c r="G25" s="1" t="s">
        <v>23</v>
      </c>
      <c r="H25" s="3" t="s">
        <v>211</v>
      </c>
      <c r="I25" s="4">
        <v>46163.490914351853</v>
      </c>
      <c r="J25" s="4">
        <v>46162.643148148149</v>
      </c>
      <c r="K25" s="1" t="s">
        <v>24</v>
      </c>
      <c r="L25" s="1" t="s">
        <v>36</v>
      </c>
      <c r="M25" s="1" t="s">
        <v>39</v>
      </c>
      <c r="N25" s="1" t="s">
        <v>122</v>
      </c>
      <c r="O25" s="4">
        <v>46162.643148148149</v>
      </c>
      <c r="P25" s="1" t="s">
        <v>49</v>
      </c>
      <c r="Q25" s="1" t="s">
        <v>4</v>
      </c>
      <c r="R25" s="1" t="s">
        <v>3</v>
      </c>
      <c r="S25" s="10" t="str">
        <f>CONCATENATE(YEAR(Tabla1[[#This Row],[Fecha registro]]),"-",MONTH(Tabla1[[#This Row],[Fecha registro]]))</f>
        <v>2026-5</v>
      </c>
      <c r="T25" s="11">
        <f>(Tabla1[[#This Row],[Fecha cierre]]-Tabla1[[#This Row],[Fecha Apertura]])*24</f>
        <v>20.34638888889458</v>
      </c>
    </row>
    <row r="26" spans="1:20" ht="409.5" x14ac:dyDescent="0.25">
      <c r="A26" s="1" t="s">
        <v>44</v>
      </c>
      <c r="B26" s="1" t="s">
        <v>45</v>
      </c>
      <c r="C26" s="1" t="s">
        <v>43</v>
      </c>
      <c r="D26" s="2">
        <v>408</v>
      </c>
      <c r="E26" s="1" t="s">
        <v>74</v>
      </c>
      <c r="F26" s="3" t="s">
        <v>212</v>
      </c>
      <c r="G26" s="1" t="s">
        <v>213</v>
      </c>
      <c r="H26" s="3" t="s">
        <v>214</v>
      </c>
      <c r="I26" s="4">
        <v>46168.633275462962</v>
      </c>
      <c r="J26" s="4">
        <v>46168.352060185185</v>
      </c>
      <c r="K26" s="1" t="s">
        <v>32</v>
      </c>
      <c r="L26" s="1" t="s">
        <v>33</v>
      </c>
      <c r="M26" s="1" t="s">
        <v>26</v>
      </c>
      <c r="N26" s="1"/>
      <c r="O26" s="4">
        <v>46168.352060185185</v>
      </c>
      <c r="P26" s="1" t="s">
        <v>49</v>
      </c>
      <c r="Q26" s="1" t="s">
        <v>4</v>
      </c>
      <c r="R26" s="1" t="s">
        <v>3</v>
      </c>
      <c r="S26" s="10" t="str">
        <f>CONCATENATE(YEAR(Tabla1[[#This Row],[Fecha registro]]),"-",MONTH(Tabla1[[#This Row],[Fecha registro]]))</f>
        <v>2026-5</v>
      </c>
      <c r="T26" s="11">
        <f>(Tabla1[[#This Row],[Fecha cierre]]-Tabla1[[#This Row],[Fecha Apertura]])*24</f>
        <v>6.749166666646488</v>
      </c>
    </row>
    <row r="27" spans="1:20" ht="150" x14ac:dyDescent="0.25">
      <c r="A27" s="1" t="s">
        <v>41</v>
      </c>
      <c r="B27" s="1" t="s">
        <v>42</v>
      </c>
      <c r="C27" s="1" t="s">
        <v>114</v>
      </c>
      <c r="D27" s="2">
        <v>409</v>
      </c>
      <c r="E27" s="1" t="s">
        <v>46</v>
      </c>
      <c r="F27" s="3" t="s">
        <v>215</v>
      </c>
      <c r="G27" s="1" t="s">
        <v>50</v>
      </c>
      <c r="H27" s="3" t="s">
        <v>216</v>
      </c>
      <c r="I27" s="4">
        <v>46168.491990740738</v>
      </c>
      <c r="J27" s="4">
        <v>46168.396203703705</v>
      </c>
      <c r="K27" s="1" t="s">
        <v>32</v>
      </c>
      <c r="L27" s="1" t="s">
        <v>36</v>
      </c>
      <c r="M27" s="1" t="s">
        <v>26</v>
      </c>
      <c r="N27" s="1"/>
      <c r="O27" s="4">
        <v>46168.396203703705</v>
      </c>
      <c r="P27" s="1" t="s">
        <v>47</v>
      </c>
      <c r="Q27" s="1" t="s">
        <v>4</v>
      </c>
      <c r="R27" s="1" t="s">
        <v>3</v>
      </c>
      <c r="S27" s="10" t="str">
        <f>CONCATENATE(YEAR(Tabla1[[#This Row],[Fecha registro]]),"-",MONTH(Tabla1[[#This Row],[Fecha registro]]))</f>
        <v>2026-5</v>
      </c>
      <c r="T27" s="11">
        <f>(Tabla1[[#This Row],[Fecha cierre]]-Tabla1[[#This Row],[Fecha Apertura]])*24</f>
        <v>2.2988888887921348</v>
      </c>
    </row>
    <row r="28" spans="1:20" ht="75" x14ac:dyDescent="0.25">
      <c r="A28" s="1" t="s">
        <v>16</v>
      </c>
      <c r="B28" s="1" t="s">
        <v>17</v>
      </c>
      <c r="C28" s="1" t="s">
        <v>99</v>
      </c>
      <c r="D28" s="2">
        <v>410</v>
      </c>
      <c r="E28" s="1" t="s">
        <v>74</v>
      </c>
      <c r="F28" s="3" t="s">
        <v>217</v>
      </c>
      <c r="G28" s="1" t="s">
        <v>0</v>
      </c>
      <c r="H28" s="3" t="s">
        <v>218</v>
      </c>
      <c r="I28" s="4">
        <v>46168.630532407406</v>
      </c>
      <c r="J28" s="4">
        <v>46168.624479166669</v>
      </c>
      <c r="K28" s="1" t="s">
        <v>32</v>
      </c>
      <c r="L28" s="1" t="s">
        <v>33</v>
      </c>
      <c r="M28" s="1" t="s">
        <v>26</v>
      </c>
      <c r="N28" s="1" t="s">
        <v>0</v>
      </c>
      <c r="O28" s="4">
        <v>46168.624479166669</v>
      </c>
      <c r="P28" s="1" t="s">
        <v>112</v>
      </c>
      <c r="Q28" s="1" t="s">
        <v>4</v>
      </c>
      <c r="R28" s="1" t="s">
        <v>3</v>
      </c>
      <c r="S28" s="10" t="str">
        <f>CONCATENATE(YEAR(Tabla1[[#This Row],[Fecha registro]]),"-",MONTH(Tabla1[[#This Row],[Fecha registro]]))</f>
        <v>2026-5</v>
      </c>
      <c r="T28" s="11">
        <f>(Tabla1[[#This Row],[Fecha cierre]]-Tabla1[[#This Row],[Fecha Apertura]])*24</f>
        <v>0.14527777768671513</v>
      </c>
    </row>
    <row r="29" spans="1:20" ht="330" x14ac:dyDescent="0.25">
      <c r="A29" s="1" t="s">
        <v>41</v>
      </c>
      <c r="B29" s="1" t="s">
        <v>42</v>
      </c>
      <c r="C29" s="1" t="s">
        <v>114</v>
      </c>
      <c r="D29" s="2">
        <v>411</v>
      </c>
      <c r="E29" s="1" t="s">
        <v>46</v>
      </c>
      <c r="F29" s="3" t="s">
        <v>219</v>
      </c>
      <c r="G29" s="1" t="s">
        <v>50</v>
      </c>
      <c r="H29" s="3" t="s">
        <v>220</v>
      </c>
      <c r="I29" s="4">
        <v>46169.655648148146</v>
      </c>
      <c r="J29" s="4">
        <v>46169.47216435185</v>
      </c>
      <c r="K29" s="1" t="s">
        <v>32</v>
      </c>
      <c r="L29" s="1" t="s">
        <v>36</v>
      </c>
      <c r="M29" s="1" t="s">
        <v>26</v>
      </c>
      <c r="N29" s="1"/>
      <c r="O29" s="4">
        <v>46169.47216435185</v>
      </c>
      <c r="P29" s="1" t="s">
        <v>47</v>
      </c>
      <c r="Q29" s="1" t="s">
        <v>4</v>
      </c>
      <c r="R29" s="1" t="s">
        <v>3</v>
      </c>
      <c r="S29" s="10" t="str">
        <f>CONCATENATE(YEAR(Tabla1[[#This Row],[Fecha registro]]),"-",MONTH(Tabla1[[#This Row],[Fecha registro]]))</f>
        <v>2026-5</v>
      </c>
      <c r="T29" s="11">
        <f>(Tabla1[[#This Row],[Fecha cierre]]-Tabla1[[#This Row],[Fecha Apertura]])*24</f>
        <v>4.4036111111054197</v>
      </c>
    </row>
    <row r="30" spans="1:20" ht="409.5" x14ac:dyDescent="0.25">
      <c r="A30" s="1" t="s">
        <v>41</v>
      </c>
      <c r="B30" s="1" t="s">
        <v>42</v>
      </c>
      <c r="C30" s="1" t="s">
        <v>114</v>
      </c>
      <c r="D30" s="2">
        <v>412</v>
      </c>
      <c r="E30" s="1" t="s">
        <v>46</v>
      </c>
      <c r="F30" s="3" t="s">
        <v>221</v>
      </c>
      <c r="G30" s="1" t="s">
        <v>50</v>
      </c>
      <c r="H30" s="3" t="s">
        <v>222</v>
      </c>
      <c r="I30" s="4">
        <v>46169.661666666667</v>
      </c>
      <c r="J30" s="4">
        <v>46169.483078703706</v>
      </c>
      <c r="K30" s="1" t="s">
        <v>32</v>
      </c>
      <c r="L30" s="1" t="s">
        <v>36</v>
      </c>
      <c r="M30" s="1" t="s">
        <v>26</v>
      </c>
      <c r="N30" s="1"/>
      <c r="O30" s="4">
        <v>46169.483078703706</v>
      </c>
      <c r="P30" s="1" t="s">
        <v>47</v>
      </c>
      <c r="Q30" s="1" t="s">
        <v>4</v>
      </c>
      <c r="R30" s="1" t="s">
        <v>3</v>
      </c>
      <c r="S30" s="10" t="str">
        <f>CONCATENATE(YEAR(Tabla1[[#This Row],[Fecha registro]]),"-",MONTH(Tabla1[[#This Row],[Fecha registro]]))</f>
        <v>2026-5</v>
      </c>
      <c r="T30" s="11">
        <f>(Tabla1[[#This Row],[Fecha cierre]]-Tabla1[[#This Row],[Fecha Apertura]])*24</f>
        <v>4.286111111054197</v>
      </c>
    </row>
    <row r="31" spans="1:20" ht="409.5" x14ac:dyDescent="0.25">
      <c r="A31" s="1" t="s">
        <v>1</v>
      </c>
      <c r="B31" s="1" t="s">
        <v>2</v>
      </c>
      <c r="C31" s="1" t="s">
        <v>13</v>
      </c>
      <c r="D31" s="2">
        <v>413</v>
      </c>
      <c r="E31" s="1" t="s">
        <v>46</v>
      </c>
      <c r="F31" s="3" t="s">
        <v>223</v>
      </c>
      <c r="G31" s="1" t="s">
        <v>50</v>
      </c>
      <c r="H31" s="3" t="s">
        <v>224</v>
      </c>
      <c r="I31" s="4">
        <v>46169.668310185189</v>
      </c>
      <c r="J31" s="4">
        <v>46169.645474537036</v>
      </c>
      <c r="K31" s="1" t="s">
        <v>32</v>
      </c>
      <c r="L31" s="1" t="s">
        <v>36</v>
      </c>
      <c r="M31" s="1" t="s">
        <v>39</v>
      </c>
      <c r="N31" s="1"/>
      <c r="O31" s="4">
        <v>46169.645474537036</v>
      </c>
      <c r="P31" s="1" t="s">
        <v>106</v>
      </c>
      <c r="Q31" s="1" t="s">
        <v>4</v>
      </c>
      <c r="R31" s="1" t="s">
        <v>3</v>
      </c>
      <c r="S31" s="10" t="str">
        <f>CONCATENATE(YEAR(Tabla1[[#This Row],[Fecha registro]]),"-",MONTH(Tabla1[[#This Row],[Fecha registro]]))</f>
        <v>2026-5</v>
      </c>
      <c r="T31" s="11">
        <f>(Tabla1[[#This Row],[Fecha cierre]]-Tabla1[[#This Row],[Fecha Apertura]])*24</f>
        <v>0.54805555567145348</v>
      </c>
    </row>
    <row r="32" spans="1:20" ht="409.5" x14ac:dyDescent="0.25">
      <c r="A32" s="1" t="s">
        <v>1</v>
      </c>
      <c r="B32" s="1" t="s">
        <v>2</v>
      </c>
      <c r="C32" s="1" t="s">
        <v>13</v>
      </c>
      <c r="D32" s="2">
        <v>414</v>
      </c>
      <c r="E32" s="1" t="s">
        <v>46</v>
      </c>
      <c r="F32" s="3" t="s">
        <v>225</v>
      </c>
      <c r="G32" s="1" t="s">
        <v>50</v>
      </c>
      <c r="H32" s="3" t="s">
        <v>226</v>
      </c>
      <c r="I32" s="4">
        <v>46169.671666666669</v>
      </c>
      <c r="J32" s="4">
        <v>46169.647152777776</v>
      </c>
      <c r="K32" s="1" t="s">
        <v>32</v>
      </c>
      <c r="L32" s="1" t="s">
        <v>36</v>
      </c>
      <c r="M32" s="1" t="s">
        <v>26</v>
      </c>
      <c r="N32" s="1"/>
      <c r="O32" s="4">
        <v>46169.647152777776</v>
      </c>
      <c r="P32" s="1" t="s">
        <v>106</v>
      </c>
      <c r="Q32" s="1" t="s">
        <v>4</v>
      </c>
      <c r="R32" s="1" t="s">
        <v>3</v>
      </c>
      <c r="S32" s="10" t="str">
        <f>CONCATENATE(YEAR(Tabla1[[#This Row],[Fecha registro]]),"-",MONTH(Tabla1[[#This Row],[Fecha registro]]))</f>
        <v>2026-5</v>
      </c>
      <c r="T32" s="11">
        <f>(Tabla1[[#This Row],[Fecha cierre]]-Tabla1[[#This Row],[Fecha Apertura]])*24</f>
        <v>0.58833333343500271</v>
      </c>
    </row>
    <row r="33" spans="1:20" ht="409.5" x14ac:dyDescent="0.25">
      <c r="A33" s="1" t="s">
        <v>1</v>
      </c>
      <c r="B33" s="1" t="s">
        <v>2</v>
      </c>
      <c r="C33" s="1" t="s">
        <v>13</v>
      </c>
      <c r="D33" s="2">
        <v>415</v>
      </c>
      <c r="E33" s="1" t="s">
        <v>46</v>
      </c>
      <c r="F33" s="3" t="s">
        <v>227</v>
      </c>
      <c r="G33" s="1" t="s">
        <v>50</v>
      </c>
      <c r="H33" s="3" t="s">
        <v>228</v>
      </c>
      <c r="I33" s="4">
        <v>46169.67491898148</v>
      </c>
      <c r="J33" s="4">
        <v>46169.649085648147</v>
      </c>
      <c r="K33" s="1" t="s">
        <v>32</v>
      </c>
      <c r="L33" s="1" t="s">
        <v>36</v>
      </c>
      <c r="M33" s="1" t="s">
        <v>26</v>
      </c>
      <c r="N33" s="1"/>
      <c r="O33" s="4">
        <v>46169.649085648147</v>
      </c>
      <c r="P33" s="1" t="s">
        <v>106</v>
      </c>
      <c r="Q33" s="1" t="s">
        <v>4</v>
      </c>
      <c r="R33" s="1" t="s">
        <v>3</v>
      </c>
      <c r="S33" s="10" t="str">
        <f>CONCATENATE(YEAR(Tabla1[[#This Row],[Fecha registro]]),"-",MONTH(Tabla1[[#This Row],[Fecha registro]]))</f>
        <v>2026-5</v>
      </c>
      <c r="T33" s="11">
        <f>(Tabla1[[#This Row],[Fecha cierre]]-Tabla1[[#This Row],[Fecha Apertura]])*24</f>
        <v>0.61999999999534339</v>
      </c>
    </row>
    <row r="34" spans="1:20" ht="409.5" x14ac:dyDescent="0.25">
      <c r="A34" s="1" t="s">
        <v>41</v>
      </c>
      <c r="B34" s="1" t="s">
        <v>42</v>
      </c>
      <c r="C34" s="1" t="s">
        <v>114</v>
      </c>
      <c r="D34" s="2">
        <v>416</v>
      </c>
      <c r="E34" s="1" t="s">
        <v>46</v>
      </c>
      <c r="F34" s="3" t="s">
        <v>229</v>
      </c>
      <c r="G34" s="1" t="s">
        <v>0</v>
      </c>
      <c r="H34" s="3" t="s">
        <v>230</v>
      </c>
      <c r="I34" s="4">
        <v>46170.673020833332</v>
      </c>
      <c r="J34" s="4">
        <v>46170.410243055558</v>
      </c>
      <c r="K34" s="1" t="s">
        <v>32</v>
      </c>
      <c r="L34" s="1" t="s">
        <v>36</v>
      </c>
      <c r="M34" s="1" t="s">
        <v>39</v>
      </c>
      <c r="N34" s="1" t="s">
        <v>0</v>
      </c>
      <c r="O34" s="4">
        <v>46170.410243055558</v>
      </c>
      <c r="P34" s="1" t="s">
        <v>49</v>
      </c>
      <c r="Q34" s="1" t="s">
        <v>4</v>
      </c>
      <c r="R34" s="1" t="s">
        <v>3</v>
      </c>
      <c r="S34" s="10" t="str">
        <f>CONCATENATE(YEAR(Tabla1[[#This Row],[Fecha registro]]),"-",MONTH(Tabla1[[#This Row],[Fecha registro]]))</f>
        <v>2026-5</v>
      </c>
      <c r="T34" s="11">
        <f>(Tabla1[[#This Row],[Fecha cierre]]-Tabla1[[#This Row],[Fecha Apertura]])*24</f>
        <v>6.3066666665836237</v>
      </c>
    </row>
    <row r="35" spans="1:20" ht="120" x14ac:dyDescent="0.25">
      <c r="A35" s="1" t="s">
        <v>16</v>
      </c>
      <c r="B35" s="1" t="s">
        <v>17</v>
      </c>
      <c r="C35" s="1" t="s">
        <v>99</v>
      </c>
      <c r="D35" s="2">
        <v>417</v>
      </c>
      <c r="E35" s="1" t="s">
        <v>46</v>
      </c>
      <c r="F35" s="3" t="s">
        <v>231</v>
      </c>
      <c r="G35" s="1" t="s">
        <v>0</v>
      </c>
      <c r="H35" s="3" t="s">
        <v>232</v>
      </c>
      <c r="I35" s="4">
        <v>46174.56591435185</v>
      </c>
      <c r="J35" s="4">
        <v>46171.488402777781</v>
      </c>
      <c r="K35" s="1" t="s">
        <v>32</v>
      </c>
      <c r="L35" s="1" t="s">
        <v>33</v>
      </c>
      <c r="M35" s="1" t="s">
        <v>26</v>
      </c>
      <c r="N35" s="1" t="s">
        <v>0</v>
      </c>
      <c r="O35" s="4">
        <v>46171.488402777781</v>
      </c>
      <c r="P35" s="1" t="s">
        <v>47</v>
      </c>
      <c r="Q35" s="1" t="s">
        <v>4</v>
      </c>
      <c r="R35" s="1" t="s">
        <v>3</v>
      </c>
      <c r="S35" s="10" t="str">
        <f>CONCATENATE(YEAR(Tabla1[[#This Row],[Fecha registro]]),"-",MONTH(Tabla1[[#This Row],[Fecha registro]]))</f>
        <v>2026-5</v>
      </c>
      <c r="T35" s="11">
        <f>(Tabla1[[#This Row],[Fecha cierre]]-Tabla1[[#This Row],[Fecha Apertura]])*24</f>
        <v>73.860277777654119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DF33E-0579-46E1-9088-2C8362166B84}">
  <dimension ref="A1:K10"/>
  <sheetViews>
    <sheetView workbookViewId="0">
      <selection activeCell="B5" sqref="B5:D8"/>
    </sheetView>
  </sheetViews>
  <sheetFormatPr baseColWidth="10" defaultRowHeight="15" x14ac:dyDescent="0.25"/>
  <cols>
    <col min="1" max="1" width="20.28515625" bestFit="1" customWidth="1"/>
    <col min="2" max="2" width="22.85546875" bestFit="1" customWidth="1"/>
    <col min="3" max="3" width="9.140625" bestFit="1" customWidth="1"/>
    <col min="4" max="4" width="12.5703125" bestFit="1" customWidth="1"/>
    <col min="5" max="5" width="9.140625" bestFit="1" customWidth="1"/>
    <col min="6" max="6" width="20.28515625" bestFit="1" customWidth="1"/>
    <col min="7" max="7" width="22.85546875" bestFit="1" customWidth="1"/>
    <col min="8" max="8" width="9.28515625" bestFit="1" customWidth="1"/>
    <col min="9" max="9" width="10.7109375" bestFit="1" customWidth="1"/>
    <col min="10" max="10" width="11.28515625" bestFit="1" customWidth="1"/>
    <col min="11" max="11" width="12.5703125" bestFit="1" customWidth="1"/>
    <col min="12" max="12" width="11.28515625" bestFit="1" customWidth="1"/>
    <col min="13" max="13" width="12.5703125" bestFit="1" customWidth="1"/>
    <col min="14" max="14" width="11" bestFit="1" customWidth="1"/>
    <col min="15" max="15" width="10.7109375" bestFit="1" customWidth="1"/>
    <col min="16" max="16" width="11.28515625" bestFit="1" customWidth="1"/>
    <col min="17" max="17" width="12.5703125" bestFit="1" customWidth="1"/>
  </cols>
  <sheetData>
    <row r="1" spans="1:11" x14ac:dyDescent="0.25">
      <c r="F1" s="8" t="s">
        <v>237</v>
      </c>
      <c r="G1" t="s">
        <v>74</v>
      </c>
    </row>
    <row r="3" spans="1:11" x14ac:dyDescent="0.25">
      <c r="A3" s="8" t="s">
        <v>260</v>
      </c>
      <c r="B3" s="8" t="s">
        <v>252</v>
      </c>
      <c r="F3" s="8" t="s">
        <v>257</v>
      </c>
      <c r="G3" s="8" t="s">
        <v>252</v>
      </c>
    </row>
    <row r="4" spans="1:11" x14ac:dyDescent="0.25">
      <c r="A4" s="8" t="s">
        <v>250</v>
      </c>
      <c r="B4" t="s">
        <v>23</v>
      </c>
      <c r="C4" t="s">
        <v>0</v>
      </c>
      <c r="D4" t="s">
        <v>251</v>
      </c>
      <c r="G4" t="s">
        <v>32</v>
      </c>
      <c r="H4" t="s">
        <v>255</v>
      </c>
      <c r="I4" t="s">
        <v>24</v>
      </c>
      <c r="J4" t="s">
        <v>256</v>
      </c>
      <c r="K4" t="s">
        <v>251</v>
      </c>
    </row>
    <row r="5" spans="1:11" x14ac:dyDescent="0.25">
      <c r="A5" s="9" t="s">
        <v>55</v>
      </c>
      <c r="B5" s="10"/>
      <c r="C5" s="10">
        <v>3</v>
      </c>
      <c r="D5" s="10">
        <v>3</v>
      </c>
      <c r="F5" s="8" t="s">
        <v>250</v>
      </c>
      <c r="G5" t="s">
        <v>0</v>
      </c>
      <c r="I5" t="s">
        <v>23</v>
      </c>
    </row>
    <row r="6" spans="1:11" x14ac:dyDescent="0.25">
      <c r="A6" s="9" t="s">
        <v>138</v>
      </c>
      <c r="B6" s="10"/>
      <c r="C6" s="10">
        <v>1</v>
      </c>
      <c r="D6" s="10">
        <v>1</v>
      </c>
      <c r="F6" s="9" t="s">
        <v>55</v>
      </c>
      <c r="G6" s="11"/>
      <c r="H6" s="11"/>
      <c r="I6" s="11">
        <v>78.357222222082783</v>
      </c>
      <c r="J6" s="11">
        <v>78.357222222082783</v>
      </c>
      <c r="K6" s="11">
        <v>78.357222222082783</v>
      </c>
    </row>
    <row r="7" spans="1:11" x14ac:dyDescent="0.25">
      <c r="A7" s="9" t="s">
        <v>8</v>
      </c>
      <c r="B7" s="10">
        <v>1</v>
      </c>
      <c r="C7" s="10"/>
      <c r="D7" s="10">
        <v>1</v>
      </c>
      <c r="F7" s="9" t="s">
        <v>99</v>
      </c>
      <c r="G7" s="11">
        <v>0.14527777768671513</v>
      </c>
      <c r="H7" s="11">
        <v>0.14527777768671513</v>
      </c>
      <c r="I7" s="11"/>
      <c r="J7" s="11"/>
      <c r="K7" s="11">
        <v>0.14527777768671513</v>
      </c>
    </row>
    <row r="8" spans="1:11" x14ac:dyDescent="0.25">
      <c r="A8" s="9" t="s">
        <v>251</v>
      </c>
      <c r="B8" s="10">
        <v>1</v>
      </c>
      <c r="C8" s="10">
        <v>4</v>
      </c>
      <c r="D8" s="10">
        <v>5</v>
      </c>
      <c r="F8" s="9" t="s">
        <v>251</v>
      </c>
      <c r="G8" s="11">
        <v>0.14527777768671513</v>
      </c>
      <c r="H8" s="11">
        <v>0.14527777768671513</v>
      </c>
      <c r="I8" s="11">
        <v>78.357222222082783</v>
      </c>
      <c r="J8" s="11">
        <v>78.357222222082783</v>
      </c>
      <c r="K8" s="11">
        <v>78.502499999769498</v>
      </c>
    </row>
    <row r="10" spans="1:11" ht="15.75" x14ac:dyDescent="0.25">
      <c r="A10" s="12" t="s">
        <v>258</v>
      </c>
      <c r="F10" s="13" t="s">
        <v>259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1A69D-78CA-4EB3-8939-4845FA8568AA}">
  <dimension ref="A1:T27"/>
  <sheetViews>
    <sheetView topLeftCell="I4" workbookViewId="0">
      <selection activeCell="I4" sqref="I4"/>
    </sheetView>
  </sheetViews>
  <sheetFormatPr baseColWidth="10" defaultRowHeight="15" x14ac:dyDescent="0.25"/>
  <cols>
    <col min="1" max="1" width="33" bestFit="1" customWidth="1"/>
    <col min="2" max="2" width="32.28515625" bestFit="1" customWidth="1"/>
    <col min="3" max="3" width="25" bestFit="1" customWidth="1"/>
    <col min="4" max="4" width="5" customWidth="1"/>
    <col min="5" max="5" width="7.42578125" bestFit="1" customWidth="1"/>
    <col min="6" max="6" width="38.28515625" bestFit="1" customWidth="1"/>
    <col min="7" max="7" width="23.42578125" bestFit="1" customWidth="1"/>
    <col min="8" max="8" width="255.7109375" bestFit="1" customWidth="1"/>
    <col min="9" max="9" width="15.42578125" bestFit="1" customWidth="1"/>
    <col min="10" max="10" width="16.42578125" customWidth="1"/>
    <col min="11" max="11" width="11.42578125" customWidth="1"/>
    <col min="12" max="12" width="37.5703125" bestFit="1" customWidth="1"/>
    <col min="13" max="13" width="18.28515625" bestFit="1" customWidth="1"/>
    <col min="14" max="14" width="25.85546875" bestFit="1" customWidth="1"/>
    <col min="15" max="15" width="15.5703125" customWidth="1"/>
    <col min="16" max="16" width="19.7109375" bestFit="1" customWidth="1"/>
    <col min="17" max="17" width="11.28515625" customWidth="1"/>
    <col min="18" max="18" width="52.85546875" bestFit="1" customWidth="1"/>
  </cols>
  <sheetData>
    <row r="1" spans="1:20" x14ac:dyDescent="0.25">
      <c r="A1" t="s">
        <v>233</v>
      </c>
      <c r="B1" t="s">
        <v>234</v>
      </c>
      <c r="C1" t="s">
        <v>235</v>
      </c>
      <c r="D1" t="s">
        <v>236</v>
      </c>
      <c r="E1" t="s">
        <v>237</v>
      </c>
      <c r="F1" t="s">
        <v>238</v>
      </c>
      <c r="G1" t="s">
        <v>239</v>
      </c>
      <c r="H1" t="s">
        <v>240</v>
      </c>
      <c r="I1" t="s">
        <v>241</v>
      </c>
      <c r="J1" t="s">
        <v>242</v>
      </c>
      <c r="K1" t="s">
        <v>243</v>
      </c>
      <c r="L1" t="s">
        <v>244</v>
      </c>
      <c r="M1" t="s">
        <v>249</v>
      </c>
      <c r="N1" t="s">
        <v>245</v>
      </c>
      <c r="O1" t="s">
        <v>246</v>
      </c>
      <c r="P1" t="s">
        <v>247</v>
      </c>
      <c r="Q1" t="s">
        <v>4</v>
      </c>
      <c r="R1" t="s">
        <v>248</v>
      </c>
      <c r="S1" s="10" t="s">
        <v>254</v>
      </c>
      <c r="T1" t="s">
        <v>253</v>
      </c>
    </row>
    <row r="2" spans="1:20" ht="120" x14ac:dyDescent="0.25">
      <c r="A2" s="1" t="s">
        <v>58</v>
      </c>
      <c r="B2" s="1" t="s">
        <v>59</v>
      </c>
      <c r="C2" s="1" t="s">
        <v>55</v>
      </c>
      <c r="D2" s="2">
        <v>342</v>
      </c>
      <c r="E2" s="1"/>
      <c r="F2" s="3" t="s">
        <v>113</v>
      </c>
      <c r="G2" s="1" t="s">
        <v>0</v>
      </c>
      <c r="H2" s="3"/>
      <c r="I2" s="4">
        <v>46119.681481481479</v>
      </c>
      <c r="J2" s="4">
        <v>46118.470358796294</v>
      </c>
      <c r="K2" s="1" t="s">
        <v>32</v>
      </c>
      <c r="L2" s="1" t="s">
        <v>33</v>
      </c>
      <c r="M2" s="1" t="s">
        <v>30</v>
      </c>
      <c r="N2" s="1" t="s">
        <v>0</v>
      </c>
      <c r="O2" s="4">
        <v>46118.470358796294</v>
      </c>
      <c r="P2" s="1" t="s">
        <v>49</v>
      </c>
      <c r="Q2" s="1" t="s">
        <v>4</v>
      </c>
      <c r="R2" s="1" t="s">
        <v>3</v>
      </c>
      <c r="S2" s="10" t="str">
        <f>CONCATENATE(YEAR(Tabla2[[#This Row],[Fecha registro]]),"-",MONTH(Tabla2[[#This Row],[Fecha registro]]))</f>
        <v>2026-4</v>
      </c>
      <c r="T2" s="11">
        <f>(Tabla2[[#This Row],[Fecha cierre]]-Tabla2[[#This Row],[Fecha Apertura]])*24</f>
        <v>29.066944444435649</v>
      </c>
    </row>
    <row r="3" spans="1:20" ht="255" x14ac:dyDescent="0.25">
      <c r="A3" s="1" t="s">
        <v>41</v>
      </c>
      <c r="B3" s="1" t="s">
        <v>42</v>
      </c>
      <c r="C3" s="1" t="s">
        <v>114</v>
      </c>
      <c r="D3" s="2">
        <v>343</v>
      </c>
      <c r="E3" s="1" t="s">
        <v>46</v>
      </c>
      <c r="F3" s="3" t="s">
        <v>115</v>
      </c>
      <c r="G3" s="1" t="s">
        <v>95</v>
      </c>
      <c r="H3" s="3" t="s">
        <v>116</v>
      </c>
      <c r="I3" s="4">
        <v>46139.621203703704</v>
      </c>
      <c r="J3" s="4">
        <v>46119.611134259256</v>
      </c>
      <c r="K3" s="1" t="s">
        <v>32</v>
      </c>
      <c r="L3" s="1" t="s">
        <v>36</v>
      </c>
      <c r="M3" s="1" t="s">
        <v>26</v>
      </c>
      <c r="N3" s="1" t="s">
        <v>51</v>
      </c>
      <c r="O3" s="4">
        <v>46119.611134259256</v>
      </c>
      <c r="P3" s="1" t="s">
        <v>47</v>
      </c>
      <c r="Q3" s="1" t="s">
        <v>4</v>
      </c>
      <c r="R3" s="1" t="s">
        <v>3</v>
      </c>
      <c r="S3" s="10" t="str">
        <f>CONCATENATE(YEAR(Tabla2[[#This Row],[Fecha registro]]),"-",MONTH(Tabla2[[#This Row],[Fecha registro]]))</f>
        <v>2026-4</v>
      </c>
      <c r="T3" s="11">
        <f>(Tabla2[[#This Row],[Fecha cierre]]-Tabla2[[#This Row],[Fecha Apertura]])*24</f>
        <v>480.24166666675592</v>
      </c>
    </row>
    <row r="4" spans="1:20" ht="180" x14ac:dyDescent="0.25">
      <c r="A4" s="1" t="s">
        <v>41</v>
      </c>
      <c r="B4" s="1" t="s">
        <v>42</v>
      </c>
      <c r="C4" s="1" t="s">
        <v>114</v>
      </c>
      <c r="D4" s="2">
        <v>344</v>
      </c>
      <c r="E4" s="1" t="s">
        <v>46</v>
      </c>
      <c r="F4" s="3" t="s">
        <v>117</v>
      </c>
      <c r="G4" s="1" t="s">
        <v>50</v>
      </c>
      <c r="H4" s="3" t="s">
        <v>118</v>
      </c>
      <c r="I4" s="4">
        <v>46139.609918981485</v>
      </c>
      <c r="J4" s="4">
        <v>46119.680289351854</v>
      </c>
      <c r="K4" s="1" t="s">
        <v>24</v>
      </c>
      <c r="L4" s="1" t="s">
        <v>36</v>
      </c>
      <c r="M4" s="1" t="s">
        <v>26</v>
      </c>
      <c r="N4" s="1" t="s">
        <v>51</v>
      </c>
      <c r="O4" s="4">
        <v>46119.680289351854</v>
      </c>
      <c r="P4" s="1" t="s">
        <v>49</v>
      </c>
      <c r="Q4" s="1" t="s">
        <v>4</v>
      </c>
      <c r="R4" s="1" t="s">
        <v>3</v>
      </c>
      <c r="S4" s="10" t="str">
        <f>CONCATENATE(YEAR(Tabla2[[#This Row],[Fecha registro]]),"-",MONTH(Tabla2[[#This Row],[Fecha registro]]))</f>
        <v>2026-4</v>
      </c>
      <c r="T4" s="11">
        <f>(Tabla2[[#This Row],[Fecha cierre]]-Tabla2[[#This Row],[Fecha Apertura]])*24</f>
        <v>478.31111111113569</v>
      </c>
    </row>
    <row r="5" spans="1:20" ht="60" x14ac:dyDescent="0.25">
      <c r="A5" s="1" t="s">
        <v>14</v>
      </c>
      <c r="B5" s="1" t="s">
        <v>15</v>
      </c>
      <c r="C5" s="1" t="s">
        <v>13</v>
      </c>
      <c r="D5" s="2">
        <v>345</v>
      </c>
      <c r="E5" s="1"/>
      <c r="F5" s="3" t="s">
        <v>119</v>
      </c>
      <c r="G5" s="1" t="s">
        <v>0</v>
      </c>
      <c r="H5" s="3" t="s">
        <v>120</v>
      </c>
      <c r="I5" s="4">
        <v>46121.574849537035</v>
      </c>
      <c r="J5" s="4">
        <v>46121.40347222222</v>
      </c>
      <c r="K5" s="1" t="s">
        <v>24</v>
      </c>
      <c r="L5" s="1" t="s">
        <v>25</v>
      </c>
      <c r="M5" s="1" t="s">
        <v>39</v>
      </c>
      <c r="N5" s="1" t="s">
        <v>28</v>
      </c>
      <c r="O5" s="4">
        <v>46121.40347222222</v>
      </c>
      <c r="P5" s="1" t="s">
        <v>106</v>
      </c>
      <c r="Q5" s="1" t="s">
        <v>4</v>
      </c>
      <c r="R5" s="1" t="s">
        <v>3</v>
      </c>
      <c r="S5" s="10" t="str">
        <f>CONCATENATE(YEAR(Tabla2[[#This Row],[Fecha registro]]),"-",MONTH(Tabla2[[#This Row],[Fecha registro]]))</f>
        <v>2026-4</v>
      </c>
      <c r="T5" s="11">
        <f>(Tabla2[[#This Row],[Fecha cierre]]-Tabla2[[#This Row],[Fecha Apertura]])*24</f>
        <v>4.1130555555573665</v>
      </c>
    </row>
    <row r="6" spans="1:20" x14ac:dyDescent="0.25">
      <c r="A6" s="1" t="s">
        <v>41</v>
      </c>
      <c r="B6" s="1" t="s">
        <v>42</v>
      </c>
      <c r="C6" s="1" t="s">
        <v>114</v>
      </c>
      <c r="D6" s="2">
        <v>346</v>
      </c>
      <c r="E6" s="1"/>
      <c r="F6" s="3" t="s">
        <v>105</v>
      </c>
      <c r="G6" s="1" t="s">
        <v>0</v>
      </c>
      <c r="H6" s="3" t="s">
        <v>121</v>
      </c>
      <c r="I6" s="4">
        <v>46121.57402777778</v>
      </c>
      <c r="J6" s="4">
        <v>46121.407569444447</v>
      </c>
      <c r="K6" s="1" t="s">
        <v>32</v>
      </c>
      <c r="L6" s="1" t="s">
        <v>36</v>
      </c>
      <c r="M6" s="1" t="s">
        <v>39</v>
      </c>
      <c r="N6" s="1" t="s">
        <v>122</v>
      </c>
      <c r="O6" s="4">
        <v>46121.407569444447</v>
      </c>
      <c r="P6" s="1" t="s">
        <v>47</v>
      </c>
      <c r="Q6" s="1" t="s">
        <v>4</v>
      </c>
      <c r="R6" s="1" t="s">
        <v>3</v>
      </c>
      <c r="S6" s="10" t="str">
        <f>CONCATENATE(YEAR(Tabla2[[#This Row],[Fecha registro]]),"-",MONTH(Tabla2[[#This Row],[Fecha registro]]))</f>
        <v>2026-4</v>
      </c>
      <c r="T6" s="11">
        <f>(Tabla2[[#This Row],[Fecha cierre]]-Tabla2[[#This Row],[Fecha Apertura]])*24</f>
        <v>3.9949999999953434</v>
      </c>
    </row>
    <row r="7" spans="1:20" ht="75" x14ac:dyDescent="0.25">
      <c r="A7" s="1" t="s">
        <v>44</v>
      </c>
      <c r="B7" s="1" t="s">
        <v>45</v>
      </c>
      <c r="C7" s="1" t="s">
        <v>43</v>
      </c>
      <c r="D7" s="2">
        <v>347</v>
      </c>
      <c r="E7" s="1" t="s">
        <v>74</v>
      </c>
      <c r="F7" s="3" t="s">
        <v>123</v>
      </c>
      <c r="G7" s="1" t="s">
        <v>0</v>
      </c>
      <c r="H7" s="3" t="s">
        <v>124</v>
      </c>
      <c r="I7" s="4">
        <v>46126.677106481482</v>
      </c>
      <c r="J7" s="4">
        <v>46121.56994212963</v>
      </c>
      <c r="K7" s="1" t="s">
        <v>32</v>
      </c>
      <c r="L7" s="1" t="s">
        <v>25</v>
      </c>
      <c r="M7" s="1" t="s">
        <v>30</v>
      </c>
      <c r="N7" s="1" t="s">
        <v>28</v>
      </c>
      <c r="O7" s="4">
        <v>46121.56994212963</v>
      </c>
      <c r="P7" s="1" t="s">
        <v>49</v>
      </c>
      <c r="Q7" s="1" t="s">
        <v>4</v>
      </c>
      <c r="R7" s="1" t="s">
        <v>3</v>
      </c>
      <c r="S7" s="10" t="str">
        <f>CONCATENATE(YEAR(Tabla2[[#This Row],[Fecha registro]]),"-",MONTH(Tabla2[[#This Row],[Fecha registro]]))</f>
        <v>2026-4</v>
      </c>
      <c r="T7" s="11">
        <f>(Tabla2[[#This Row],[Fecha cierre]]-Tabla2[[#This Row],[Fecha Apertura]])*24</f>
        <v>122.57194444444031</v>
      </c>
    </row>
    <row r="8" spans="1:20" ht="30" x14ac:dyDescent="0.25">
      <c r="A8" s="1" t="s">
        <v>5</v>
      </c>
      <c r="B8" s="1" t="s">
        <v>6</v>
      </c>
      <c r="C8" s="1" t="s">
        <v>55</v>
      </c>
      <c r="D8" s="2">
        <v>348</v>
      </c>
      <c r="E8" s="1" t="s">
        <v>74</v>
      </c>
      <c r="F8" s="3" t="s">
        <v>125</v>
      </c>
      <c r="G8" s="1" t="s">
        <v>0</v>
      </c>
      <c r="H8" s="3" t="s">
        <v>126</v>
      </c>
      <c r="I8" s="4">
        <v>46121.667488425926</v>
      </c>
      <c r="J8" s="4">
        <v>46121.623541666668</v>
      </c>
      <c r="K8" s="1" t="s">
        <v>32</v>
      </c>
      <c r="L8" s="1" t="s">
        <v>33</v>
      </c>
      <c r="M8" s="1" t="s">
        <v>30</v>
      </c>
      <c r="N8" s="1" t="s">
        <v>28</v>
      </c>
      <c r="O8" s="4">
        <v>46121.623541666668</v>
      </c>
      <c r="P8" s="1" t="s">
        <v>47</v>
      </c>
      <c r="Q8" s="1" t="s">
        <v>4</v>
      </c>
      <c r="R8" s="1" t="s">
        <v>3</v>
      </c>
      <c r="S8" s="10" t="str">
        <f>CONCATENATE(YEAR(Tabla2[[#This Row],[Fecha registro]]),"-",MONTH(Tabla2[[#This Row],[Fecha registro]]))</f>
        <v>2026-4</v>
      </c>
      <c r="T8" s="11">
        <f>(Tabla2[[#This Row],[Fecha cierre]]-Tabla2[[#This Row],[Fecha Apertura]])*24</f>
        <v>1.0547222222085111</v>
      </c>
    </row>
    <row r="9" spans="1:20" x14ac:dyDescent="0.25">
      <c r="A9" s="1" t="s">
        <v>5</v>
      </c>
      <c r="B9" s="1" t="s">
        <v>6</v>
      </c>
      <c r="C9" s="1" t="s">
        <v>8</v>
      </c>
      <c r="D9" s="2">
        <v>349</v>
      </c>
      <c r="E9" s="1"/>
      <c r="F9" s="3" t="s">
        <v>127</v>
      </c>
      <c r="G9" s="1" t="s">
        <v>23</v>
      </c>
      <c r="H9" s="3" t="s">
        <v>128</v>
      </c>
      <c r="I9" s="4">
        <v>46126.679699074077</v>
      </c>
      <c r="J9" s="4">
        <v>46122.379155092596</v>
      </c>
      <c r="K9" s="1" t="s">
        <v>32</v>
      </c>
      <c r="L9" s="1" t="s">
        <v>36</v>
      </c>
      <c r="M9" s="1" t="s">
        <v>39</v>
      </c>
      <c r="N9" s="1" t="s">
        <v>122</v>
      </c>
      <c r="O9" s="4">
        <v>46122.379155092596</v>
      </c>
      <c r="P9" s="1" t="s">
        <v>49</v>
      </c>
      <c r="Q9" s="1" t="s">
        <v>4</v>
      </c>
      <c r="R9" s="1" t="s">
        <v>3</v>
      </c>
      <c r="S9" s="10" t="str">
        <f>CONCATENATE(YEAR(Tabla2[[#This Row],[Fecha registro]]),"-",MONTH(Tabla2[[#This Row],[Fecha registro]]))</f>
        <v>2026-4</v>
      </c>
      <c r="T9" s="11">
        <f>(Tabla2[[#This Row],[Fecha cierre]]-Tabla2[[#This Row],[Fecha Apertura]])*24</f>
        <v>103.21305555553408</v>
      </c>
    </row>
    <row r="10" spans="1:20" x14ac:dyDescent="0.25">
      <c r="A10" s="1" t="s">
        <v>1</v>
      </c>
      <c r="B10" s="1" t="s">
        <v>2</v>
      </c>
      <c r="C10" s="1" t="s">
        <v>13</v>
      </c>
      <c r="D10" s="2">
        <v>350</v>
      </c>
      <c r="E10" s="1"/>
      <c r="F10" s="3" t="s">
        <v>127</v>
      </c>
      <c r="G10" s="1" t="s">
        <v>23</v>
      </c>
      <c r="H10" s="3" t="s">
        <v>129</v>
      </c>
      <c r="I10" s="4">
        <v>46126.678333333337</v>
      </c>
      <c r="J10" s="4">
        <v>46122.506168981483</v>
      </c>
      <c r="K10" s="1" t="s">
        <v>31</v>
      </c>
      <c r="L10" s="1" t="s">
        <v>25</v>
      </c>
      <c r="M10" s="1" t="s">
        <v>39</v>
      </c>
      <c r="N10" s="1" t="s">
        <v>122</v>
      </c>
      <c r="O10" s="4">
        <v>46122.506168981483</v>
      </c>
      <c r="P10" s="1"/>
      <c r="Q10" s="1" t="s">
        <v>4</v>
      </c>
      <c r="R10" s="1" t="s">
        <v>3</v>
      </c>
      <c r="S10" s="10" t="str">
        <f>CONCATENATE(YEAR(Tabla2[[#This Row],[Fecha registro]]),"-",MONTH(Tabla2[[#This Row],[Fecha registro]]))</f>
        <v>2026-4</v>
      </c>
      <c r="T10" s="11">
        <f>(Tabla2[[#This Row],[Fecha cierre]]-Tabla2[[#This Row],[Fecha Apertura]])*24</f>
        <v>100.13194444449618</v>
      </c>
    </row>
    <row r="11" spans="1:20" ht="330" x14ac:dyDescent="0.25">
      <c r="A11" s="1" t="s">
        <v>41</v>
      </c>
      <c r="B11" s="1" t="s">
        <v>42</v>
      </c>
      <c r="C11" s="1" t="s">
        <v>114</v>
      </c>
      <c r="D11" s="2">
        <v>351</v>
      </c>
      <c r="E11" s="1" t="s">
        <v>46</v>
      </c>
      <c r="F11" s="3" t="s">
        <v>130</v>
      </c>
      <c r="G11" s="1" t="s">
        <v>0</v>
      </c>
      <c r="H11" s="3" t="s">
        <v>131</v>
      </c>
      <c r="I11" s="4">
        <v>46149.506562499999</v>
      </c>
      <c r="J11" s="4">
        <v>46126.393333333333</v>
      </c>
      <c r="K11" s="1" t="s">
        <v>24</v>
      </c>
      <c r="L11" s="1" t="s">
        <v>36</v>
      </c>
      <c r="M11" s="1" t="s">
        <v>30</v>
      </c>
      <c r="N11" s="1" t="s">
        <v>0</v>
      </c>
      <c r="O11" s="4">
        <v>46126.393333333333</v>
      </c>
      <c r="P11" s="1" t="s">
        <v>47</v>
      </c>
      <c r="Q11" s="1" t="s">
        <v>4</v>
      </c>
      <c r="R11" s="1" t="s">
        <v>3</v>
      </c>
      <c r="S11" s="10" t="str">
        <f>CONCATENATE(YEAR(Tabla2[[#This Row],[Fecha registro]]),"-",MONTH(Tabla2[[#This Row],[Fecha registro]]))</f>
        <v>2026-4</v>
      </c>
      <c r="T11" s="11">
        <f>(Tabla2[[#This Row],[Fecha cierre]]-Tabla2[[#This Row],[Fecha Apertura]])*24</f>
        <v>554.71749999996973</v>
      </c>
    </row>
    <row r="12" spans="1:20" ht="210" x14ac:dyDescent="0.25">
      <c r="A12" s="1" t="s">
        <v>41</v>
      </c>
      <c r="B12" s="1" t="s">
        <v>42</v>
      </c>
      <c r="C12" s="1" t="s">
        <v>114</v>
      </c>
      <c r="D12" s="2">
        <v>352</v>
      </c>
      <c r="E12" s="1" t="s">
        <v>46</v>
      </c>
      <c r="F12" s="3" t="s">
        <v>132</v>
      </c>
      <c r="G12" s="1" t="s">
        <v>23</v>
      </c>
      <c r="H12" s="3" t="s">
        <v>133</v>
      </c>
      <c r="I12" s="4">
        <v>46135.49728009259</v>
      </c>
      <c r="J12" s="4">
        <v>46126.470092592594</v>
      </c>
      <c r="K12" s="1" t="s">
        <v>32</v>
      </c>
      <c r="L12" s="1" t="s">
        <v>36</v>
      </c>
      <c r="M12" s="1" t="s">
        <v>30</v>
      </c>
      <c r="N12" s="1" t="s">
        <v>122</v>
      </c>
      <c r="O12" s="4">
        <v>46126.470092592594</v>
      </c>
      <c r="P12" s="1" t="s">
        <v>47</v>
      </c>
      <c r="Q12" s="1" t="s">
        <v>4</v>
      </c>
      <c r="R12" s="1" t="s">
        <v>3</v>
      </c>
      <c r="S12" s="10" t="str">
        <f>CONCATENATE(YEAR(Tabla2[[#This Row],[Fecha registro]]),"-",MONTH(Tabla2[[#This Row],[Fecha registro]]))</f>
        <v>2026-4</v>
      </c>
      <c r="T12" s="11">
        <f>(Tabla2[[#This Row],[Fecha cierre]]-Tabla2[[#This Row],[Fecha Apertura]])*24</f>
        <v>216.6524999999092</v>
      </c>
    </row>
    <row r="13" spans="1:20" ht="60" x14ac:dyDescent="0.25">
      <c r="A13" s="1" t="s">
        <v>44</v>
      </c>
      <c r="B13" s="1" t="s">
        <v>45</v>
      </c>
      <c r="C13" s="1" t="s">
        <v>43</v>
      </c>
      <c r="D13" s="2">
        <v>353</v>
      </c>
      <c r="E13" s="1" t="s">
        <v>74</v>
      </c>
      <c r="F13" s="3" t="s">
        <v>134</v>
      </c>
      <c r="G13" s="1" t="s">
        <v>0</v>
      </c>
      <c r="H13" s="3" t="s">
        <v>135</v>
      </c>
      <c r="I13" s="4">
        <v>46135.458379629628</v>
      </c>
      <c r="J13" s="4">
        <v>46126.613321759258</v>
      </c>
      <c r="K13" s="1" t="s">
        <v>32</v>
      </c>
      <c r="L13" s="1" t="s">
        <v>36</v>
      </c>
      <c r="M13" s="1" t="s">
        <v>26</v>
      </c>
      <c r="N13" s="1"/>
      <c r="O13" s="4">
        <v>46126.613321759258</v>
      </c>
      <c r="P13" s="1" t="s">
        <v>47</v>
      </c>
      <c r="Q13" s="1" t="s">
        <v>4</v>
      </c>
      <c r="R13" s="1" t="s">
        <v>3</v>
      </c>
      <c r="S13" s="10" t="str">
        <f>CONCATENATE(YEAR(Tabla2[[#This Row],[Fecha registro]]),"-",MONTH(Tabla2[[#This Row],[Fecha registro]]))</f>
        <v>2026-4</v>
      </c>
      <c r="T13" s="11">
        <f>(Tabla2[[#This Row],[Fecha cierre]]-Tabla2[[#This Row],[Fecha Apertura]])*24</f>
        <v>212.28138888889225</v>
      </c>
    </row>
    <row r="14" spans="1:20" ht="60" x14ac:dyDescent="0.25">
      <c r="A14" s="1" t="s">
        <v>41</v>
      </c>
      <c r="B14" s="1" t="s">
        <v>42</v>
      </c>
      <c r="C14" s="1" t="s">
        <v>114</v>
      </c>
      <c r="D14" s="2">
        <v>354</v>
      </c>
      <c r="E14" s="1" t="s">
        <v>46</v>
      </c>
      <c r="F14" s="3" t="s">
        <v>136</v>
      </c>
      <c r="G14" s="1" t="s">
        <v>0</v>
      </c>
      <c r="H14" s="3" t="s">
        <v>137</v>
      </c>
      <c r="I14" s="4">
        <v>46149.503495370373</v>
      </c>
      <c r="J14" s="4">
        <v>46128.495138888888</v>
      </c>
      <c r="K14" s="1" t="s">
        <v>32</v>
      </c>
      <c r="L14" s="1" t="s">
        <v>36</v>
      </c>
      <c r="M14" s="1" t="s">
        <v>26</v>
      </c>
      <c r="N14" s="1" t="s">
        <v>37</v>
      </c>
      <c r="O14" s="4">
        <v>46128.495138888888</v>
      </c>
      <c r="P14" s="1" t="s">
        <v>47</v>
      </c>
      <c r="Q14" s="1" t="s">
        <v>4</v>
      </c>
      <c r="R14" s="1" t="s">
        <v>3</v>
      </c>
      <c r="S14" s="10" t="str">
        <f>CONCATENATE(YEAR(Tabla2[[#This Row],[Fecha registro]]),"-",MONTH(Tabla2[[#This Row],[Fecha registro]]))</f>
        <v>2026-4</v>
      </c>
      <c r="T14" s="11">
        <f>(Tabla2[[#This Row],[Fecha cierre]]-Tabla2[[#This Row],[Fecha Apertura]])*24</f>
        <v>504.20055555563886</v>
      </c>
    </row>
    <row r="15" spans="1:20" ht="45" x14ac:dyDescent="0.25">
      <c r="A15" s="1" t="s">
        <v>16</v>
      </c>
      <c r="B15" s="1" t="s">
        <v>17</v>
      </c>
      <c r="C15" s="1" t="s">
        <v>138</v>
      </c>
      <c r="D15" s="2">
        <v>355</v>
      </c>
      <c r="E15" s="1"/>
      <c r="F15" s="3" t="s">
        <v>139</v>
      </c>
      <c r="G15" s="1" t="s">
        <v>0</v>
      </c>
      <c r="H15" s="3" t="s">
        <v>140</v>
      </c>
      <c r="I15" s="4">
        <v>46135.460821759261</v>
      </c>
      <c r="J15" s="4">
        <v>46128.623310185183</v>
      </c>
      <c r="K15" s="1" t="s">
        <v>32</v>
      </c>
      <c r="L15" s="1" t="s">
        <v>33</v>
      </c>
      <c r="M15" s="1" t="s">
        <v>26</v>
      </c>
      <c r="N15" s="1" t="s">
        <v>0</v>
      </c>
      <c r="O15" s="4">
        <v>46128.623310185183</v>
      </c>
      <c r="P15" s="1"/>
      <c r="Q15" s="1" t="s">
        <v>4</v>
      </c>
      <c r="R15" s="1" t="s">
        <v>3</v>
      </c>
      <c r="S15" s="10" t="str">
        <f>CONCATENATE(YEAR(Tabla2[[#This Row],[Fecha registro]]),"-",MONTH(Tabla2[[#This Row],[Fecha registro]]))</f>
        <v>2026-4</v>
      </c>
      <c r="T15" s="11">
        <f>(Tabla2[[#This Row],[Fecha cierre]]-Tabla2[[#This Row],[Fecha Apertura]])*24</f>
        <v>164.10027777787764</v>
      </c>
    </row>
    <row r="16" spans="1:20" ht="105" x14ac:dyDescent="0.25">
      <c r="A16" s="1" t="s">
        <v>10</v>
      </c>
      <c r="B16" s="1" t="s">
        <v>21</v>
      </c>
      <c r="C16" s="1" t="s">
        <v>9</v>
      </c>
      <c r="D16" s="2">
        <v>356</v>
      </c>
      <c r="E16" s="1" t="s">
        <v>74</v>
      </c>
      <c r="F16" s="3" t="s">
        <v>141</v>
      </c>
      <c r="G16" s="1" t="s">
        <v>0</v>
      </c>
      <c r="H16" s="3" t="s">
        <v>142</v>
      </c>
      <c r="I16" s="4">
        <v>46141.706574074073</v>
      </c>
      <c r="J16" s="4">
        <v>46128.717650462961</v>
      </c>
      <c r="K16" s="1" t="s">
        <v>32</v>
      </c>
      <c r="L16" s="1" t="s">
        <v>25</v>
      </c>
      <c r="M16" s="1" t="s">
        <v>26</v>
      </c>
      <c r="N16" s="1" t="s">
        <v>0</v>
      </c>
      <c r="O16" s="4">
        <v>46128.717650462961</v>
      </c>
      <c r="P16" s="1"/>
      <c r="Q16" s="1" t="s">
        <v>4</v>
      </c>
      <c r="R16" s="1" t="s">
        <v>3</v>
      </c>
      <c r="S16" s="10" t="str">
        <f>CONCATENATE(YEAR(Tabla2[[#This Row],[Fecha registro]]),"-",MONTH(Tabla2[[#This Row],[Fecha registro]]))</f>
        <v>2026-4</v>
      </c>
      <c r="T16" s="11">
        <f>(Tabla2[[#This Row],[Fecha cierre]]-Tabla2[[#This Row],[Fecha Apertura]])*24</f>
        <v>311.73416666669073</v>
      </c>
    </row>
    <row r="17" spans="1:20" ht="105" x14ac:dyDescent="0.25">
      <c r="A17" s="1" t="s">
        <v>10</v>
      </c>
      <c r="B17" s="1" t="s">
        <v>21</v>
      </c>
      <c r="C17" s="1" t="s">
        <v>9</v>
      </c>
      <c r="D17" s="2">
        <v>357</v>
      </c>
      <c r="E17" s="1" t="s">
        <v>74</v>
      </c>
      <c r="F17" s="3" t="s">
        <v>143</v>
      </c>
      <c r="G17" s="1" t="s">
        <v>0</v>
      </c>
      <c r="H17" s="3" t="s">
        <v>144</v>
      </c>
      <c r="I17" s="4">
        <v>46141.703958333332</v>
      </c>
      <c r="J17" s="4">
        <v>46128.718738425923</v>
      </c>
      <c r="K17" s="1" t="s">
        <v>24</v>
      </c>
      <c r="L17" s="1" t="s">
        <v>29</v>
      </c>
      <c r="M17" s="1" t="s">
        <v>26</v>
      </c>
      <c r="N17" s="1" t="s">
        <v>0</v>
      </c>
      <c r="O17" s="4">
        <v>46128.718738425923</v>
      </c>
      <c r="P17" s="1"/>
      <c r="Q17" s="1" t="s">
        <v>4</v>
      </c>
      <c r="R17" s="1" t="s">
        <v>3</v>
      </c>
      <c r="S17" s="10" t="str">
        <f>CONCATENATE(YEAR(Tabla2[[#This Row],[Fecha registro]]),"-",MONTH(Tabla2[[#This Row],[Fecha registro]]))</f>
        <v>2026-4</v>
      </c>
      <c r="T17" s="11">
        <f>(Tabla2[[#This Row],[Fecha cierre]]-Tabla2[[#This Row],[Fecha Apertura]])*24</f>
        <v>311.64527777780313</v>
      </c>
    </row>
    <row r="18" spans="1:20" ht="30" x14ac:dyDescent="0.25">
      <c r="A18" s="1" t="s">
        <v>5</v>
      </c>
      <c r="B18" s="1" t="s">
        <v>6</v>
      </c>
      <c r="C18" s="1" t="s">
        <v>55</v>
      </c>
      <c r="D18" s="2">
        <v>358</v>
      </c>
      <c r="E18" s="1"/>
      <c r="F18" s="3" t="s">
        <v>145</v>
      </c>
      <c r="G18" s="1" t="s">
        <v>0</v>
      </c>
      <c r="H18" s="3" t="s">
        <v>146</v>
      </c>
      <c r="I18" s="4">
        <v>46135.459594907406</v>
      </c>
      <c r="J18" s="4">
        <v>46132.34778935185</v>
      </c>
      <c r="K18" s="1" t="s">
        <v>31</v>
      </c>
      <c r="L18" s="1" t="s">
        <v>33</v>
      </c>
      <c r="M18" s="1" t="s">
        <v>39</v>
      </c>
      <c r="N18" s="1" t="s">
        <v>0</v>
      </c>
      <c r="O18" s="4">
        <v>46132.34778935185</v>
      </c>
      <c r="P18" s="1"/>
      <c r="Q18" s="1" t="s">
        <v>4</v>
      </c>
      <c r="R18" s="1" t="s">
        <v>3</v>
      </c>
      <c r="S18" s="10" t="str">
        <f>CONCATENATE(YEAR(Tabla2[[#This Row],[Fecha registro]]),"-",MONTH(Tabla2[[#This Row],[Fecha registro]]))</f>
        <v>2026-4</v>
      </c>
      <c r="T18" s="11">
        <f>(Tabla2[[#This Row],[Fecha cierre]]-Tabla2[[#This Row],[Fecha Apertura]])*24</f>
        <v>74.683333333348855</v>
      </c>
    </row>
    <row r="19" spans="1:20" ht="60" x14ac:dyDescent="0.25">
      <c r="A19" s="1" t="s">
        <v>44</v>
      </c>
      <c r="B19" s="1" t="s">
        <v>45</v>
      </c>
      <c r="C19" s="1" t="s">
        <v>43</v>
      </c>
      <c r="D19" s="2">
        <v>359</v>
      </c>
      <c r="E19" s="1"/>
      <c r="F19" s="3" t="s">
        <v>147</v>
      </c>
      <c r="G19" s="1" t="s">
        <v>0</v>
      </c>
      <c r="H19" s="3" t="s">
        <v>148</v>
      </c>
      <c r="I19" s="4">
        <v>46141.482256944444</v>
      </c>
      <c r="J19" s="4">
        <v>46139.732557870368</v>
      </c>
      <c r="K19" s="1" t="s">
        <v>32</v>
      </c>
      <c r="L19" s="1" t="s">
        <v>36</v>
      </c>
      <c r="M19" s="1" t="s">
        <v>26</v>
      </c>
      <c r="N19" s="1" t="s">
        <v>0</v>
      </c>
      <c r="O19" s="4">
        <v>46139.732557870368</v>
      </c>
      <c r="P19" s="1" t="s">
        <v>47</v>
      </c>
      <c r="Q19" s="1" t="s">
        <v>4</v>
      </c>
      <c r="R19" s="1" t="s">
        <v>3</v>
      </c>
      <c r="S19" s="10" t="str">
        <f>CONCATENATE(YEAR(Tabla2[[#This Row],[Fecha registro]]),"-",MONTH(Tabla2[[#This Row],[Fecha registro]]))</f>
        <v>2026-4</v>
      </c>
      <c r="T19" s="11">
        <f>(Tabla2[[#This Row],[Fecha cierre]]-Tabla2[[#This Row],[Fecha Apertura]])*24</f>
        <v>41.992777777835727</v>
      </c>
    </row>
    <row r="20" spans="1:20" ht="409.5" x14ac:dyDescent="0.25">
      <c r="A20" s="1" t="s">
        <v>41</v>
      </c>
      <c r="B20" s="1" t="s">
        <v>42</v>
      </c>
      <c r="C20" s="1" t="s">
        <v>114</v>
      </c>
      <c r="D20" s="2">
        <v>360</v>
      </c>
      <c r="E20" s="1" t="s">
        <v>46</v>
      </c>
      <c r="F20" s="3" t="s">
        <v>149</v>
      </c>
      <c r="G20" s="1" t="s">
        <v>50</v>
      </c>
      <c r="H20" s="3" t="s">
        <v>150</v>
      </c>
      <c r="I20" s="4">
        <v>46140.630335648151</v>
      </c>
      <c r="J20" s="4">
        <v>46140.573414351849</v>
      </c>
      <c r="K20" s="1" t="s">
        <v>32</v>
      </c>
      <c r="L20" s="1" t="s">
        <v>36</v>
      </c>
      <c r="M20" s="1" t="s">
        <v>26</v>
      </c>
      <c r="N20" s="1" t="s">
        <v>51</v>
      </c>
      <c r="O20" s="4">
        <v>46140.573414351849</v>
      </c>
      <c r="P20" s="1" t="s">
        <v>49</v>
      </c>
      <c r="Q20" s="1" t="s">
        <v>4</v>
      </c>
      <c r="R20" s="1" t="s">
        <v>3</v>
      </c>
      <c r="S20" s="10" t="str">
        <f>CONCATENATE(YEAR(Tabla2[[#This Row],[Fecha registro]]),"-",MONTH(Tabla2[[#This Row],[Fecha registro]]))</f>
        <v>2026-4</v>
      </c>
      <c r="T20" s="11">
        <f>(Tabla2[[#This Row],[Fecha cierre]]-Tabla2[[#This Row],[Fecha Apertura]])*24</f>
        <v>1.3661111112451181</v>
      </c>
    </row>
    <row r="21" spans="1:20" ht="409.5" x14ac:dyDescent="0.25">
      <c r="A21" s="1" t="s">
        <v>41</v>
      </c>
      <c r="B21" s="1" t="s">
        <v>42</v>
      </c>
      <c r="C21" s="1" t="s">
        <v>114</v>
      </c>
      <c r="D21" s="2">
        <v>361</v>
      </c>
      <c r="E21" s="1" t="s">
        <v>46</v>
      </c>
      <c r="F21" s="3" t="s">
        <v>151</v>
      </c>
      <c r="G21" s="1" t="s">
        <v>50</v>
      </c>
      <c r="H21" s="3" t="s">
        <v>152</v>
      </c>
      <c r="I21" s="4">
        <v>46140.646921296298</v>
      </c>
      <c r="J21" s="4">
        <v>46140.580659722225</v>
      </c>
      <c r="K21" s="1" t="s">
        <v>32</v>
      </c>
      <c r="L21" s="1" t="s">
        <v>36</v>
      </c>
      <c r="M21" s="1" t="s">
        <v>26</v>
      </c>
      <c r="N21" s="1" t="s">
        <v>51</v>
      </c>
      <c r="O21" s="4">
        <v>46140.580659722225</v>
      </c>
      <c r="P21" s="1" t="s">
        <v>49</v>
      </c>
      <c r="Q21" s="1" t="s">
        <v>4</v>
      </c>
      <c r="R21" s="1" t="s">
        <v>3</v>
      </c>
      <c r="S21" s="10" t="str">
        <f>CONCATENATE(YEAR(Tabla2[[#This Row],[Fecha registro]]),"-",MONTH(Tabla2[[#This Row],[Fecha registro]]))</f>
        <v>2026-4</v>
      </c>
      <c r="T21" s="11">
        <f>(Tabla2[[#This Row],[Fecha cierre]]-Tabla2[[#This Row],[Fecha Apertura]])*24</f>
        <v>1.5902777777519077</v>
      </c>
    </row>
    <row r="22" spans="1:20" ht="409.5" x14ac:dyDescent="0.25">
      <c r="A22" s="1" t="s">
        <v>41</v>
      </c>
      <c r="B22" s="1" t="s">
        <v>42</v>
      </c>
      <c r="C22" s="1" t="s">
        <v>114</v>
      </c>
      <c r="D22" s="2">
        <v>362</v>
      </c>
      <c r="E22" s="1" t="s">
        <v>46</v>
      </c>
      <c r="F22" s="3" t="s">
        <v>153</v>
      </c>
      <c r="G22" s="1" t="s">
        <v>50</v>
      </c>
      <c r="H22" s="3" t="s">
        <v>154</v>
      </c>
      <c r="I22" s="4">
        <v>46141.414189814815</v>
      </c>
      <c r="J22" s="4">
        <v>46140.615856481483</v>
      </c>
      <c r="K22" s="1" t="s">
        <v>32</v>
      </c>
      <c r="L22" s="1" t="s">
        <v>36</v>
      </c>
      <c r="M22" s="1" t="s">
        <v>26</v>
      </c>
      <c r="N22" s="1" t="s">
        <v>51</v>
      </c>
      <c r="O22" s="4">
        <v>46140.615856481483</v>
      </c>
      <c r="P22" s="1" t="s">
        <v>49</v>
      </c>
      <c r="Q22" s="1" t="s">
        <v>4</v>
      </c>
      <c r="R22" s="1" t="s">
        <v>3</v>
      </c>
      <c r="S22" s="10" t="str">
        <f>CONCATENATE(YEAR(Tabla2[[#This Row],[Fecha registro]]),"-",MONTH(Tabla2[[#This Row],[Fecha registro]]))</f>
        <v>2026-4</v>
      </c>
      <c r="T22" s="11">
        <f>(Tabla2[[#This Row],[Fecha cierre]]-Tabla2[[#This Row],[Fecha Apertura]])*24</f>
        <v>19.159999999974389</v>
      </c>
    </row>
    <row r="23" spans="1:20" ht="409.5" x14ac:dyDescent="0.25">
      <c r="A23" s="1" t="s">
        <v>41</v>
      </c>
      <c r="B23" s="1" t="s">
        <v>42</v>
      </c>
      <c r="C23" s="1" t="s">
        <v>114</v>
      </c>
      <c r="D23" s="2">
        <v>363</v>
      </c>
      <c r="E23" s="1" t="s">
        <v>46</v>
      </c>
      <c r="F23" s="3" t="s">
        <v>155</v>
      </c>
      <c r="G23" s="1" t="s">
        <v>50</v>
      </c>
      <c r="H23" s="3" t="s">
        <v>156</v>
      </c>
      <c r="I23" s="4">
        <v>46141.378750000003</v>
      </c>
      <c r="J23" s="4">
        <v>46140.649409722224</v>
      </c>
      <c r="K23" s="1" t="s">
        <v>24</v>
      </c>
      <c r="L23" s="1" t="s">
        <v>36</v>
      </c>
      <c r="M23" s="1" t="s">
        <v>26</v>
      </c>
      <c r="N23" s="1" t="s">
        <v>51</v>
      </c>
      <c r="O23" s="4">
        <v>46140.649409722224</v>
      </c>
      <c r="P23" s="1" t="s">
        <v>49</v>
      </c>
      <c r="Q23" s="1" t="s">
        <v>4</v>
      </c>
      <c r="R23" s="1" t="s">
        <v>3</v>
      </c>
      <c r="S23" s="10" t="str">
        <f>CONCATENATE(YEAR(Tabla2[[#This Row],[Fecha registro]]),"-",MONTH(Tabla2[[#This Row],[Fecha registro]]))</f>
        <v>2026-4</v>
      </c>
      <c r="T23" s="11">
        <f>(Tabla2[[#This Row],[Fecha cierre]]-Tabla2[[#This Row],[Fecha Apertura]])*24</f>
        <v>17.504166666709352</v>
      </c>
    </row>
    <row r="24" spans="1:20" ht="409.5" x14ac:dyDescent="0.25">
      <c r="A24" s="1" t="s">
        <v>41</v>
      </c>
      <c r="B24" s="1" t="s">
        <v>42</v>
      </c>
      <c r="C24" s="1" t="s">
        <v>114</v>
      </c>
      <c r="D24" s="2">
        <v>364</v>
      </c>
      <c r="E24" s="1" t="s">
        <v>46</v>
      </c>
      <c r="F24" s="3" t="s">
        <v>157</v>
      </c>
      <c r="G24" s="1" t="s">
        <v>0</v>
      </c>
      <c r="H24" s="3" t="s">
        <v>158</v>
      </c>
      <c r="I24" s="4">
        <v>46149.463460648149</v>
      </c>
      <c r="J24" s="4">
        <v>46141.350115740737</v>
      </c>
      <c r="K24" s="1" t="s">
        <v>32</v>
      </c>
      <c r="L24" s="1" t="s">
        <v>36</v>
      </c>
      <c r="M24" s="1" t="s">
        <v>26</v>
      </c>
      <c r="N24" s="1" t="s">
        <v>28</v>
      </c>
      <c r="O24" s="4">
        <v>46141.350115740737</v>
      </c>
      <c r="P24" s="1" t="s">
        <v>47</v>
      </c>
      <c r="Q24" s="1" t="s">
        <v>4</v>
      </c>
      <c r="R24" s="1" t="s">
        <v>3</v>
      </c>
      <c r="S24" s="10" t="str">
        <f>CONCATENATE(YEAR(Tabla2[[#This Row],[Fecha registro]]),"-",MONTH(Tabla2[[#This Row],[Fecha registro]]))</f>
        <v>2026-4</v>
      </c>
      <c r="T24" s="11">
        <f>(Tabla2[[#This Row],[Fecha cierre]]-Tabla2[[#This Row],[Fecha Apertura]])*24</f>
        <v>194.72027777787298</v>
      </c>
    </row>
    <row r="25" spans="1:20" ht="409.5" x14ac:dyDescent="0.25">
      <c r="A25" s="1" t="s">
        <v>41</v>
      </c>
      <c r="B25" s="1" t="s">
        <v>42</v>
      </c>
      <c r="C25" s="1" t="s">
        <v>114</v>
      </c>
      <c r="D25" s="2">
        <v>365</v>
      </c>
      <c r="E25" s="1" t="s">
        <v>46</v>
      </c>
      <c r="F25" s="3" t="s">
        <v>159</v>
      </c>
      <c r="G25" s="1" t="s">
        <v>50</v>
      </c>
      <c r="H25" s="3" t="s">
        <v>160</v>
      </c>
      <c r="I25" s="4">
        <v>46141.434675925928</v>
      </c>
      <c r="J25" s="4">
        <v>46141.371215277781</v>
      </c>
      <c r="K25" s="1" t="s">
        <v>32</v>
      </c>
      <c r="L25" s="1" t="s">
        <v>36</v>
      </c>
      <c r="M25" s="1" t="s">
        <v>26</v>
      </c>
      <c r="N25" s="1" t="s">
        <v>51</v>
      </c>
      <c r="O25" s="4">
        <v>46141.371215277781</v>
      </c>
      <c r="P25" s="1" t="s">
        <v>49</v>
      </c>
      <c r="Q25" s="1" t="s">
        <v>4</v>
      </c>
      <c r="R25" s="1" t="s">
        <v>3</v>
      </c>
      <c r="S25" s="10" t="str">
        <f>CONCATENATE(YEAR(Tabla2[[#This Row],[Fecha registro]]),"-",MONTH(Tabla2[[#This Row],[Fecha registro]]))</f>
        <v>2026-4</v>
      </c>
      <c r="T25" s="11">
        <f>(Tabla2[[#This Row],[Fecha cierre]]-Tabla2[[#This Row],[Fecha Apertura]])*24</f>
        <v>1.5230555555317551</v>
      </c>
    </row>
    <row r="26" spans="1:20" ht="90" x14ac:dyDescent="0.25">
      <c r="A26" s="1" t="s">
        <v>44</v>
      </c>
      <c r="B26" s="1" t="s">
        <v>45</v>
      </c>
      <c r="C26" s="1" t="s">
        <v>43</v>
      </c>
      <c r="D26" s="2">
        <v>366</v>
      </c>
      <c r="E26" s="1"/>
      <c r="F26" s="3" t="s">
        <v>161</v>
      </c>
      <c r="G26" s="1" t="s">
        <v>23</v>
      </c>
      <c r="H26" s="3" t="s">
        <v>162</v>
      </c>
      <c r="I26" s="4">
        <v>46141.644062500003</v>
      </c>
      <c r="J26" s="4">
        <v>46141.604560185187</v>
      </c>
      <c r="K26" s="1" t="s">
        <v>32</v>
      </c>
      <c r="L26" s="1" t="s">
        <v>36</v>
      </c>
      <c r="M26" s="1" t="s">
        <v>39</v>
      </c>
      <c r="N26" s="1" t="s">
        <v>122</v>
      </c>
      <c r="O26" s="4">
        <v>46141.604560185187</v>
      </c>
      <c r="P26" s="1" t="s">
        <v>112</v>
      </c>
      <c r="Q26" s="1" t="s">
        <v>4</v>
      </c>
      <c r="R26" s="1" t="s">
        <v>3</v>
      </c>
      <c r="S26" s="10" t="str">
        <f>CONCATENATE(YEAR(Tabla2[[#This Row],[Fecha registro]]),"-",MONTH(Tabla2[[#This Row],[Fecha registro]]))</f>
        <v>2026-4</v>
      </c>
      <c r="T26" s="11">
        <f>(Tabla2[[#This Row],[Fecha cierre]]-Tabla2[[#This Row],[Fecha Apertura]])*24</f>
        <v>0.94805555557832122</v>
      </c>
    </row>
    <row r="27" spans="1:20" ht="300" x14ac:dyDescent="0.25">
      <c r="A27" s="1" t="s">
        <v>44</v>
      </c>
      <c r="B27" s="1" t="s">
        <v>45</v>
      </c>
      <c r="C27" s="1" t="s">
        <v>43</v>
      </c>
      <c r="D27" s="2">
        <v>367</v>
      </c>
      <c r="E27" s="1"/>
      <c r="F27" s="3" t="s">
        <v>163</v>
      </c>
      <c r="G27" s="1" t="s">
        <v>0</v>
      </c>
      <c r="H27" s="3" t="s">
        <v>164</v>
      </c>
      <c r="I27" s="4">
        <v>46142.614999999998</v>
      </c>
      <c r="J27" s="4">
        <v>46141.621747685182</v>
      </c>
      <c r="K27" s="1" t="s">
        <v>32</v>
      </c>
      <c r="L27" s="1" t="s">
        <v>36</v>
      </c>
      <c r="M27" s="1" t="s">
        <v>26</v>
      </c>
      <c r="N27" s="1" t="s">
        <v>0</v>
      </c>
      <c r="O27" s="4">
        <v>46141.621747685182</v>
      </c>
      <c r="P27" s="1" t="s">
        <v>112</v>
      </c>
      <c r="Q27" s="1" t="s">
        <v>4</v>
      </c>
      <c r="R27" s="1" t="s">
        <v>3</v>
      </c>
      <c r="S27" s="10" t="str">
        <f>CONCATENATE(YEAR(Tabla2[[#This Row],[Fecha registro]]),"-",MONTH(Tabla2[[#This Row],[Fecha registro]]))</f>
        <v>2026-4</v>
      </c>
      <c r="T27" s="11">
        <f>(Tabla2[[#This Row],[Fecha cierre]]-Tabla2[[#This Row],[Fecha Apertura]])*24</f>
        <v>23.838055555592291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572BA-082A-4CDB-867D-DD44DCD1EB29}">
  <dimension ref="A1:K9"/>
  <sheetViews>
    <sheetView tabSelected="1" workbookViewId="0">
      <selection sqref="A1:K9"/>
    </sheetView>
  </sheetViews>
  <sheetFormatPr baseColWidth="10" defaultRowHeight="15" x14ac:dyDescent="0.25"/>
  <cols>
    <col min="1" max="1" width="20.28515625" bestFit="1" customWidth="1"/>
    <col min="2" max="2" width="22.85546875" bestFit="1" customWidth="1"/>
    <col min="3" max="3" width="9.140625" bestFit="1" customWidth="1"/>
    <col min="4" max="4" width="12.5703125" bestFit="1" customWidth="1"/>
    <col min="5" max="5" width="9.140625" bestFit="1" customWidth="1"/>
    <col min="6" max="6" width="20.28515625" bestFit="1" customWidth="1"/>
    <col min="7" max="7" width="22.85546875" bestFit="1" customWidth="1"/>
    <col min="8" max="8" width="9.28515625" bestFit="1" customWidth="1"/>
    <col min="9" max="9" width="9.140625" bestFit="1" customWidth="1"/>
    <col min="10" max="10" width="11.28515625" bestFit="1" customWidth="1"/>
    <col min="11" max="11" width="12.5703125" bestFit="1" customWidth="1"/>
  </cols>
  <sheetData>
    <row r="1" spans="1:11" x14ac:dyDescent="0.25">
      <c r="F1" s="8" t="s">
        <v>237</v>
      </c>
      <c r="G1" t="s">
        <v>74</v>
      </c>
    </row>
    <row r="3" spans="1:11" x14ac:dyDescent="0.25">
      <c r="A3" s="8" t="s">
        <v>260</v>
      </c>
      <c r="B3" s="8" t="s">
        <v>252</v>
      </c>
      <c r="F3" s="8" t="s">
        <v>257</v>
      </c>
      <c r="G3" s="8" t="s">
        <v>252</v>
      </c>
    </row>
    <row r="4" spans="1:11" x14ac:dyDescent="0.25">
      <c r="A4" s="8" t="s">
        <v>250</v>
      </c>
      <c r="B4" t="s">
        <v>23</v>
      </c>
      <c r="C4" t="s">
        <v>0</v>
      </c>
      <c r="D4" t="s">
        <v>251</v>
      </c>
      <c r="G4" t="s">
        <v>32</v>
      </c>
      <c r="H4" t="s">
        <v>255</v>
      </c>
      <c r="I4" t="s">
        <v>24</v>
      </c>
      <c r="J4" t="s">
        <v>256</v>
      </c>
      <c r="K4" t="s">
        <v>251</v>
      </c>
    </row>
    <row r="5" spans="1:11" x14ac:dyDescent="0.25">
      <c r="A5" s="9" t="s">
        <v>55</v>
      </c>
      <c r="B5" s="10"/>
      <c r="C5" s="10">
        <v>3</v>
      </c>
      <c r="D5" s="10">
        <v>3</v>
      </c>
      <c r="F5" s="8" t="s">
        <v>250</v>
      </c>
      <c r="G5" t="s">
        <v>0</v>
      </c>
      <c r="I5" t="s">
        <v>0</v>
      </c>
    </row>
    <row r="6" spans="1:11" x14ac:dyDescent="0.25">
      <c r="A6" s="9" t="s">
        <v>138</v>
      </c>
      <c r="B6" s="10"/>
      <c r="C6" s="10">
        <v>1</v>
      </c>
      <c r="D6" s="10">
        <v>1</v>
      </c>
      <c r="F6" s="9" t="s">
        <v>55</v>
      </c>
      <c r="G6" s="11">
        <v>1.0547222222085111</v>
      </c>
      <c r="H6" s="11">
        <v>1.0547222222085111</v>
      </c>
      <c r="I6" s="11"/>
      <c r="J6" s="11"/>
      <c r="K6" s="11">
        <v>1.0547222222085111</v>
      </c>
    </row>
    <row r="7" spans="1:11" x14ac:dyDescent="0.25">
      <c r="A7" s="9" t="s">
        <v>8</v>
      </c>
      <c r="B7" s="10">
        <v>1</v>
      </c>
      <c r="C7" s="10"/>
      <c r="D7" s="10">
        <v>1</v>
      </c>
      <c r="F7" s="9" t="s">
        <v>43</v>
      </c>
      <c r="G7" s="11">
        <v>334.85333333333256</v>
      </c>
      <c r="H7" s="11">
        <v>334.85333333333256</v>
      </c>
      <c r="I7" s="11"/>
      <c r="J7" s="11"/>
      <c r="K7" s="11">
        <v>334.85333333333256</v>
      </c>
    </row>
    <row r="8" spans="1:11" x14ac:dyDescent="0.25">
      <c r="A8" s="9" t="s">
        <v>251</v>
      </c>
      <c r="B8" s="10">
        <v>1</v>
      </c>
      <c r="C8" s="10">
        <v>4</v>
      </c>
      <c r="D8" s="10">
        <v>5</v>
      </c>
      <c r="F8" s="9" t="s">
        <v>9</v>
      </c>
      <c r="G8" s="11">
        <v>311.73416666669073</v>
      </c>
      <c r="H8" s="11">
        <v>311.73416666669073</v>
      </c>
      <c r="I8" s="11">
        <v>311.64527777780313</v>
      </c>
      <c r="J8" s="11">
        <v>311.64527777780313</v>
      </c>
      <c r="K8" s="11">
        <v>623.37944444449386</v>
      </c>
    </row>
    <row r="9" spans="1:11" x14ac:dyDescent="0.25">
      <c r="F9" s="9" t="s">
        <v>251</v>
      </c>
      <c r="G9" s="11">
        <v>647.64222222223179</v>
      </c>
      <c r="H9" s="11">
        <v>647.64222222223179</v>
      </c>
      <c r="I9" s="11">
        <v>311.64527777780313</v>
      </c>
      <c r="J9" s="11">
        <v>311.64527777780313</v>
      </c>
      <c r="K9" s="11">
        <v>959.28750000003492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8A913-FB57-47A7-8422-DCA3E7A24853}">
  <dimension ref="A1:R30"/>
  <sheetViews>
    <sheetView workbookViewId="0">
      <selection activeCell="E3" sqref="E3"/>
    </sheetView>
  </sheetViews>
  <sheetFormatPr baseColWidth="10" defaultRowHeight="15" x14ac:dyDescent="0.25"/>
  <cols>
    <col min="1" max="1" width="33" bestFit="1" customWidth="1"/>
    <col min="2" max="2" width="32.42578125" bestFit="1" customWidth="1"/>
    <col min="3" max="3" width="29.7109375" bestFit="1" customWidth="1"/>
    <col min="4" max="4" width="4" bestFit="1" customWidth="1"/>
    <col min="5" max="5" width="7.42578125" bestFit="1" customWidth="1"/>
    <col min="6" max="6" width="30.7109375" customWidth="1"/>
    <col min="7" max="7" width="21" bestFit="1" customWidth="1"/>
    <col min="8" max="8" width="60.7109375" customWidth="1"/>
    <col min="9" max="10" width="15.42578125" bestFit="1" customWidth="1"/>
    <col min="11" max="11" width="9.140625" bestFit="1" customWidth="1"/>
    <col min="12" max="12" width="37.5703125" bestFit="1" customWidth="1"/>
    <col min="13" max="13" width="18.28515625" bestFit="1" customWidth="1"/>
    <col min="14" max="14" width="26" bestFit="1" customWidth="1"/>
    <col min="15" max="15" width="15.42578125" bestFit="1" customWidth="1"/>
    <col min="16" max="16" width="15.28515625" bestFit="1" customWidth="1"/>
    <col min="17" max="17" width="9.7109375" bestFit="1" customWidth="1"/>
    <col min="18" max="18" width="52.85546875" bestFit="1" customWidth="1"/>
  </cols>
  <sheetData>
    <row r="1" spans="1:18" x14ac:dyDescent="0.25">
      <c r="A1" s="5" t="s">
        <v>233</v>
      </c>
      <c r="B1" s="6" t="s">
        <v>234</v>
      </c>
      <c r="C1" s="6" t="s">
        <v>235</v>
      </c>
      <c r="D1" s="6" t="s">
        <v>236</v>
      </c>
      <c r="E1" s="6" t="s">
        <v>237</v>
      </c>
      <c r="F1" s="6" t="s">
        <v>238</v>
      </c>
      <c r="G1" s="6" t="s">
        <v>239</v>
      </c>
      <c r="H1" s="6" t="s">
        <v>240</v>
      </c>
      <c r="I1" s="6" t="s">
        <v>241</v>
      </c>
      <c r="J1" s="6" t="s">
        <v>242</v>
      </c>
      <c r="K1" s="6" t="s">
        <v>243</v>
      </c>
      <c r="L1" s="6" t="s">
        <v>244</v>
      </c>
      <c r="M1" s="6" t="s">
        <v>249</v>
      </c>
      <c r="N1" s="6" t="s">
        <v>245</v>
      </c>
      <c r="O1" s="6" t="s">
        <v>246</v>
      </c>
      <c r="P1" s="6" t="s">
        <v>247</v>
      </c>
      <c r="Q1" s="6" t="s">
        <v>4</v>
      </c>
      <c r="R1" s="7" t="s">
        <v>248</v>
      </c>
    </row>
    <row r="2" spans="1:18" ht="90" x14ac:dyDescent="0.25">
      <c r="A2" s="1" t="s">
        <v>16</v>
      </c>
      <c r="B2" s="1" t="s">
        <v>17</v>
      </c>
      <c r="C2" s="1" t="s">
        <v>22</v>
      </c>
      <c r="D2" s="2">
        <v>312</v>
      </c>
      <c r="E2" s="1"/>
      <c r="F2" s="3" t="s">
        <v>53</v>
      </c>
      <c r="G2" s="1" t="s">
        <v>0</v>
      </c>
      <c r="H2" s="3" t="s">
        <v>54</v>
      </c>
      <c r="I2" s="4">
        <v>46091.637499999997</v>
      </c>
      <c r="J2" s="4">
        <v>46085.359849537039</v>
      </c>
      <c r="K2" s="1" t="s">
        <v>32</v>
      </c>
      <c r="L2" s="1" t="s">
        <v>33</v>
      </c>
      <c r="M2" s="1" t="s">
        <v>26</v>
      </c>
      <c r="N2" s="1" t="s">
        <v>0</v>
      </c>
      <c r="O2" s="4">
        <v>46085.359849537039</v>
      </c>
      <c r="P2" s="1"/>
      <c r="Q2" s="1" t="s">
        <v>4</v>
      </c>
      <c r="R2" s="1" t="s">
        <v>3</v>
      </c>
    </row>
    <row r="3" spans="1:18" ht="105" x14ac:dyDescent="0.25">
      <c r="A3" s="1" t="s">
        <v>58</v>
      </c>
      <c r="B3" s="1" t="s">
        <v>59</v>
      </c>
      <c r="C3" s="1" t="s">
        <v>55</v>
      </c>
      <c r="D3" s="2">
        <v>313</v>
      </c>
      <c r="E3" s="1"/>
      <c r="F3" s="3" t="s">
        <v>56</v>
      </c>
      <c r="G3" s="1" t="s">
        <v>0</v>
      </c>
      <c r="H3" s="3" t="s">
        <v>57</v>
      </c>
      <c r="I3" s="4">
        <v>46092.40693287037</v>
      </c>
      <c r="J3" s="4">
        <v>46090.498425925929</v>
      </c>
      <c r="K3" s="1" t="s">
        <v>24</v>
      </c>
      <c r="L3" s="1" t="s">
        <v>36</v>
      </c>
      <c r="M3" s="1" t="s">
        <v>26</v>
      </c>
      <c r="N3" s="1" t="s">
        <v>28</v>
      </c>
      <c r="O3" s="4">
        <v>46090.498425925929</v>
      </c>
      <c r="P3" s="1"/>
      <c r="Q3" s="1" t="s">
        <v>4</v>
      </c>
      <c r="R3" s="1" t="s">
        <v>3</v>
      </c>
    </row>
    <row r="4" spans="1:18" ht="120" x14ac:dyDescent="0.25">
      <c r="A4" s="1" t="s">
        <v>41</v>
      </c>
      <c r="B4" s="1" t="s">
        <v>42</v>
      </c>
      <c r="C4" s="1" t="s">
        <v>52</v>
      </c>
      <c r="D4" s="2">
        <v>314</v>
      </c>
      <c r="E4" s="1"/>
      <c r="F4" s="3" t="s">
        <v>60</v>
      </c>
      <c r="G4" s="1" t="s">
        <v>0</v>
      </c>
      <c r="H4" s="3" t="s">
        <v>61</v>
      </c>
      <c r="I4" s="4">
        <v>46100.410057870373</v>
      </c>
      <c r="J4" s="4">
        <v>46092.451898148145</v>
      </c>
      <c r="K4" s="1" t="s">
        <v>32</v>
      </c>
      <c r="L4" s="1" t="s">
        <v>36</v>
      </c>
      <c r="M4" s="1" t="s">
        <v>26</v>
      </c>
      <c r="N4" s="1" t="s">
        <v>0</v>
      </c>
      <c r="O4" s="4">
        <v>46092.451898148145</v>
      </c>
      <c r="P4" s="1"/>
      <c r="Q4" s="1" t="s">
        <v>4</v>
      </c>
      <c r="R4" s="1" t="s">
        <v>3</v>
      </c>
    </row>
    <row r="5" spans="1:18" ht="135" x14ac:dyDescent="0.25">
      <c r="A5" s="1" t="s">
        <v>58</v>
      </c>
      <c r="B5" s="1" t="s">
        <v>59</v>
      </c>
      <c r="C5" s="1" t="s">
        <v>55</v>
      </c>
      <c r="D5" s="2">
        <v>315</v>
      </c>
      <c r="E5" s="1"/>
      <c r="F5" s="3" t="s">
        <v>62</v>
      </c>
      <c r="G5" s="1" t="s">
        <v>63</v>
      </c>
      <c r="H5" s="3" t="s">
        <v>64</v>
      </c>
      <c r="I5" s="4">
        <v>46105.614861111113</v>
      </c>
      <c r="J5" s="4">
        <v>46092.618217592593</v>
      </c>
      <c r="K5" s="1" t="s">
        <v>32</v>
      </c>
      <c r="L5" s="1" t="s">
        <v>33</v>
      </c>
      <c r="M5" s="1" t="s">
        <v>26</v>
      </c>
      <c r="N5" s="1"/>
      <c r="O5" s="4">
        <v>46092.618217592593</v>
      </c>
      <c r="P5" s="1"/>
      <c r="Q5" s="1" t="s">
        <v>4</v>
      </c>
      <c r="R5" s="1" t="s">
        <v>3</v>
      </c>
    </row>
    <row r="6" spans="1:18" ht="165" x14ac:dyDescent="0.25">
      <c r="A6" s="1" t="s">
        <v>41</v>
      </c>
      <c r="B6" s="1" t="s">
        <v>42</v>
      </c>
      <c r="C6" s="1" t="s">
        <v>52</v>
      </c>
      <c r="D6" s="2">
        <v>316</v>
      </c>
      <c r="E6" s="1"/>
      <c r="F6" s="3" t="s">
        <v>65</v>
      </c>
      <c r="G6" s="1" t="s">
        <v>0</v>
      </c>
      <c r="H6" s="3" t="s">
        <v>66</v>
      </c>
      <c r="I6" s="4">
        <v>46099.350451388891</v>
      </c>
      <c r="J6" s="4">
        <v>46093.497314814813</v>
      </c>
      <c r="K6" s="1" t="s">
        <v>32</v>
      </c>
      <c r="L6" s="1" t="s">
        <v>36</v>
      </c>
      <c r="M6" s="1" t="s">
        <v>30</v>
      </c>
      <c r="N6" s="1" t="s">
        <v>0</v>
      </c>
      <c r="O6" s="4">
        <v>46093.497314814813</v>
      </c>
      <c r="P6" s="1"/>
      <c r="Q6" s="1" t="s">
        <v>4</v>
      </c>
      <c r="R6" s="1" t="s">
        <v>3</v>
      </c>
    </row>
    <row r="7" spans="1:18" ht="210" x14ac:dyDescent="0.25">
      <c r="A7" s="1" t="s">
        <v>16</v>
      </c>
      <c r="B7" s="1" t="s">
        <v>17</v>
      </c>
      <c r="C7" s="1" t="s">
        <v>22</v>
      </c>
      <c r="D7" s="2">
        <v>317</v>
      </c>
      <c r="E7" s="1"/>
      <c r="F7" s="3" t="s">
        <v>67</v>
      </c>
      <c r="G7" s="1" t="s">
        <v>23</v>
      </c>
      <c r="H7" s="3" t="s">
        <v>68</v>
      </c>
      <c r="I7" s="4">
        <v>46099.348240740743</v>
      </c>
      <c r="J7" s="4">
        <v>46093.64806712963</v>
      </c>
      <c r="K7" s="1" t="s">
        <v>32</v>
      </c>
      <c r="L7" s="1" t="s">
        <v>33</v>
      </c>
      <c r="M7" s="1" t="s">
        <v>26</v>
      </c>
      <c r="N7" s="1" t="s">
        <v>37</v>
      </c>
      <c r="O7" s="4">
        <v>46093.64806712963</v>
      </c>
      <c r="P7" s="1"/>
      <c r="Q7" s="1" t="s">
        <v>4</v>
      </c>
      <c r="R7" s="1" t="s">
        <v>3</v>
      </c>
    </row>
    <row r="8" spans="1:18" ht="120" x14ac:dyDescent="0.25">
      <c r="A8" s="1" t="s">
        <v>16</v>
      </c>
      <c r="B8" s="1" t="s">
        <v>17</v>
      </c>
      <c r="C8" s="1" t="s">
        <v>9</v>
      </c>
      <c r="D8" s="2">
        <v>318</v>
      </c>
      <c r="E8" s="1"/>
      <c r="F8" s="3" t="s">
        <v>69</v>
      </c>
      <c r="G8" s="1" t="s">
        <v>0</v>
      </c>
      <c r="H8" s="3" t="s">
        <v>70</v>
      </c>
      <c r="I8" s="4">
        <v>46108.370451388888</v>
      </c>
      <c r="J8" s="4">
        <v>46098.313611111109</v>
      </c>
      <c r="K8" s="1" t="s">
        <v>32</v>
      </c>
      <c r="L8" s="1" t="s">
        <v>33</v>
      </c>
      <c r="M8" s="1" t="s">
        <v>26</v>
      </c>
      <c r="N8" s="1" t="s">
        <v>0</v>
      </c>
      <c r="O8" s="4">
        <v>46098.313611111109</v>
      </c>
      <c r="P8" s="1"/>
      <c r="Q8" s="1" t="s">
        <v>4</v>
      </c>
      <c r="R8" s="1" t="s">
        <v>3</v>
      </c>
    </row>
    <row r="9" spans="1:18" ht="45" x14ac:dyDescent="0.25">
      <c r="A9" s="1" t="s">
        <v>44</v>
      </c>
      <c r="B9" s="1" t="s">
        <v>45</v>
      </c>
      <c r="C9" s="1" t="s">
        <v>43</v>
      </c>
      <c r="D9" s="2">
        <v>319</v>
      </c>
      <c r="E9" s="1"/>
      <c r="F9" s="3" t="s">
        <v>71</v>
      </c>
      <c r="G9" s="1" t="s">
        <v>0</v>
      </c>
      <c r="H9" s="3"/>
      <c r="I9" s="4">
        <v>46108.375277777777</v>
      </c>
      <c r="J9" s="4">
        <v>46098.632002314815</v>
      </c>
      <c r="K9" s="1" t="s">
        <v>32</v>
      </c>
      <c r="L9" s="1" t="s">
        <v>25</v>
      </c>
      <c r="M9" s="1" t="s">
        <v>26</v>
      </c>
      <c r="N9" s="1" t="s">
        <v>0</v>
      </c>
      <c r="O9" s="4">
        <v>46098.632002314815</v>
      </c>
      <c r="P9" s="1"/>
      <c r="Q9" s="1" t="s">
        <v>4</v>
      </c>
      <c r="R9" s="1" t="s">
        <v>3</v>
      </c>
    </row>
    <row r="10" spans="1:18" ht="45" x14ac:dyDescent="0.25">
      <c r="A10" s="1" t="s">
        <v>44</v>
      </c>
      <c r="B10" s="1" t="s">
        <v>45</v>
      </c>
      <c r="C10" s="1" t="s">
        <v>43</v>
      </c>
      <c r="D10" s="2">
        <v>320</v>
      </c>
      <c r="E10" s="1" t="s">
        <v>74</v>
      </c>
      <c r="F10" s="3" t="s">
        <v>72</v>
      </c>
      <c r="G10" s="1" t="s">
        <v>0</v>
      </c>
      <c r="H10" s="3" t="s">
        <v>73</v>
      </c>
      <c r="I10" s="4">
        <v>46119.47315972222</v>
      </c>
      <c r="J10" s="4">
        <v>46098.633414351854</v>
      </c>
      <c r="K10" s="1" t="s">
        <v>24</v>
      </c>
      <c r="L10" s="1" t="s">
        <v>25</v>
      </c>
      <c r="M10" s="1" t="s">
        <v>26</v>
      </c>
      <c r="N10" s="1" t="s">
        <v>28</v>
      </c>
      <c r="O10" s="4">
        <v>46098.633414351854</v>
      </c>
      <c r="P10" s="1"/>
      <c r="Q10" s="1" t="s">
        <v>4</v>
      </c>
      <c r="R10" s="1" t="s">
        <v>3</v>
      </c>
    </row>
    <row r="11" spans="1:18" ht="300" x14ac:dyDescent="0.25">
      <c r="A11" s="1" t="s">
        <v>58</v>
      </c>
      <c r="B11" s="1" t="s">
        <v>59</v>
      </c>
      <c r="C11" s="1" t="s">
        <v>55</v>
      </c>
      <c r="D11" s="2">
        <v>321</v>
      </c>
      <c r="E11" s="1" t="s">
        <v>74</v>
      </c>
      <c r="F11" s="3" t="s">
        <v>75</v>
      </c>
      <c r="G11" s="1" t="s">
        <v>0</v>
      </c>
      <c r="H11" s="3" t="s">
        <v>76</v>
      </c>
      <c r="I11" s="4">
        <v>46119.467256944445</v>
      </c>
      <c r="J11" s="4">
        <v>46099.682754629626</v>
      </c>
      <c r="K11" s="1" t="s">
        <v>32</v>
      </c>
      <c r="L11" s="1" t="s">
        <v>25</v>
      </c>
      <c r="M11" s="1" t="s">
        <v>30</v>
      </c>
      <c r="N11" s="1"/>
      <c r="O11" s="4">
        <v>46099.682754629626</v>
      </c>
      <c r="P11" s="1"/>
      <c r="Q11" s="1" t="s">
        <v>4</v>
      </c>
      <c r="R11" s="1" t="s">
        <v>3</v>
      </c>
    </row>
    <row r="12" spans="1:18" ht="45" x14ac:dyDescent="0.25">
      <c r="A12" s="1" t="s">
        <v>5</v>
      </c>
      <c r="B12" s="1" t="s">
        <v>6</v>
      </c>
      <c r="C12" s="1" t="s">
        <v>7</v>
      </c>
      <c r="D12" s="2">
        <v>322</v>
      </c>
      <c r="E12" s="1"/>
      <c r="F12" s="3" t="s">
        <v>77</v>
      </c>
      <c r="G12" s="1" t="s">
        <v>23</v>
      </c>
      <c r="H12" s="3" t="s">
        <v>78</v>
      </c>
      <c r="I12" s="4">
        <v>46135.613321759258</v>
      </c>
      <c r="J12" s="4">
        <v>46100.384050925924</v>
      </c>
      <c r="K12" s="1" t="s">
        <v>24</v>
      </c>
      <c r="L12" s="1" t="s">
        <v>29</v>
      </c>
      <c r="M12" s="1" t="s">
        <v>26</v>
      </c>
      <c r="N12" s="1"/>
      <c r="O12" s="4">
        <v>46100.384050925924</v>
      </c>
      <c r="P12" s="1"/>
      <c r="Q12" s="1" t="s">
        <v>4</v>
      </c>
      <c r="R12" s="1" t="s">
        <v>3</v>
      </c>
    </row>
    <row r="13" spans="1:18" ht="135" x14ac:dyDescent="0.25">
      <c r="A13" s="1" t="s">
        <v>44</v>
      </c>
      <c r="B13" s="1" t="s">
        <v>45</v>
      </c>
      <c r="C13" s="1" t="s">
        <v>43</v>
      </c>
      <c r="D13" s="2">
        <v>323</v>
      </c>
      <c r="E13" s="1"/>
      <c r="F13" s="3" t="s">
        <v>79</v>
      </c>
      <c r="G13" s="1" t="s">
        <v>0</v>
      </c>
      <c r="H13" s="3" t="s">
        <v>80</v>
      </c>
      <c r="I13" s="4">
        <v>46108.37128472222</v>
      </c>
      <c r="J13" s="4">
        <v>46100.406215277777</v>
      </c>
      <c r="K13" s="1" t="s">
        <v>24</v>
      </c>
      <c r="L13" s="1" t="s">
        <v>25</v>
      </c>
      <c r="M13" s="1" t="s">
        <v>26</v>
      </c>
      <c r="N13" s="1" t="s">
        <v>0</v>
      </c>
      <c r="O13" s="4">
        <v>46100.406215277777</v>
      </c>
      <c r="P13" s="1"/>
      <c r="Q13" s="1" t="s">
        <v>4</v>
      </c>
      <c r="R13" s="1" t="s">
        <v>3</v>
      </c>
    </row>
    <row r="14" spans="1:18" ht="120" x14ac:dyDescent="0.25">
      <c r="A14" s="1" t="s">
        <v>44</v>
      </c>
      <c r="B14" s="1" t="s">
        <v>45</v>
      </c>
      <c r="C14" s="1" t="s">
        <v>43</v>
      </c>
      <c r="D14" s="2">
        <v>324</v>
      </c>
      <c r="E14" s="1"/>
      <c r="F14" s="3" t="s">
        <v>81</v>
      </c>
      <c r="G14" s="1" t="s">
        <v>0</v>
      </c>
      <c r="H14" s="3" t="s">
        <v>82</v>
      </c>
      <c r="I14" s="4">
        <v>46105.589386574073</v>
      </c>
      <c r="J14" s="4">
        <v>46100.407372685186</v>
      </c>
      <c r="K14" s="1" t="s">
        <v>24</v>
      </c>
      <c r="L14" s="1" t="s">
        <v>25</v>
      </c>
      <c r="M14" s="1" t="s">
        <v>39</v>
      </c>
      <c r="N14" s="1" t="s">
        <v>28</v>
      </c>
      <c r="O14" s="4">
        <v>46100.407372685186</v>
      </c>
      <c r="P14" s="1"/>
      <c r="Q14" s="1" t="s">
        <v>4</v>
      </c>
      <c r="R14" s="1" t="s">
        <v>3</v>
      </c>
    </row>
    <row r="15" spans="1:18" ht="45" x14ac:dyDescent="0.25">
      <c r="A15" s="1" t="s">
        <v>44</v>
      </c>
      <c r="B15" s="1" t="s">
        <v>45</v>
      </c>
      <c r="C15" s="1" t="s">
        <v>43</v>
      </c>
      <c r="D15" s="2">
        <v>325</v>
      </c>
      <c r="E15" s="1"/>
      <c r="F15" s="3" t="s">
        <v>83</v>
      </c>
      <c r="G15" s="1" t="s">
        <v>0</v>
      </c>
      <c r="H15" s="3"/>
      <c r="I15" s="4">
        <v>46105.613344907404</v>
      </c>
      <c r="J15" s="4">
        <v>46100.500104166669</v>
      </c>
      <c r="K15" s="1" t="s">
        <v>32</v>
      </c>
      <c r="L15" s="1" t="s">
        <v>33</v>
      </c>
      <c r="M15" s="1" t="s">
        <v>26</v>
      </c>
      <c r="N15" s="1" t="s">
        <v>0</v>
      </c>
      <c r="O15" s="4">
        <v>46100.500104166669</v>
      </c>
      <c r="P15" s="1"/>
      <c r="Q15" s="1" t="s">
        <v>4</v>
      </c>
      <c r="R15" s="1" t="s">
        <v>3</v>
      </c>
    </row>
    <row r="16" spans="1:18" ht="60" x14ac:dyDescent="0.25">
      <c r="A16" s="1" t="s">
        <v>44</v>
      </c>
      <c r="B16" s="1" t="s">
        <v>45</v>
      </c>
      <c r="C16" s="1" t="s">
        <v>43</v>
      </c>
      <c r="D16" s="2">
        <v>326</v>
      </c>
      <c r="E16" s="1"/>
      <c r="F16" s="3" t="s">
        <v>84</v>
      </c>
      <c r="G16" s="1" t="s">
        <v>0</v>
      </c>
      <c r="H16" s="3" t="s">
        <v>85</v>
      </c>
      <c r="I16" s="4">
        <v>46105.616736111115</v>
      </c>
      <c r="J16" s="4">
        <v>46100.50072916667</v>
      </c>
      <c r="K16" s="1" t="s">
        <v>32</v>
      </c>
      <c r="L16" s="1" t="s">
        <v>25</v>
      </c>
      <c r="M16" s="1" t="s">
        <v>26</v>
      </c>
      <c r="N16" s="1" t="s">
        <v>0</v>
      </c>
      <c r="O16" s="4">
        <v>46100.50072916667</v>
      </c>
      <c r="P16" s="1"/>
      <c r="Q16" s="1" t="s">
        <v>4</v>
      </c>
      <c r="R16" s="1" t="s">
        <v>3</v>
      </c>
    </row>
    <row r="17" spans="1:18" ht="120" x14ac:dyDescent="0.25">
      <c r="A17" s="1" t="s">
        <v>44</v>
      </c>
      <c r="B17" s="1" t="s">
        <v>45</v>
      </c>
      <c r="C17" s="1" t="s">
        <v>43</v>
      </c>
      <c r="D17" s="2">
        <v>327</v>
      </c>
      <c r="E17" s="1"/>
      <c r="F17" s="3" t="s">
        <v>86</v>
      </c>
      <c r="G17" s="1" t="s">
        <v>0</v>
      </c>
      <c r="H17" s="3" t="s">
        <v>87</v>
      </c>
      <c r="I17" s="4">
        <v>46105.520335648151</v>
      </c>
      <c r="J17" s="4">
        <v>46100.670266203706</v>
      </c>
      <c r="K17" s="1" t="s">
        <v>32</v>
      </c>
      <c r="L17" s="1" t="s">
        <v>33</v>
      </c>
      <c r="M17" s="1" t="s">
        <v>30</v>
      </c>
      <c r="N17" s="1" t="s">
        <v>0</v>
      </c>
      <c r="O17" s="4">
        <v>46100.670266203706</v>
      </c>
      <c r="P17" s="1"/>
      <c r="Q17" s="1" t="s">
        <v>4</v>
      </c>
      <c r="R17" s="1" t="s">
        <v>3</v>
      </c>
    </row>
    <row r="18" spans="1:18" ht="60" x14ac:dyDescent="0.25">
      <c r="A18" s="1" t="s">
        <v>5</v>
      </c>
      <c r="B18" s="1" t="s">
        <v>6</v>
      </c>
      <c r="C18" s="1" t="s">
        <v>88</v>
      </c>
      <c r="D18" s="2">
        <v>328</v>
      </c>
      <c r="E18" s="1"/>
      <c r="F18" s="3" t="s">
        <v>89</v>
      </c>
      <c r="G18" s="1" t="s">
        <v>0</v>
      </c>
      <c r="H18" s="3" t="s">
        <v>90</v>
      </c>
      <c r="I18" s="4">
        <v>46105.612141203703</v>
      </c>
      <c r="J18" s="4">
        <v>46104.332812499997</v>
      </c>
      <c r="K18" s="1" t="s">
        <v>32</v>
      </c>
      <c r="L18" s="1" t="s">
        <v>36</v>
      </c>
      <c r="M18" s="1" t="s">
        <v>26</v>
      </c>
      <c r="N18" s="1" t="s">
        <v>0</v>
      </c>
      <c r="O18" s="4">
        <v>46104.332812499997</v>
      </c>
      <c r="P18" s="1"/>
      <c r="Q18" s="1" t="s">
        <v>4</v>
      </c>
      <c r="R18" s="1" t="s">
        <v>3</v>
      </c>
    </row>
    <row r="19" spans="1:18" ht="105" x14ac:dyDescent="0.25">
      <c r="A19" s="1" t="s">
        <v>19</v>
      </c>
      <c r="B19" s="1" t="s">
        <v>20</v>
      </c>
      <c r="C19" s="1" t="s">
        <v>11</v>
      </c>
      <c r="D19" s="2">
        <v>329</v>
      </c>
      <c r="E19" s="1"/>
      <c r="F19" s="3" t="s">
        <v>91</v>
      </c>
      <c r="G19" s="1" t="s">
        <v>0</v>
      </c>
      <c r="H19" s="3" t="s">
        <v>92</v>
      </c>
      <c r="I19" s="4">
        <v>46105.610960648148</v>
      </c>
      <c r="J19" s="4">
        <v>46104.377523148149</v>
      </c>
      <c r="K19" s="1" t="s">
        <v>32</v>
      </c>
      <c r="L19" s="1" t="s">
        <v>36</v>
      </c>
      <c r="M19" s="1" t="s">
        <v>39</v>
      </c>
      <c r="N19" s="1" t="s">
        <v>0</v>
      </c>
      <c r="O19" s="4">
        <v>46104.377523148149</v>
      </c>
      <c r="P19" s="1"/>
      <c r="Q19" s="1" t="s">
        <v>4</v>
      </c>
      <c r="R19" s="1" t="s">
        <v>3</v>
      </c>
    </row>
    <row r="20" spans="1:18" ht="105" x14ac:dyDescent="0.25">
      <c r="A20" s="1" t="s">
        <v>34</v>
      </c>
      <c r="B20" s="1" t="s">
        <v>35</v>
      </c>
      <c r="C20" s="1" t="s">
        <v>11</v>
      </c>
      <c r="D20" s="2">
        <v>330</v>
      </c>
      <c r="E20" s="1"/>
      <c r="F20" s="3" t="s">
        <v>93</v>
      </c>
      <c r="G20" s="1" t="s">
        <v>0</v>
      </c>
      <c r="H20" s="3" t="s">
        <v>92</v>
      </c>
      <c r="I20" s="4">
        <v>46105.366215277776</v>
      </c>
      <c r="J20" s="4">
        <v>46104.378379629627</v>
      </c>
      <c r="K20" s="1" t="s">
        <v>32</v>
      </c>
      <c r="L20" s="1" t="s">
        <v>36</v>
      </c>
      <c r="M20" s="1" t="s">
        <v>26</v>
      </c>
      <c r="N20" s="1" t="s">
        <v>0</v>
      </c>
      <c r="O20" s="4">
        <v>46104.378379629627</v>
      </c>
      <c r="P20" s="1"/>
      <c r="Q20" s="1" t="s">
        <v>4</v>
      </c>
      <c r="R20" s="1" t="s">
        <v>3</v>
      </c>
    </row>
    <row r="21" spans="1:18" ht="105" x14ac:dyDescent="0.25">
      <c r="A21" s="1" t="s">
        <v>12</v>
      </c>
      <c r="B21" s="1" t="s">
        <v>18</v>
      </c>
      <c r="C21" s="1" t="s">
        <v>11</v>
      </c>
      <c r="D21" s="2">
        <v>331</v>
      </c>
      <c r="E21" s="1"/>
      <c r="F21" s="3" t="s">
        <v>94</v>
      </c>
      <c r="G21" s="1" t="s">
        <v>0</v>
      </c>
      <c r="H21" s="3" t="s">
        <v>92</v>
      </c>
      <c r="I21" s="4">
        <v>46105.365451388891</v>
      </c>
      <c r="J21" s="4">
        <v>46104.378761574073</v>
      </c>
      <c r="K21" s="1" t="s">
        <v>32</v>
      </c>
      <c r="L21" s="1" t="s">
        <v>36</v>
      </c>
      <c r="M21" s="1" t="s">
        <v>26</v>
      </c>
      <c r="N21" s="1" t="s">
        <v>28</v>
      </c>
      <c r="O21" s="4">
        <v>46104.378761574073</v>
      </c>
      <c r="P21" s="1"/>
      <c r="Q21" s="1" t="s">
        <v>4</v>
      </c>
      <c r="R21" s="1" t="s">
        <v>3</v>
      </c>
    </row>
    <row r="22" spans="1:18" x14ac:dyDescent="0.25">
      <c r="A22" s="1" t="s">
        <v>1</v>
      </c>
      <c r="B22" s="1" t="s">
        <v>2</v>
      </c>
      <c r="C22" s="1" t="s">
        <v>13</v>
      </c>
      <c r="D22" s="2">
        <v>332</v>
      </c>
      <c r="E22" s="1"/>
      <c r="F22" s="3"/>
      <c r="G22" s="1" t="s">
        <v>95</v>
      </c>
      <c r="H22" s="3"/>
      <c r="I22" s="4">
        <v>46108.368738425925</v>
      </c>
      <c r="J22" s="4">
        <v>46106.562800925924</v>
      </c>
      <c r="K22" s="1" t="s">
        <v>31</v>
      </c>
      <c r="L22" s="1"/>
      <c r="M22" s="1" t="s">
        <v>26</v>
      </c>
      <c r="N22" s="1" t="s">
        <v>38</v>
      </c>
      <c r="O22" s="4">
        <v>46106.562800925924</v>
      </c>
      <c r="P22" s="1"/>
      <c r="Q22" s="1" t="s">
        <v>4</v>
      </c>
      <c r="R22" s="1" t="s">
        <v>3</v>
      </c>
    </row>
    <row r="23" spans="1:18" ht="30" x14ac:dyDescent="0.25">
      <c r="A23" s="1" t="s">
        <v>10</v>
      </c>
      <c r="B23" s="1" t="s">
        <v>21</v>
      </c>
      <c r="C23" s="1" t="s">
        <v>9</v>
      </c>
      <c r="D23" s="2">
        <v>334</v>
      </c>
      <c r="E23" s="1" t="s">
        <v>74</v>
      </c>
      <c r="F23" s="3" t="s">
        <v>96</v>
      </c>
      <c r="G23" s="1" t="s">
        <v>0</v>
      </c>
      <c r="H23" s="3" t="s">
        <v>97</v>
      </c>
      <c r="I23" s="4">
        <v>46107.488738425927</v>
      </c>
      <c r="J23" s="4">
        <v>46107.487500000003</v>
      </c>
      <c r="K23" s="1" t="s">
        <v>32</v>
      </c>
      <c r="L23" s="1" t="s">
        <v>36</v>
      </c>
      <c r="M23" s="1" t="s">
        <v>26</v>
      </c>
      <c r="N23" s="1" t="s">
        <v>0</v>
      </c>
      <c r="O23" s="4">
        <v>46107.487500000003</v>
      </c>
      <c r="P23" s="1"/>
      <c r="Q23" s="1" t="s">
        <v>4</v>
      </c>
      <c r="R23" s="1" t="s">
        <v>3</v>
      </c>
    </row>
    <row r="24" spans="1:18" x14ac:dyDescent="0.25">
      <c r="A24" s="1" t="s">
        <v>1</v>
      </c>
      <c r="B24" s="1" t="s">
        <v>2</v>
      </c>
      <c r="C24" s="1" t="s">
        <v>13</v>
      </c>
      <c r="D24" s="2">
        <v>335</v>
      </c>
      <c r="E24" s="1" t="s">
        <v>74</v>
      </c>
      <c r="F24" s="3" t="s">
        <v>98</v>
      </c>
      <c r="G24" s="1" t="s">
        <v>0</v>
      </c>
      <c r="H24" s="3"/>
      <c r="I24" s="4">
        <v>46108.367569444446</v>
      </c>
      <c r="J24" s="4">
        <v>46107.594733796293</v>
      </c>
      <c r="K24" s="1" t="s">
        <v>32</v>
      </c>
      <c r="L24" s="1" t="s">
        <v>36</v>
      </c>
      <c r="M24" s="1" t="s">
        <v>26</v>
      </c>
      <c r="N24" s="1" t="s">
        <v>38</v>
      </c>
      <c r="O24" s="4">
        <v>46107.594733796293</v>
      </c>
      <c r="P24" s="1"/>
      <c r="Q24" s="1" t="s">
        <v>4</v>
      </c>
      <c r="R24" s="1" t="s">
        <v>3</v>
      </c>
    </row>
    <row r="25" spans="1:18" ht="75" x14ac:dyDescent="0.25">
      <c r="A25" s="1" t="s">
        <v>16</v>
      </c>
      <c r="B25" s="1" t="s">
        <v>17</v>
      </c>
      <c r="C25" s="1" t="s">
        <v>99</v>
      </c>
      <c r="D25" s="2">
        <v>336</v>
      </c>
      <c r="E25" s="1"/>
      <c r="F25" s="3" t="s">
        <v>100</v>
      </c>
      <c r="G25" s="1" t="s">
        <v>0</v>
      </c>
      <c r="H25" s="3" t="s">
        <v>101</v>
      </c>
      <c r="I25" s="4">
        <v>46108.366759259261</v>
      </c>
      <c r="J25" s="4">
        <v>46107.629016203704</v>
      </c>
      <c r="K25" s="1" t="s">
        <v>32</v>
      </c>
      <c r="L25" s="1" t="s">
        <v>33</v>
      </c>
      <c r="M25" s="1" t="s">
        <v>26</v>
      </c>
      <c r="N25" s="1" t="s">
        <v>0</v>
      </c>
      <c r="O25" s="4">
        <v>46107.629016203704</v>
      </c>
      <c r="P25" s="1"/>
      <c r="Q25" s="1" t="s">
        <v>4</v>
      </c>
      <c r="R25" s="1" t="s">
        <v>3</v>
      </c>
    </row>
    <row r="26" spans="1:18" ht="45" x14ac:dyDescent="0.25">
      <c r="A26" s="1" t="s">
        <v>44</v>
      </c>
      <c r="B26" s="1" t="s">
        <v>45</v>
      </c>
      <c r="C26" s="1" t="s">
        <v>43</v>
      </c>
      <c r="D26" s="2">
        <v>337</v>
      </c>
      <c r="E26" s="1" t="s">
        <v>74</v>
      </c>
      <c r="F26" s="3" t="s">
        <v>102</v>
      </c>
      <c r="G26" s="1" t="s">
        <v>23</v>
      </c>
      <c r="H26" s="3" t="s">
        <v>103</v>
      </c>
      <c r="I26" s="4">
        <v>46119.469652777778</v>
      </c>
      <c r="J26" s="4">
        <v>46107.699583333335</v>
      </c>
      <c r="K26" s="1" t="s">
        <v>24</v>
      </c>
      <c r="L26" s="1" t="s">
        <v>33</v>
      </c>
      <c r="M26" s="1" t="s">
        <v>39</v>
      </c>
      <c r="N26" s="1" t="s">
        <v>27</v>
      </c>
      <c r="O26" s="4">
        <v>46107.699583333335</v>
      </c>
      <c r="P26" s="1"/>
      <c r="Q26" s="1" t="s">
        <v>4</v>
      </c>
      <c r="R26" s="1" t="s">
        <v>3</v>
      </c>
    </row>
    <row r="27" spans="1:18" x14ac:dyDescent="0.25">
      <c r="A27" s="1" t="s">
        <v>1</v>
      </c>
      <c r="B27" s="1" t="s">
        <v>2</v>
      </c>
      <c r="C27" s="1" t="s">
        <v>13</v>
      </c>
      <c r="D27" s="2">
        <v>338</v>
      </c>
      <c r="E27" s="1" t="s">
        <v>46</v>
      </c>
      <c r="F27" s="3" t="s">
        <v>104</v>
      </c>
      <c r="G27" s="1" t="s">
        <v>0</v>
      </c>
      <c r="H27" s="3" t="s">
        <v>105</v>
      </c>
      <c r="I27" s="4">
        <v>46119.463379629633</v>
      </c>
      <c r="J27" s="4">
        <v>46108.638831018521</v>
      </c>
      <c r="K27" s="1" t="s">
        <v>31</v>
      </c>
      <c r="L27" s="1" t="s">
        <v>36</v>
      </c>
      <c r="M27" s="1" t="s">
        <v>26</v>
      </c>
      <c r="N27" s="1" t="s">
        <v>0</v>
      </c>
      <c r="O27" s="4">
        <v>46108.638831018521</v>
      </c>
      <c r="P27" s="1" t="s">
        <v>106</v>
      </c>
      <c r="Q27" s="1" t="s">
        <v>4</v>
      </c>
      <c r="R27" s="1" t="s">
        <v>3</v>
      </c>
    </row>
    <row r="28" spans="1:18" x14ac:dyDescent="0.25">
      <c r="A28" s="1" t="s">
        <v>1</v>
      </c>
      <c r="B28" s="1" t="s">
        <v>2</v>
      </c>
      <c r="C28" s="1" t="s">
        <v>13</v>
      </c>
      <c r="D28" s="2">
        <v>339</v>
      </c>
      <c r="E28" s="1" t="s">
        <v>46</v>
      </c>
      <c r="F28" s="3" t="s">
        <v>107</v>
      </c>
      <c r="G28" s="1" t="s">
        <v>0</v>
      </c>
      <c r="H28" s="3" t="s">
        <v>105</v>
      </c>
      <c r="I28" s="4">
        <v>46119.462256944447</v>
      </c>
      <c r="J28" s="4">
        <v>46108.66914351852</v>
      </c>
      <c r="K28" s="1" t="s">
        <v>32</v>
      </c>
      <c r="L28" s="1" t="s">
        <v>36</v>
      </c>
      <c r="M28" s="1" t="s">
        <v>26</v>
      </c>
      <c r="N28" s="1"/>
      <c r="O28" s="4">
        <v>46108.66914351852</v>
      </c>
      <c r="P28" s="1" t="s">
        <v>49</v>
      </c>
      <c r="Q28" s="1" t="s">
        <v>4</v>
      </c>
      <c r="R28" s="1" t="s">
        <v>3</v>
      </c>
    </row>
    <row r="29" spans="1:18" ht="75" x14ac:dyDescent="0.25">
      <c r="A29" s="1" t="s">
        <v>16</v>
      </c>
      <c r="B29" s="1" t="s">
        <v>17</v>
      </c>
      <c r="C29" s="1" t="s">
        <v>99</v>
      </c>
      <c r="D29" s="2">
        <v>340</v>
      </c>
      <c r="E29" s="1" t="s">
        <v>74</v>
      </c>
      <c r="F29" s="3" t="s">
        <v>108</v>
      </c>
      <c r="G29" s="1" t="s">
        <v>0</v>
      </c>
      <c r="H29" s="3" t="s">
        <v>109</v>
      </c>
      <c r="I29" s="4">
        <v>46119.461435185185</v>
      </c>
      <c r="J29" s="4">
        <v>46111.525497685187</v>
      </c>
      <c r="K29" s="1" t="s">
        <v>32</v>
      </c>
      <c r="L29" s="1" t="s">
        <v>25</v>
      </c>
      <c r="M29" s="1" t="s">
        <v>26</v>
      </c>
      <c r="N29" s="1" t="s">
        <v>28</v>
      </c>
      <c r="O29" s="4">
        <v>46111.525497685187</v>
      </c>
      <c r="P29" s="1"/>
      <c r="Q29" s="1" t="s">
        <v>4</v>
      </c>
      <c r="R29" s="1" t="s">
        <v>3</v>
      </c>
    </row>
    <row r="30" spans="1:18" x14ac:dyDescent="0.25">
      <c r="A30" s="1" t="s">
        <v>12</v>
      </c>
      <c r="B30" s="1" t="s">
        <v>111</v>
      </c>
      <c r="C30" s="1" t="s">
        <v>11</v>
      </c>
      <c r="D30" s="2">
        <v>341</v>
      </c>
      <c r="E30" s="1" t="s">
        <v>74</v>
      </c>
      <c r="F30" s="3" t="s">
        <v>110</v>
      </c>
      <c r="G30" s="1" t="s">
        <v>0</v>
      </c>
      <c r="H30" s="3"/>
      <c r="I30" s="4">
        <v>46119.459606481483</v>
      </c>
      <c r="J30" s="4">
        <v>46112.411516203705</v>
      </c>
      <c r="K30" s="1" t="s">
        <v>24</v>
      </c>
      <c r="L30" s="1" t="s">
        <v>36</v>
      </c>
      <c r="M30" s="1" t="s">
        <v>26</v>
      </c>
      <c r="N30" s="1" t="s">
        <v>0</v>
      </c>
      <c r="O30" s="4">
        <v>46112.411516203705</v>
      </c>
      <c r="P30" s="1" t="s">
        <v>112</v>
      </c>
      <c r="Q30" s="1" t="s">
        <v>4</v>
      </c>
      <c r="R30"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Mayo 2026</vt:lpstr>
      <vt:lpstr>Soporte mayo</vt:lpstr>
      <vt:lpstr>Abril 2026</vt:lpstr>
      <vt:lpstr>soporte abril</vt:lpstr>
      <vt:lpstr>Marzo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Arnoldo González Ardón</dc:creator>
  <cp:lastModifiedBy>Sergio Alejandro Rodas Romero</cp:lastModifiedBy>
  <dcterms:created xsi:type="dcterms:W3CDTF">2026-06-15T21:54:43Z</dcterms:created>
  <dcterms:modified xsi:type="dcterms:W3CDTF">2026-06-15T23:16:04Z</dcterms:modified>
</cp:coreProperties>
</file>